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8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D:\Source\Personal\GitHubRepos\doctor-who-ratings\DoctorWhoRatings.WebClient\wwwroot\data\"/>
    </mc:Choice>
  </mc:AlternateContent>
  <xr:revisionPtr revIDLastSave="0" documentId="13_ncr:9_{F1CBCF47-589B-4017-A1D8-9994B1F85D5E}" xr6:coauthVersionLast="47" xr6:coauthVersionMax="47" xr10:uidLastSave="{00000000-0000-0000-0000-000000000000}"/>
  <bookViews>
    <workbookView xWindow="-96" yWindow="-96" windowWidth="23232" windowHeight="13872" xr2:uid="{79C5864F-570D-459B-A9D3-4650086D0E3E}"/>
  </bookViews>
  <sheets>
    <sheet name="Episodes" sheetId="2" r:id="rId1"/>
    <sheet name="Doctors" sheetId="3" r:id="rId2"/>
    <sheet name="SeasonFormats" sheetId="6" r:id="rId3"/>
    <sheet name="EpisodeFormats" sheetId="5" r:id="rId4"/>
    <sheet name="Eras" sheetId="8" r:id="rId5"/>
    <sheet name="Writers" sheetId="10" r:id="rId6"/>
    <sheet name="WikiFormats" sheetId="9" r:id="rId7"/>
    <sheet name="Populations" sheetId="4" r:id="rId8"/>
    <sheet name="Calculations" sheetId="7" r:id="rId9"/>
  </sheets>
  <calcPr calcId="191029" fullPrecision="0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U230" i="2" l="1" a="1"/>
  <c r="U230" i="2" s="1"/>
  <c r="W896" i="2"/>
  <c r="W895" i="2"/>
  <c r="W894" i="2"/>
  <c r="W893" i="2"/>
  <c r="W892" i="2"/>
  <c r="W891" i="2"/>
  <c r="W890" i="2"/>
  <c r="W889" i="2"/>
  <c r="W888" i="2"/>
  <c r="W887" i="2"/>
  <c r="W886" i="2"/>
  <c r="W885" i="2"/>
  <c r="W884" i="2"/>
  <c r="W883" i="2"/>
  <c r="W882" i="2"/>
  <c r="W881" i="2"/>
  <c r="W880" i="2"/>
  <c r="W879" i="2"/>
  <c r="W878" i="2"/>
  <c r="W877" i="2"/>
  <c r="W876" i="2"/>
  <c r="W875" i="2"/>
  <c r="W874" i="2"/>
  <c r="W873" i="2"/>
  <c r="W872" i="2"/>
  <c r="W871" i="2"/>
  <c r="W870" i="2"/>
  <c r="W869" i="2"/>
  <c r="W868" i="2"/>
  <c r="W867" i="2"/>
  <c r="W866" i="2"/>
  <c r="W865" i="2"/>
  <c r="W864" i="2"/>
  <c r="W863" i="2"/>
  <c r="W862" i="2"/>
  <c r="W861" i="2"/>
  <c r="W860" i="2"/>
  <c r="W859" i="2"/>
  <c r="W858" i="2"/>
  <c r="W857" i="2"/>
  <c r="W856" i="2"/>
  <c r="W855" i="2"/>
  <c r="W854" i="2"/>
  <c r="W853" i="2"/>
  <c r="W852" i="2"/>
  <c r="W851" i="2"/>
  <c r="W850" i="2"/>
  <c r="W849" i="2"/>
  <c r="W848" i="2"/>
  <c r="W847" i="2"/>
  <c r="W846" i="2"/>
  <c r="W845" i="2"/>
  <c r="W844" i="2"/>
  <c r="W843" i="2"/>
  <c r="W842" i="2"/>
  <c r="W841" i="2"/>
  <c r="W840" i="2"/>
  <c r="W839" i="2"/>
  <c r="W838" i="2"/>
  <c r="W837" i="2"/>
  <c r="W836" i="2"/>
  <c r="W835" i="2"/>
  <c r="W834" i="2"/>
  <c r="W833" i="2"/>
  <c r="W832" i="2"/>
  <c r="W831" i="2"/>
  <c r="W830" i="2"/>
  <c r="W829" i="2"/>
  <c r="W828" i="2"/>
  <c r="W827" i="2"/>
  <c r="W826" i="2"/>
  <c r="W825" i="2"/>
  <c r="W824" i="2"/>
  <c r="W823" i="2"/>
  <c r="W822" i="2"/>
  <c r="W821" i="2"/>
  <c r="W820" i="2"/>
  <c r="W819" i="2"/>
  <c r="W818" i="2"/>
  <c r="W817" i="2"/>
  <c r="W816" i="2"/>
  <c r="W815" i="2"/>
  <c r="W814" i="2"/>
  <c r="W813" i="2"/>
  <c r="W812" i="2"/>
  <c r="W811" i="2"/>
  <c r="W810" i="2"/>
  <c r="W809" i="2"/>
  <c r="W808" i="2"/>
  <c r="W807" i="2"/>
  <c r="W806" i="2"/>
  <c r="W805" i="2"/>
  <c r="W804" i="2"/>
  <c r="W803" i="2"/>
  <c r="W802" i="2"/>
  <c r="W801" i="2"/>
  <c r="W800" i="2"/>
  <c r="W799" i="2"/>
  <c r="W798" i="2"/>
  <c r="W797" i="2"/>
  <c r="W796" i="2"/>
  <c r="W795" i="2"/>
  <c r="W794" i="2"/>
  <c r="W793" i="2"/>
  <c r="W792" i="2"/>
  <c r="W791" i="2"/>
  <c r="W790" i="2"/>
  <c r="W789" i="2"/>
  <c r="W788" i="2"/>
  <c r="W787" i="2"/>
  <c r="W786" i="2"/>
  <c r="W785" i="2"/>
  <c r="W784" i="2"/>
  <c r="W783" i="2"/>
  <c r="W782" i="2"/>
  <c r="W781" i="2"/>
  <c r="W780" i="2"/>
  <c r="W779" i="2"/>
  <c r="W778" i="2"/>
  <c r="W777" i="2"/>
  <c r="W776" i="2"/>
  <c r="W775" i="2"/>
  <c r="W774" i="2"/>
  <c r="W773" i="2"/>
  <c r="W772" i="2"/>
  <c r="W771" i="2"/>
  <c r="W770" i="2"/>
  <c r="W769" i="2"/>
  <c r="W768" i="2"/>
  <c r="W767" i="2"/>
  <c r="W766" i="2"/>
  <c r="W765" i="2"/>
  <c r="W764" i="2"/>
  <c r="W763" i="2"/>
  <c r="W762" i="2"/>
  <c r="W761" i="2"/>
  <c r="W760" i="2"/>
  <c r="W759" i="2"/>
  <c r="W758" i="2"/>
  <c r="W757" i="2"/>
  <c r="W756" i="2"/>
  <c r="W755" i="2"/>
  <c r="W754" i="2"/>
  <c r="W753" i="2"/>
  <c r="W752" i="2"/>
  <c r="W751" i="2"/>
  <c r="W750" i="2"/>
  <c r="W749" i="2"/>
  <c r="W748" i="2"/>
  <c r="W747" i="2"/>
  <c r="W746" i="2"/>
  <c r="W745" i="2"/>
  <c r="W744" i="2"/>
  <c r="W743" i="2"/>
  <c r="W742" i="2"/>
  <c r="W741" i="2"/>
  <c r="W740" i="2"/>
  <c r="W739" i="2"/>
  <c r="W738" i="2"/>
  <c r="W737" i="2"/>
  <c r="W736" i="2"/>
  <c r="W735" i="2"/>
  <c r="W734" i="2"/>
  <c r="W733" i="2"/>
  <c r="W732" i="2"/>
  <c r="W731" i="2"/>
  <c r="W730" i="2"/>
  <c r="W729" i="2"/>
  <c r="W728" i="2"/>
  <c r="W727" i="2"/>
  <c r="W726" i="2"/>
  <c r="W725" i="2"/>
  <c r="W724" i="2"/>
  <c r="W723" i="2"/>
  <c r="W722" i="2"/>
  <c r="W721" i="2"/>
  <c r="W720" i="2"/>
  <c r="W719" i="2"/>
  <c r="W718" i="2"/>
  <c r="W717" i="2"/>
  <c r="W716" i="2"/>
  <c r="W715" i="2"/>
  <c r="W714" i="2"/>
  <c r="W713" i="2"/>
  <c r="W712" i="2"/>
  <c r="W711" i="2"/>
  <c r="W710" i="2"/>
  <c r="W709" i="2"/>
  <c r="W708" i="2"/>
  <c r="W707" i="2"/>
  <c r="W706" i="2"/>
  <c r="W705" i="2"/>
  <c r="W704" i="2"/>
  <c r="W703" i="2"/>
  <c r="W702" i="2"/>
  <c r="W701" i="2"/>
  <c r="W699" i="2"/>
  <c r="W697" i="2"/>
  <c r="W696" i="2"/>
  <c r="W695" i="2"/>
  <c r="W694" i="2"/>
  <c r="W693" i="2"/>
  <c r="W692" i="2"/>
  <c r="W691" i="2"/>
  <c r="W690" i="2"/>
  <c r="W689" i="2"/>
  <c r="W688" i="2"/>
  <c r="W687" i="2"/>
  <c r="W686" i="2"/>
  <c r="W685" i="2"/>
  <c r="W684" i="2"/>
  <c r="W683" i="2"/>
  <c r="W682" i="2"/>
  <c r="W681" i="2"/>
  <c r="W680" i="2"/>
  <c r="W679" i="2"/>
  <c r="W678" i="2"/>
  <c r="W677" i="2"/>
  <c r="W676" i="2"/>
  <c r="W675" i="2"/>
  <c r="W674" i="2"/>
  <c r="W673" i="2"/>
  <c r="W672" i="2"/>
  <c r="W671" i="2"/>
  <c r="W670" i="2"/>
  <c r="W669" i="2"/>
  <c r="W668" i="2"/>
  <c r="W667" i="2"/>
  <c r="W666" i="2"/>
  <c r="W665" i="2"/>
  <c r="W664" i="2"/>
  <c r="W663" i="2"/>
  <c r="W662" i="2"/>
  <c r="W661" i="2"/>
  <c r="W660" i="2"/>
  <c r="W659" i="2"/>
  <c r="W658" i="2"/>
  <c r="W657" i="2"/>
  <c r="W656" i="2"/>
  <c r="W655" i="2"/>
  <c r="W654" i="2"/>
  <c r="W653" i="2"/>
  <c r="W652" i="2"/>
  <c r="W651" i="2"/>
  <c r="W650" i="2"/>
  <c r="W649" i="2"/>
  <c r="W648" i="2"/>
  <c r="W647" i="2"/>
  <c r="W646" i="2"/>
  <c r="W645" i="2"/>
  <c r="W644" i="2"/>
  <c r="W643" i="2"/>
  <c r="W642" i="2"/>
  <c r="W641" i="2"/>
  <c r="W640" i="2"/>
  <c r="W639" i="2"/>
  <c r="W638" i="2"/>
  <c r="W637" i="2"/>
  <c r="W636" i="2"/>
  <c r="W635" i="2"/>
  <c r="W634" i="2"/>
  <c r="W633" i="2"/>
  <c r="W632" i="2"/>
  <c r="W631" i="2"/>
  <c r="W630" i="2"/>
  <c r="W629" i="2"/>
  <c r="W628" i="2"/>
  <c r="W627" i="2"/>
  <c r="W626" i="2"/>
  <c r="W625" i="2"/>
  <c r="W624" i="2"/>
  <c r="W623" i="2"/>
  <c r="W622" i="2"/>
  <c r="W621" i="2"/>
  <c r="W620" i="2"/>
  <c r="W619" i="2"/>
  <c r="W618" i="2"/>
  <c r="W617" i="2"/>
  <c r="W616" i="2"/>
  <c r="W615" i="2"/>
  <c r="W614" i="2"/>
  <c r="W613" i="2"/>
  <c r="W612" i="2"/>
  <c r="W611" i="2"/>
  <c r="W610" i="2"/>
  <c r="W609" i="2"/>
  <c r="W608" i="2"/>
  <c r="W607" i="2"/>
  <c r="W606" i="2"/>
  <c r="W605" i="2"/>
  <c r="W604" i="2"/>
  <c r="W603" i="2"/>
  <c r="W602" i="2"/>
  <c r="W601" i="2"/>
  <c r="W600" i="2"/>
  <c r="W599" i="2"/>
  <c r="W598" i="2"/>
  <c r="W597" i="2"/>
  <c r="W596" i="2"/>
  <c r="W595" i="2"/>
  <c r="W594" i="2"/>
  <c r="W593" i="2"/>
  <c r="W592" i="2"/>
  <c r="W591" i="2"/>
  <c r="W590" i="2"/>
  <c r="W589" i="2"/>
  <c r="W588" i="2"/>
  <c r="W587" i="2"/>
  <c r="W586" i="2"/>
  <c r="W585" i="2"/>
  <c r="W584" i="2"/>
  <c r="W583" i="2"/>
  <c r="W582" i="2"/>
  <c r="W581" i="2"/>
  <c r="W580" i="2"/>
  <c r="W579" i="2"/>
  <c r="W578" i="2"/>
  <c r="W577" i="2"/>
  <c r="W576" i="2"/>
  <c r="W575" i="2"/>
  <c r="W574" i="2"/>
  <c r="W573" i="2"/>
  <c r="W572" i="2"/>
  <c r="W571" i="2"/>
  <c r="W570" i="2"/>
  <c r="W569" i="2"/>
  <c r="W568" i="2"/>
  <c r="W567" i="2"/>
  <c r="W566" i="2"/>
  <c r="W565" i="2"/>
  <c r="W564" i="2"/>
  <c r="W563" i="2"/>
  <c r="W562" i="2"/>
  <c r="W561" i="2"/>
  <c r="W560" i="2"/>
  <c r="W559" i="2"/>
  <c r="W558" i="2"/>
  <c r="W557" i="2"/>
  <c r="W556" i="2"/>
  <c r="W555" i="2"/>
  <c r="W554" i="2"/>
  <c r="W553" i="2"/>
  <c r="W552" i="2"/>
  <c r="W551" i="2"/>
  <c r="W550" i="2"/>
  <c r="W549" i="2"/>
  <c r="W548" i="2"/>
  <c r="W547" i="2"/>
  <c r="W546" i="2"/>
  <c r="W545" i="2"/>
  <c r="W544" i="2"/>
  <c r="W543" i="2"/>
  <c r="W542" i="2"/>
  <c r="W541" i="2"/>
  <c r="W540" i="2"/>
  <c r="W539" i="2"/>
  <c r="W538" i="2"/>
  <c r="W537" i="2"/>
  <c r="W536" i="2"/>
  <c r="W535" i="2"/>
  <c r="W534" i="2"/>
  <c r="W533" i="2"/>
  <c r="W532" i="2"/>
  <c r="W531" i="2"/>
  <c r="W530" i="2"/>
  <c r="W529" i="2"/>
  <c r="W528" i="2"/>
  <c r="W527" i="2"/>
  <c r="W526" i="2"/>
  <c r="W525" i="2"/>
  <c r="W524" i="2"/>
  <c r="W523" i="2"/>
  <c r="W522" i="2"/>
  <c r="W521" i="2"/>
  <c r="W520" i="2"/>
  <c r="W519" i="2"/>
  <c r="W518" i="2"/>
  <c r="W517" i="2"/>
  <c r="W516" i="2"/>
  <c r="W515" i="2"/>
  <c r="W514" i="2"/>
  <c r="W513" i="2"/>
  <c r="W512" i="2"/>
  <c r="W511" i="2"/>
  <c r="W510" i="2"/>
  <c r="W509" i="2"/>
  <c r="W508" i="2"/>
  <c r="W507" i="2"/>
  <c r="W506" i="2"/>
  <c r="W505" i="2"/>
  <c r="W504" i="2"/>
  <c r="W503" i="2"/>
  <c r="W502" i="2"/>
  <c r="W501" i="2"/>
  <c r="W500" i="2"/>
  <c r="W499" i="2"/>
  <c r="W498" i="2"/>
  <c r="W497" i="2"/>
  <c r="W496" i="2"/>
  <c r="W495" i="2"/>
  <c r="W494" i="2"/>
  <c r="W493" i="2"/>
  <c r="W492" i="2"/>
  <c r="W491" i="2"/>
  <c r="W490" i="2"/>
  <c r="W489" i="2"/>
  <c r="W488" i="2"/>
  <c r="W487" i="2"/>
  <c r="W486" i="2"/>
  <c r="W485" i="2"/>
  <c r="W484" i="2"/>
  <c r="W483" i="2"/>
  <c r="W482" i="2"/>
  <c r="W481" i="2"/>
  <c r="W480" i="2"/>
  <c r="W479" i="2"/>
  <c r="W478" i="2"/>
  <c r="W477" i="2"/>
  <c r="W476" i="2"/>
  <c r="W475" i="2"/>
  <c r="W474" i="2"/>
  <c r="W473" i="2"/>
  <c r="W472" i="2"/>
  <c r="W471" i="2"/>
  <c r="W470" i="2"/>
  <c r="W469" i="2"/>
  <c r="W468" i="2"/>
  <c r="W467" i="2"/>
  <c r="W466" i="2"/>
  <c r="W465" i="2"/>
  <c r="W464" i="2"/>
  <c r="W463" i="2"/>
  <c r="W462" i="2"/>
  <c r="W461" i="2"/>
  <c r="W460" i="2"/>
  <c r="W459" i="2"/>
  <c r="W458" i="2"/>
  <c r="W457" i="2"/>
  <c r="W456" i="2"/>
  <c r="W455" i="2"/>
  <c r="W454" i="2"/>
  <c r="W453" i="2"/>
  <c r="W452" i="2"/>
  <c r="W451" i="2"/>
  <c r="W450" i="2"/>
  <c r="W449" i="2"/>
  <c r="W448" i="2"/>
  <c r="W447" i="2"/>
  <c r="W446" i="2"/>
  <c r="W445" i="2"/>
  <c r="W444" i="2"/>
  <c r="W443" i="2"/>
  <c r="W442" i="2"/>
  <c r="W441" i="2"/>
  <c r="W440" i="2"/>
  <c r="W439" i="2"/>
  <c r="W438" i="2"/>
  <c r="W437" i="2"/>
  <c r="W436" i="2"/>
  <c r="W435" i="2"/>
  <c r="W434" i="2"/>
  <c r="W433" i="2"/>
  <c r="W432" i="2"/>
  <c r="W431" i="2"/>
  <c r="W430" i="2"/>
  <c r="W429" i="2"/>
  <c r="W428" i="2"/>
  <c r="W427" i="2"/>
  <c r="W426" i="2"/>
  <c r="W425" i="2"/>
  <c r="W424" i="2"/>
  <c r="W423" i="2"/>
  <c r="W422" i="2"/>
  <c r="W421" i="2"/>
  <c r="W420" i="2"/>
  <c r="W419" i="2"/>
  <c r="W418" i="2"/>
  <c r="W417" i="2"/>
  <c r="W416" i="2"/>
  <c r="W415" i="2"/>
  <c r="W414" i="2"/>
  <c r="W413" i="2"/>
  <c r="W412" i="2"/>
  <c r="W411" i="2"/>
  <c r="W410" i="2"/>
  <c r="W409" i="2"/>
  <c r="W408" i="2"/>
  <c r="W407" i="2"/>
  <c r="W406" i="2"/>
  <c r="W405" i="2"/>
  <c r="W404" i="2"/>
  <c r="W403" i="2"/>
  <c r="W402" i="2"/>
  <c r="W401" i="2"/>
  <c r="W400" i="2"/>
  <c r="W399" i="2"/>
  <c r="W398" i="2"/>
  <c r="W397" i="2"/>
  <c r="W396" i="2"/>
  <c r="W395" i="2"/>
  <c r="W394" i="2"/>
  <c r="W393" i="2"/>
  <c r="W392" i="2"/>
  <c r="W391" i="2"/>
  <c r="W390" i="2"/>
  <c r="W389" i="2"/>
  <c r="W388" i="2"/>
  <c r="W387" i="2"/>
  <c r="W386" i="2"/>
  <c r="W385" i="2"/>
  <c r="W384" i="2"/>
  <c r="W383" i="2"/>
  <c r="W382" i="2"/>
  <c r="W381" i="2"/>
  <c r="W380" i="2"/>
  <c r="W379" i="2"/>
  <c r="W378" i="2"/>
  <c r="W377" i="2"/>
  <c r="W376" i="2"/>
  <c r="W375" i="2"/>
  <c r="W374" i="2"/>
  <c r="W373" i="2"/>
  <c r="W372" i="2"/>
  <c r="W371" i="2"/>
  <c r="W370" i="2"/>
  <c r="W369" i="2"/>
  <c r="W368" i="2"/>
  <c r="W367" i="2"/>
  <c r="W366" i="2"/>
  <c r="W365" i="2"/>
  <c r="W364" i="2"/>
  <c r="W363" i="2"/>
  <c r="W362" i="2"/>
  <c r="W361" i="2"/>
  <c r="W360" i="2"/>
  <c r="W359" i="2"/>
  <c r="W358" i="2"/>
  <c r="W357" i="2"/>
  <c r="W356" i="2"/>
  <c r="W355" i="2"/>
  <c r="W354" i="2"/>
  <c r="W353" i="2"/>
  <c r="W352" i="2"/>
  <c r="W351" i="2"/>
  <c r="W350" i="2"/>
  <c r="W349" i="2"/>
  <c r="W348" i="2"/>
  <c r="W347" i="2"/>
  <c r="W346" i="2"/>
  <c r="W345" i="2"/>
  <c r="W344" i="2"/>
  <c r="W343" i="2"/>
  <c r="W342" i="2"/>
  <c r="W341" i="2"/>
  <c r="W340" i="2"/>
  <c r="W339" i="2"/>
  <c r="W338" i="2"/>
  <c r="W337" i="2"/>
  <c r="W336" i="2"/>
  <c r="W335" i="2"/>
  <c r="W334" i="2"/>
  <c r="W333" i="2"/>
  <c r="W332" i="2"/>
  <c r="W331" i="2"/>
  <c r="W330" i="2"/>
  <c r="W329" i="2"/>
  <c r="W328" i="2"/>
  <c r="W327" i="2"/>
  <c r="W326" i="2"/>
  <c r="W325" i="2"/>
  <c r="W324" i="2"/>
  <c r="W323" i="2"/>
  <c r="W322" i="2"/>
  <c r="W321" i="2"/>
  <c r="W320" i="2"/>
  <c r="W319" i="2"/>
  <c r="W318" i="2"/>
  <c r="W317" i="2"/>
  <c r="W316" i="2"/>
  <c r="W315" i="2"/>
  <c r="W314" i="2"/>
  <c r="W313" i="2"/>
  <c r="W312" i="2"/>
  <c r="W311" i="2"/>
  <c r="W310" i="2"/>
  <c r="W309" i="2"/>
  <c r="W308" i="2"/>
  <c r="W307" i="2"/>
  <c r="W306" i="2"/>
  <c r="W305" i="2"/>
  <c r="W304" i="2"/>
  <c r="W303" i="2"/>
  <c r="W302" i="2"/>
  <c r="W301" i="2"/>
  <c r="W300" i="2"/>
  <c r="W299" i="2"/>
  <c r="W298" i="2"/>
  <c r="W297" i="2"/>
  <c r="W296" i="2"/>
  <c r="W295" i="2"/>
  <c r="W294" i="2"/>
  <c r="W293" i="2"/>
  <c r="W292" i="2"/>
  <c r="W291" i="2"/>
  <c r="W290" i="2"/>
  <c r="W289" i="2"/>
  <c r="W288" i="2"/>
  <c r="W287" i="2"/>
  <c r="W286" i="2"/>
  <c r="W285" i="2"/>
  <c r="W284" i="2"/>
  <c r="W283" i="2"/>
  <c r="W282" i="2"/>
  <c r="W281" i="2"/>
  <c r="W280" i="2"/>
  <c r="W279" i="2"/>
  <c r="W278" i="2"/>
  <c r="W277" i="2"/>
  <c r="W276" i="2"/>
  <c r="W275" i="2"/>
  <c r="W274" i="2"/>
  <c r="W273" i="2"/>
  <c r="W272" i="2"/>
  <c r="W271" i="2"/>
  <c r="W270" i="2"/>
  <c r="W269" i="2"/>
  <c r="W268" i="2"/>
  <c r="W267" i="2"/>
  <c r="W266" i="2"/>
  <c r="W265" i="2"/>
  <c r="W264" i="2"/>
  <c r="W263" i="2"/>
  <c r="W262" i="2"/>
  <c r="W261" i="2"/>
  <c r="W260" i="2"/>
  <c r="W259" i="2"/>
  <c r="W258" i="2"/>
  <c r="W257" i="2"/>
  <c r="W256" i="2"/>
  <c r="W255" i="2"/>
  <c r="W254" i="2"/>
  <c r="W253" i="2"/>
  <c r="W252" i="2"/>
  <c r="W251" i="2"/>
  <c r="W250" i="2"/>
  <c r="W249" i="2"/>
  <c r="W248" i="2"/>
  <c r="W247" i="2"/>
  <c r="W246" i="2"/>
  <c r="W245" i="2"/>
  <c r="W244" i="2"/>
  <c r="W243" i="2"/>
  <c r="W242" i="2"/>
  <c r="W241" i="2"/>
  <c r="W240" i="2"/>
  <c r="W239" i="2"/>
  <c r="W238" i="2"/>
  <c r="W237" i="2"/>
  <c r="W236" i="2"/>
  <c r="W235" i="2"/>
  <c r="W234" i="2"/>
  <c r="W233" i="2"/>
  <c r="W232" i="2"/>
  <c r="W231" i="2"/>
  <c r="W230" i="2"/>
  <c r="W229" i="2"/>
  <c r="W228" i="2"/>
  <c r="W227" i="2"/>
  <c r="W226" i="2"/>
  <c r="W225" i="2"/>
  <c r="W224" i="2"/>
  <c r="W223" i="2"/>
  <c r="W222" i="2"/>
  <c r="W221" i="2"/>
  <c r="W220" i="2"/>
  <c r="W219" i="2"/>
  <c r="W218" i="2"/>
  <c r="W217" i="2"/>
  <c r="W211" i="2"/>
  <c r="W210" i="2"/>
  <c r="W209" i="2"/>
  <c r="W208" i="2"/>
  <c r="W207" i="2"/>
  <c r="W206" i="2"/>
  <c r="W205" i="2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W182" i="2"/>
  <c r="W181" i="2"/>
  <c r="W180" i="2"/>
  <c r="W179" i="2"/>
  <c r="W178" i="2"/>
  <c r="W177" i="2"/>
  <c r="W176" i="2"/>
  <c r="W175" i="2"/>
  <c r="W174" i="2"/>
  <c r="W173" i="2"/>
  <c r="W172" i="2"/>
  <c r="W171" i="2"/>
  <c r="W170" i="2"/>
  <c r="W169" i="2"/>
  <c r="W168" i="2"/>
  <c r="W167" i="2"/>
  <c r="W166" i="2"/>
  <c r="W165" i="2"/>
  <c r="W164" i="2"/>
  <c r="W163" i="2"/>
  <c r="W162" i="2"/>
  <c r="W161" i="2"/>
  <c r="W160" i="2"/>
  <c r="W159" i="2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3" i="2"/>
  <c r="W216" i="2"/>
  <c r="W215" i="2"/>
  <c r="W214" i="2"/>
  <c r="W213" i="2"/>
  <c r="W212" i="2"/>
  <c r="U896" i="2" a="1"/>
  <c r="U896" i="2" s="1"/>
  <c r="U895" i="2" a="1"/>
  <c r="U895" i="2" s="1"/>
  <c r="U894" i="2" a="1"/>
  <c r="U894" i="2" s="1"/>
  <c r="U893" i="2" a="1"/>
  <c r="U893" i="2" s="1"/>
  <c r="U892" i="2" a="1"/>
  <c r="U892" i="2" s="1"/>
  <c r="U891" i="2" a="1"/>
  <c r="U891" i="2" s="1"/>
  <c r="U890" i="2" a="1"/>
  <c r="U890" i="2" s="1"/>
  <c r="U889" i="2" a="1"/>
  <c r="U889" i="2" s="1"/>
  <c r="U888" i="2" a="1"/>
  <c r="U888" i="2" s="1"/>
  <c r="U887" i="2" a="1"/>
  <c r="U887" i="2" s="1"/>
  <c r="U886" i="2" a="1"/>
  <c r="U886" i="2" s="1"/>
  <c r="U885" i="2" a="1"/>
  <c r="U885" i="2" s="1"/>
  <c r="U884" i="2" a="1"/>
  <c r="U884" i="2" s="1"/>
  <c r="U883" i="2" a="1"/>
  <c r="U883" i="2" s="1"/>
  <c r="U882" i="2" a="1"/>
  <c r="U882" i="2" s="1"/>
  <c r="U881" i="2" a="1"/>
  <c r="U881" i="2" s="1"/>
  <c r="U880" i="2" a="1"/>
  <c r="U880" i="2" s="1"/>
  <c r="U879" i="2" a="1"/>
  <c r="U879" i="2" s="1"/>
  <c r="U878" i="2" a="1"/>
  <c r="U878" i="2" s="1"/>
  <c r="U877" i="2" a="1"/>
  <c r="U877" i="2" s="1"/>
  <c r="U876" i="2" a="1"/>
  <c r="U876" i="2" s="1"/>
  <c r="U875" i="2" a="1"/>
  <c r="U875" i="2" s="1"/>
  <c r="U874" i="2" a="1"/>
  <c r="U874" i="2" s="1"/>
  <c r="U873" i="2" a="1"/>
  <c r="U873" i="2" s="1"/>
  <c r="U872" i="2" a="1"/>
  <c r="U872" i="2" s="1"/>
  <c r="U871" i="2" a="1"/>
  <c r="U871" i="2" s="1"/>
  <c r="U870" i="2" a="1"/>
  <c r="U870" i="2" s="1"/>
  <c r="U869" i="2" a="1"/>
  <c r="U869" i="2" s="1"/>
  <c r="U868" i="2" a="1"/>
  <c r="U868" i="2" s="1"/>
  <c r="U867" i="2" a="1"/>
  <c r="U867" i="2" s="1"/>
  <c r="U866" i="2" a="1"/>
  <c r="U866" i="2" s="1"/>
  <c r="U865" i="2" a="1"/>
  <c r="U865" i="2" s="1"/>
  <c r="U864" i="2" a="1"/>
  <c r="U864" i="2" s="1"/>
  <c r="U863" i="2" a="1"/>
  <c r="U863" i="2" s="1"/>
  <c r="U862" i="2" a="1"/>
  <c r="U862" i="2" s="1"/>
  <c r="U861" i="2" a="1"/>
  <c r="U861" i="2" s="1"/>
  <c r="U860" i="2" a="1"/>
  <c r="U860" i="2" s="1"/>
  <c r="U859" i="2" a="1"/>
  <c r="U859" i="2" s="1"/>
  <c r="U858" i="2" a="1"/>
  <c r="U858" i="2" s="1"/>
  <c r="U857" i="2" a="1"/>
  <c r="U857" i="2" s="1"/>
  <c r="U856" i="2" a="1"/>
  <c r="U856" i="2" s="1"/>
  <c r="U855" i="2" a="1"/>
  <c r="U855" i="2" s="1"/>
  <c r="U854" i="2" a="1"/>
  <c r="U854" i="2" s="1"/>
  <c r="U853" i="2" a="1"/>
  <c r="U853" i="2" s="1"/>
  <c r="U852" i="2" a="1"/>
  <c r="U852" i="2" s="1"/>
  <c r="U851" i="2" a="1"/>
  <c r="U851" i="2" s="1"/>
  <c r="U850" i="2" a="1"/>
  <c r="U850" i="2" s="1"/>
  <c r="U849" i="2" a="1"/>
  <c r="U849" i="2" s="1"/>
  <c r="U848" i="2" a="1"/>
  <c r="U848" i="2" s="1"/>
  <c r="U847" i="2" a="1"/>
  <c r="U847" i="2" s="1"/>
  <c r="U846" i="2" a="1"/>
  <c r="U846" i="2" s="1"/>
  <c r="U845" i="2" a="1"/>
  <c r="U845" i="2" s="1"/>
  <c r="U844" i="2" a="1"/>
  <c r="U844" i="2" s="1"/>
  <c r="U843" i="2" a="1"/>
  <c r="U843" i="2" s="1"/>
  <c r="U842" i="2" a="1"/>
  <c r="U842" i="2" s="1"/>
  <c r="U841" i="2" a="1"/>
  <c r="U841" i="2" s="1"/>
  <c r="U840" i="2" a="1"/>
  <c r="U840" i="2" s="1"/>
  <c r="U839" i="2" a="1"/>
  <c r="U839" i="2" s="1"/>
  <c r="U838" i="2" a="1"/>
  <c r="U838" i="2" s="1"/>
  <c r="U837" i="2" a="1"/>
  <c r="U837" i="2" s="1"/>
  <c r="U836" i="2" a="1"/>
  <c r="U836" i="2" s="1"/>
  <c r="U835" i="2" a="1"/>
  <c r="U835" i="2" s="1"/>
  <c r="U834" i="2" a="1"/>
  <c r="U834" i="2" s="1"/>
  <c r="U833" i="2" a="1"/>
  <c r="U833" i="2" s="1"/>
  <c r="U832" i="2" a="1"/>
  <c r="U832" i="2" s="1"/>
  <c r="U831" i="2" a="1"/>
  <c r="U831" i="2" s="1"/>
  <c r="U830" i="2" a="1"/>
  <c r="U830" i="2" s="1"/>
  <c r="U829" i="2" a="1"/>
  <c r="U829" i="2" s="1"/>
  <c r="U828" i="2" a="1"/>
  <c r="U828" i="2" s="1"/>
  <c r="U827" i="2" a="1"/>
  <c r="U827" i="2" s="1"/>
  <c r="U826" i="2" a="1"/>
  <c r="U826" i="2" s="1"/>
  <c r="U825" i="2" a="1"/>
  <c r="U825" i="2" s="1"/>
  <c r="U824" i="2" a="1"/>
  <c r="U824" i="2" s="1"/>
  <c r="U823" i="2" a="1"/>
  <c r="U823" i="2" s="1"/>
  <c r="U822" i="2" a="1"/>
  <c r="U822" i="2" s="1"/>
  <c r="U821" i="2" a="1"/>
  <c r="U821" i="2" s="1"/>
  <c r="U820" i="2" a="1"/>
  <c r="U820" i="2" s="1"/>
  <c r="U819" i="2" a="1"/>
  <c r="U819" i="2" s="1"/>
  <c r="U818" i="2" a="1"/>
  <c r="U818" i="2" s="1"/>
  <c r="U817" i="2" a="1"/>
  <c r="U817" i="2" s="1"/>
  <c r="U816" i="2" a="1"/>
  <c r="U816" i="2" s="1"/>
  <c r="U815" i="2" a="1"/>
  <c r="U815" i="2" s="1"/>
  <c r="U814" i="2" a="1"/>
  <c r="U814" i="2" s="1"/>
  <c r="U813" i="2" a="1"/>
  <c r="U813" i="2" s="1"/>
  <c r="U812" i="2" a="1"/>
  <c r="U812" i="2" s="1"/>
  <c r="U811" i="2" a="1"/>
  <c r="U811" i="2" s="1"/>
  <c r="U810" i="2" a="1"/>
  <c r="U810" i="2" s="1"/>
  <c r="U809" i="2" a="1"/>
  <c r="U809" i="2" s="1"/>
  <c r="U808" i="2" a="1"/>
  <c r="U808" i="2" s="1"/>
  <c r="U807" i="2" a="1"/>
  <c r="U807" i="2" s="1"/>
  <c r="U806" i="2" a="1"/>
  <c r="U806" i="2" s="1"/>
  <c r="U805" i="2" a="1"/>
  <c r="U805" i="2" s="1"/>
  <c r="U804" i="2" a="1"/>
  <c r="U804" i="2" s="1"/>
  <c r="U803" i="2" a="1"/>
  <c r="U803" i="2" s="1"/>
  <c r="U802" i="2" a="1"/>
  <c r="U802" i="2" s="1"/>
  <c r="U801" i="2" a="1"/>
  <c r="U801" i="2" s="1"/>
  <c r="U800" i="2" a="1"/>
  <c r="U800" i="2" s="1"/>
  <c r="U799" i="2" a="1"/>
  <c r="U799" i="2" s="1"/>
  <c r="U798" i="2" a="1"/>
  <c r="U798" i="2" s="1"/>
  <c r="U797" i="2" a="1"/>
  <c r="U797" i="2" s="1"/>
  <c r="U796" i="2" a="1"/>
  <c r="U796" i="2" s="1"/>
  <c r="U795" i="2" a="1"/>
  <c r="U795" i="2" s="1"/>
  <c r="U794" i="2" a="1"/>
  <c r="U794" i="2" s="1"/>
  <c r="U793" i="2" a="1"/>
  <c r="U793" i="2" s="1"/>
  <c r="U792" i="2" a="1"/>
  <c r="U792" i="2" s="1"/>
  <c r="U791" i="2" a="1"/>
  <c r="U791" i="2" s="1"/>
  <c r="U790" i="2" a="1"/>
  <c r="U790" i="2" s="1"/>
  <c r="U789" i="2" a="1"/>
  <c r="U789" i="2" s="1"/>
  <c r="U788" i="2" a="1"/>
  <c r="U788" i="2" s="1"/>
  <c r="U787" i="2" a="1"/>
  <c r="U787" i="2" s="1"/>
  <c r="U786" i="2" a="1"/>
  <c r="U786" i="2" s="1"/>
  <c r="U785" i="2" a="1"/>
  <c r="U785" i="2" s="1"/>
  <c r="U784" i="2" a="1"/>
  <c r="U784" i="2" s="1"/>
  <c r="U783" i="2" a="1"/>
  <c r="U783" i="2" s="1"/>
  <c r="U782" i="2" a="1"/>
  <c r="U782" i="2" s="1"/>
  <c r="U781" i="2" a="1"/>
  <c r="U781" i="2" s="1"/>
  <c r="U780" i="2" a="1"/>
  <c r="U780" i="2" s="1"/>
  <c r="U779" i="2" a="1"/>
  <c r="U779" i="2" s="1"/>
  <c r="U778" i="2" a="1"/>
  <c r="U778" i="2" s="1"/>
  <c r="U777" i="2" a="1"/>
  <c r="U777" i="2" s="1"/>
  <c r="U776" i="2" a="1"/>
  <c r="U776" i="2" s="1"/>
  <c r="U775" i="2" a="1"/>
  <c r="U775" i="2" s="1"/>
  <c r="U774" i="2" a="1"/>
  <c r="U774" i="2" s="1"/>
  <c r="U773" i="2" a="1"/>
  <c r="U773" i="2" s="1"/>
  <c r="U772" i="2" a="1"/>
  <c r="U772" i="2" s="1"/>
  <c r="U771" i="2" a="1"/>
  <c r="U771" i="2" s="1"/>
  <c r="U770" i="2" a="1"/>
  <c r="U770" i="2" s="1"/>
  <c r="U769" i="2" a="1"/>
  <c r="U769" i="2" s="1"/>
  <c r="U768" i="2" a="1"/>
  <c r="U768" i="2" s="1"/>
  <c r="U767" i="2" a="1"/>
  <c r="U767" i="2" s="1"/>
  <c r="U766" i="2" a="1"/>
  <c r="U766" i="2" s="1"/>
  <c r="U765" i="2" a="1"/>
  <c r="U765" i="2" s="1"/>
  <c r="U764" i="2" a="1"/>
  <c r="U764" i="2" s="1"/>
  <c r="U763" i="2" a="1"/>
  <c r="U763" i="2" s="1"/>
  <c r="U762" i="2" a="1"/>
  <c r="U762" i="2" s="1"/>
  <c r="U761" i="2" a="1"/>
  <c r="U761" i="2" s="1"/>
  <c r="U760" i="2" a="1"/>
  <c r="U760" i="2" s="1"/>
  <c r="U759" i="2" a="1"/>
  <c r="U759" i="2" s="1"/>
  <c r="U758" i="2" a="1"/>
  <c r="U758" i="2" s="1"/>
  <c r="U757" i="2" a="1"/>
  <c r="U757" i="2" s="1"/>
  <c r="U756" i="2" a="1"/>
  <c r="U756" i="2" s="1"/>
  <c r="U755" i="2" a="1"/>
  <c r="U755" i="2" s="1"/>
  <c r="U754" i="2" a="1"/>
  <c r="U754" i="2" s="1"/>
  <c r="U753" i="2" a="1"/>
  <c r="U753" i="2" s="1"/>
  <c r="U752" i="2" a="1"/>
  <c r="U752" i="2" s="1"/>
  <c r="U751" i="2" a="1"/>
  <c r="U751" i="2" s="1"/>
  <c r="U750" i="2" a="1"/>
  <c r="U750" i="2" s="1"/>
  <c r="U749" i="2" a="1"/>
  <c r="U749" i="2" s="1"/>
  <c r="U748" i="2" a="1"/>
  <c r="U748" i="2" s="1"/>
  <c r="U747" i="2" a="1"/>
  <c r="U747" i="2" s="1"/>
  <c r="U746" i="2" a="1"/>
  <c r="U746" i="2" s="1"/>
  <c r="U745" i="2" a="1"/>
  <c r="U745" i="2" s="1"/>
  <c r="U744" i="2" a="1"/>
  <c r="U744" i="2" s="1"/>
  <c r="U743" i="2" a="1"/>
  <c r="U743" i="2" s="1"/>
  <c r="U742" i="2" a="1"/>
  <c r="U742" i="2" s="1"/>
  <c r="U741" i="2" a="1"/>
  <c r="U741" i="2" s="1"/>
  <c r="U740" i="2" a="1"/>
  <c r="U740" i="2" s="1"/>
  <c r="U739" i="2" a="1"/>
  <c r="U739" i="2" s="1"/>
  <c r="U738" i="2" a="1"/>
  <c r="U738" i="2" s="1"/>
  <c r="U737" i="2" a="1"/>
  <c r="U737" i="2" s="1"/>
  <c r="U736" i="2" a="1"/>
  <c r="U736" i="2" s="1"/>
  <c r="U735" i="2" a="1"/>
  <c r="U735" i="2" s="1"/>
  <c r="U734" i="2" a="1"/>
  <c r="U734" i="2" s="1"/>
  <c r="U733" i="2" a="1"/>
  <c r="U733" i="2" s="1"/>
  <c r="U732" i="2" a="1"/>
  <c r="U732" i="2" s="1"/>
  <c r="U731" i="2" a="1"/>
  <c r="U731" i="2" s="1"/>
  <c r="U730" i="2" a="1"/>
  <c r="U730" i="2" s="1"/>
  <c r="U729" i="2" a="1"/>
  <c r="U729" i="2" s="1"/>
  <c r="U728" i="2" a="1"/>
  <c r="U728" i="2" s="1"/>
  <c r="U727" i="2" a="1"/>
  <c r="U727" i="2" s="1"/>
  <c r="U726" i="2" a="1"/>
  <c r="U726" i="2" s="1"/>
  <c r="U725" i="2" a="1"/>
  <c r="U725" i="2" s="1"/>
  <c r="U724" i="2" a="1"/>
  <c r="U724" i="2" s="1"/>
  <c r="U723" i="2" a="1"/>
  <c r="U723" i="2" s="1"/>
  <c r="U722" i="2" a="1"/>
  <c r="U722" i="2" s="1"/>
  <c r="U721" i="2" a="1"/>
  <c r="U721" i="2" s="1"/>
  <c r="U720" i="2" a="1"/>
  <c r="U720" i="2" s="1"/>
  <c r="U719" i="2" a="1"/>
  <c r="U719" i="2" s="1"/>
  <c r="U718" i="2" a="1"/>
  <c r="U718" i="2" s="1"/>
  <c r="U717" i="2" a="1"/>
  <c r="U717" i="2" s="1"/>
  <c r="U716" i="2" a="1"/>
  <c r="U716" i="2" s="1"/>
  <c r="U715" i="2" a="1"/>
  <c r="U715" i="2" s="1"/>
  <c r="U714" i="2" a="1"/>
  <c r="U714" i="2" s="1"/>
  <c r="U713" i="2" a="1"/>
  <c r="U713" i="2" s="1"/>
  <c r="U712" i="2" a="1"/>
  <c r="U712" i="2" s="1"/>
  <c r="U711" i="2" a="1"/>
  <c r="U711" i="2" s="1"/>
  <c r="U710" i="2" a="1"/>
  <c r="U710" i="2" s="1"/>
  <c r="U709" i="2" a="1"/>
  <c r="U709" i="2" s="1"/>
  <c r="U708" i="2" a="1"/>
  <c r="U708" i="2" s="1"/>
  <c r="U707" i="2" a="1"/>
  <c r="U707" i="2" s="1"/>
  <c r="U706" i="2" a="1"/>
  <c r="U706" i="2" s="1"/>
  <c r="U705" i="2" a="1"/>
  <c r="U705" i="2" s="1"/>
  <c r="U704" i="2" a="1"/>
  <c r="U704" i="2" s="1"/>
  <c r="U703" i="2" a="1"/>
  <c r="U703" i="2" s="1"/>
  <c r="U702" i="2" a="1"/>
  <c r="U702" i="2" s="1"/>
  <c r="U701" i="2" a="1"/>
  <c r="U701" i="2" s="1"/>
  <c r="U697" i="2" a="1"/>
  <c r="U697" i="2" s="1"/>
  <c r="U696" i="2" a="1"/>
  <c r="U696" i="2" s="1"/>
  <c r="U695" i="2" a="1"/>
  <c r="U695" i="2" s="1"/>
  <c r="U694" i="2" a="1"/>
  <c r="U694" i="2" s="1"/>
  <c r="U693" i="2" a="1"/>
  <c r="U693" i="2" s="1"/>
  <c r="U692" i="2" a="1"/>
  <c r="U692" i="2" s="1"/>
  <c r="U691" i="2" a="1"/>
  <c r="U691" i="2" s="1"/>
  <c r="U690" i="2" a="1"/>
  <c r="U690" i="2" s="1"/>
  <c r="U689" i="2" a="1"/>
  <c r="U689" i="2" s="1"/>
  <c r="U688" i="2" a="1"/>
  <c r="U688" i="2" s="1"/>
  <c r="U669" i="2" a="1"/>
  <c r="U669" i="2" s="1"/>
  <c r="U668" i="2" a="1"/>
  <c r="U668" i="2" s="1"/>
  <c r="U667" i="2" a="1"/>
  <c r="U667" i="2" s="1"/>
  <c r="U666" i="2" a="1"/>
  <c r="U666" i="2" s="1"/>
  <c r="U665" i="2" a="1"/>
  <c r="U665" i="2" s="1"/>
  <c r="U664" i="2" a="1"/>
  <c r="U664" i="2" s="1"/>
  <c r="U663" i="2" a="1"/>
  <c r="U663" i="2" s="1"/>
  <c r="U662" i="2" a="1"/>
  <c r="U662" i="2" s="1"/>
  <c r="U661" i="2" a="1"/>
  <c r="U661" i="2" s="1"/>
  <c r="U660" i="2" a="1"/>
  <c r="U660" i="2" s="1"/>
  <c r="U659" i="2" a="1"/>
  <c r="U659" i="2" s="1"/>
  <c r="U658" i="2" a="1"/>
  <c r="U658" i="2" s="1"/>
  <c r="U657" i="2" a="1"/>
  <c r="U657" i="2" s="1"/>
  <c r="U656" i="2" a="1"/>
  <c r="U656" i="2" s="1"/>
  <c r="U655" i="2" a="1"/>
  <c r="U655" i="2" s="1"/>
  <c r="U654" i="2" a="1"/>
  <c r="U654" i="2" s="1"/>
  <c r="U653" i="2" a="1"/>
  <c r="U653" i="2" s="1"/>
  <c r="U652" i="2" a="1"/>
  <c r="U652" i="2" s="1"/>
  <c r="U651" i="2" a="1"/>
  <c r="U651" i="2" s="1"/>
  <c r="U650" i="2" a="1"/>
  <c r="U650" i="2" s="1"/>
  <c r="U649" i="2" a="1"/>
  <c r="U649" i="2" s="1"/>
  <c r="U648" i="2" a="1"/>
  <c r="U648" i="2" s="1"/>
  <c r="U647" i="2" a="1"/>
  <c r="U647" i="2" s="1"/>
  <c r="U646" i="2" a="1"/>
  <c r="U646" i="2" s="1"/>
  <c r="U645" i="2" a="1"/>
  <c r="U645" i="2" s="1"/>
  <c r="U644" i="2" a="1"/>
  <c r="U644" i="2" s="1"/>
  <c r="U643" i="2" a="1"/>
  <c r="U643" i="2" s="1"/>
  <c r="U642" i="2" a="1"/>
  <c r="U642" i="2" s="1"/>
  <c r="U641" i="2" a="1"/>
  <c r="U641" i="2" s="1"/>
  <c r="U640" i="2" a="1"/>
  <c r="U640" i="2" s="1"/>
  <c r="U639" i="2" a="1"/>
  <c r="U639" i="2" s="1"/>
  <c r="U638" i="2" a="1"/>
  <c r="U638" i="2" s="1"/>
  <c r="U637" i="2" a="1"/>
  <c r="U637" i="2" s="1"/>
  <c r="U636" i="2" a="1"/>
  <c r="U636" i="2" s="1"/>
  <c r="U635" i="2" a="1"/>
  <c r="U635" i="2" s="1"/>
  <c r="U634" i="2" a="1"/>
  <c r="U634" i="2" s="1"/>
  <c r="U633" i="2" a="1"/>
  <c r="U633" i="2" s="1"/>
  <c r="U632" i="2" a="1"/>
  <c r="U632" i="2" s="1"/>
  <c r="U631" i="2" a="1"/>
  <c r="U631" i="2" s="1"/>
  <c r="U630" i="2" a="1"/>
  <c r="U630" i="2" s="1"/>
  <c r="U629" i="2" a="1"/>
  <c r="U629" i="2" s="1"/>
  <c r="U628" i="2" a="1"/>
  <c r="U628" i="2" s="1"/>
  <c r="U627" i="2" a="1"/>
  <c r="U627" i="2" s="1"/>
  <c r="U626" i="2" a="1"/>
  <c r="U626" i="2" s="1"/>
  <c r="U625" i="2" a="1"/>
  <c r="U625" i="2" s="1"/>
  <c r="U624" i="2" a="1"/>
  <c r="U624" i="2" s="1"/>
  <c r="U623" i="2" a="1"/>
  <c r="U623" i="2" s="1"/>
  <c r="U622" i="2" a="1"/>
  <c r="U622" i="2" s="1"/>
  <c r="U621" i="2" a="1"/>
  <c r="U621" i="2" s="1"/>
  <c r="U620" i="2" a="1"/>
  <c r="U620" i="2" s="1"/>
  <c r="U619" i="2" a="1"/>
  <c r="U619" i="2" s="1"/>
  <c r="U618" i="2" a="1"/>
  <c r="U618" i="2" s="1"/>
  <c r="U617" i="2" a="1"/>
  <c r="U617" i="2" s="1"/>
  <c r="U616" i="2" a="1"/>
  <c r="U616" i="2" s="1"/>
  <c r="U615" i="2" a="1"/>
  <c r="U615" i="2" s="1"/>
  <c r="U614" i="2" a="1"/>
  <c r="U614" i="2" s="1"/>
  <c r="U613" i="2" a="1"/>
  <c r="U613" i="2" s="1"/>
  <c r="U612" i="2" a="1"/>
  <c r="U612" i="2" s="1"/>
  <c r="U611" i="2" a="1"/>
  <c r="U611" i="2" s="1"/>
  <c r="U610" i="2" a="1"/>
  <c r="U610" i="2" s="1"/>
  <c r="U609" i="2" a="1"/>
  <c r="U609" i="2" s="1"/>
  <c r="U608" i="2" a="1"/>
  <c r="U608" i="2" s="1"/>
  <c r="U607" i="2" a="1"/>
  <c r="U607" i="2" s="1"/>
  <c r="U606" i="2" a="1"/>
  <c r="U606" i="2" s="1"/>
  <c r="U605" i="2" a="1"/>
  <c r="U605" i="2" s="1"/>
  <c r="U604" i="2" a="1"/>
  <c r="U604" i="2" s="1"/>
  <c r="U603" i="2" a="1"/>
  <c r="U603" i="2" s="1"/>
  <c r="U602" i="2" a="1"/>
  <c r="U602" i="2" s="1"/>
  <c r="U601" i="2" a="1"/>
  <c r="U601" i="2" s="1"/>
  <c r="U600" i="2" a="1"/>
  <c r="U600" i="2" s="1"/>
  <c r="U599" i="2" a="1"/>
  <c r="U599" i="2" s="1"/>
  <c r="U598" i="2" a="1"/>
  <c r="U598" i="2" s="1"/>
  <c r="U597" i="2" a="1"/>
  <c r="U597" i="2" s="1"/>
  <c r="U596" i="2" a="1"/>
  <c r="U596" i="2" s="1"/>
  <c r="U595" i="2" a="1"/>
  <c r="U595" i="2" s="1"/>
  <c r="U594" i="2" a="1"/>
  <c r="U594" i="2" s="1"/>
  <c r="U593" i="2" a="1"/>
  <c r="U593" i="2" s="1"/>
  <c r="U592" i="2" a="1"/>
  <c r="U592" i="2" s="1"/>
  <c r="U591" i="2" a="1"/>
  <c r="U591" i="2" s="1"/>
  <c r="U590" i="2" a="1"/>
  <c r="U590" i="2" s="1"/>
  <c r="U589" i="2" a="1"/>
  <c r="U589" i="2" s="1"/>
  <c r="U588" i="2" a="1"/>
  <c r="U588" i="2" s="1"/>
  <c r="U587" i="2" a="1"/>
  <c r="U587" i="2" s="1"/>
  <c r="U586" i="2" a="1"/>
  <c r="U586" i="2" s="1"/>
  <c r="U585" i="2" a="1"/>
  <c r="U585" i="2" s="1"/>
  <c r="U584" i="2" a="1"/>
  <c r="U584" i="2" s="1"/>
  <c r="U583" i="2" a="1"/>
  <c r="U583" i="2" s="1"/>
  <c r="U582" i="2" a="1"/>
  <c r="U582" i="2" s="1"/>
  <c r="U581" i="2" a="1"/>
  <c r="U581" i="2" s="1"/>
  <c r="U580" i="2" a="1"/>
  <c r="U580" i="2" s="1"/>
  <c r="U579" i="2" a="1"/>
  <c r="U579" i="2" s="1"/>
  <c r="U578" i="2" a="1"/>
  <c r="U578" i="2" s="1"/>
  <c r="U577" i="2" a="1"/>
  <c r="U577" i="2" s="1"/>
  <c r="U576" i="2" a="1"/>
  <c r="U576" i="2" s="1"/>
  <c r="U575" i="2" a="1"/>
  <c r="U575" i="2" s="1"/>
  <c r="U574" i="2" a="1"/>
  <c r="U574" i="2" s="1"/>
  <c r="U573" i="2" a="1"/>
  <c r="U573" i="2" s="1"/>
  <c r="U572" i="2" a="1"/>
  <c r="U572" i="2" s="1"/>
  <c r="U571" i="2" a="1"/>
  <c r="U571" i="2" s="1"/>
  <c r="U570" i="2" a="1"/>
  <c r="U570" i="2" s="1"/>
  <c r="U569" i="2" a="1"/>
  <c r="U569" i="2" s="1"/>
  <c r="U568" i="2" a="1"/>
  <c r="U568" i="2" s="1"/>
  <c r="U567" i="2" a="1"/>
  <c r="U567" i="2" s="1"/>
  <c r="U566" i="2" a="1"/>
  <c r="U566" i="2" s="1"/>
  <c r="U565" i="2" a="1"/>
  <c r="U565" i="2" s="1"/>
  <c r="U564" i="2" a="1"/>
  <c r="U564" i="2" s="1"/>
  <c r="U563" i="2" a="1"/>
  <c r="U563" i="2" s="1"/>
  <c r="U562" i="2" a="1"/>
  <c r="U562" i="2" s="1"/>
  <c r="U561" i="2" a="1"/>
  <c r="U561" i="2" s="1"/>
  <c r="U560" i="2" a="1"/>
  <c r="U560" i="2" s="1"/>
  <c r="U559" i="2" a="1"/>
  <c r="U559" i="2" s="1"/>
  <c r="U558" i="2" a="1"/>
  <c r="U558" i="2" s="1"/>
  <c r="U557" i="2" a="1"/>
  <c r="U557" i="2" s="1"/>
  <c r="U556" i="2" a="1"/>
  <c r="U556" i="2" s="1"/>
  <c r="U555" i="2" a="1"/>
  <c r="U555" i="2" s="1"/>
  <c r="U554" i="2" a="1"/>
  <c r="U554" i="2" s="1"/>
  <c r="U553" i="2" a="1"/>
  <c r="U553" i="2" s="1"/>
  <c r="U552" i="2" a="1"/>
  <c r="U552" i="2" s="1"/>
  <c r="U551" i="2" a="1"/>
  <c r="U551" i="2" s="1"/>
  <c r="U550" i="2" a="1"/>
  <c r="U550" i="2" s="1"/>
  <c r="U549" i="2" a="1"/>
  <c r="U549" i="2" s="1"/>
  <c r="U548" i="2" a="1"/>
  <c r="U548" i="2" s="1"/>
  <c r="U547" i="2" a="1"/>
  <c r="U547" i="2" s="1"/>
  <c r="U546" i="2" a="1"/>
  <c r="U546" i="2" s="1"/>
  <c r="U545" i="2" a="1"/>
  <c r="U545" i="2" s="1"/>
  <c r="U544" i="2" a="1"/>
  <c r="U544" i="2" s="1"/>
  <c r="U543" i="2" a="1"/>
  <c r="U543" i="2" s="1"/>
  <c r="U542" i="2" a="1"/>
  <c r="U542" i="2" s="1"/>
  <c r="U541" i="2" a="1"/>
  <c r="U541" i="2" s="1"/>
  <c r="U540" i="2" a="1"/>
  <c r="U540" i="2" s="1"/>
  <c r="U539" i="2" a="1"/>
  <c r="U539" i="2" s="1"/>
  <c r="U538" i="2" a="1"/>
  <c r="U538" i="2" s="1"/>
  <c r="U537" i="2" a="1"/>
  <c r="U537" i="2" s="1"/>
  <c r="U536" i="2" a="1"/>
  <c r="U536" i="2" s="1"/>
  <c r="U535" i="2" a="1"/>
  <c r="U535" i="2" s="1"/>
  <c r="U534" i="2" a="1"/>
  <c r="U534" i="2" s="1"/>
  <c r="U533" i="2" a="1"/>
  <c r="U533" i="2" s="1"/>
  <c r="U532" i="2" a="1"/>
  <c r="U532" i="2" s="1"/>
  <c r="U531" i="2" a="1"/>
  <c r="U531" i="2" s="1"/>
  <c r="U530" i="2" a="1"/>
  <c r="U530" i="2" s="1"/>
  <c r="U529" i="2" a="1"/>
  <c r="U529" i="2" s="1"/>
  <c r="U528" i="2" a="1"/>
  <c r="U528" i="2" s="1"/>
  <c r="U527" i="2" a="1"/>
  <c r="U527" i="2" s="1"/>
  <c r="U526" i="2" a="1"/>
  <c r="U526" i="2" s="1"/>
  <c r="U525" i="2" a="1"/>
  <c r="U525" i="2" s="1"/>
  <c r="U524" i="2" a="1"/>
  <c r="U524" i="2" s="1"/>
  <c r="U523" i="2" a="1"/>
  <c r="U523" i="2" s="1"/>
  <c r="U522" i="2" a="1"/>
  <c r="U522" i="2" s="1"/>
  <c r="U521" i="2" a="1"/>
  <c r="U521" i="2" s="1"/>
  <c r="U520" i="2" a="1"/>
  <c r="U520" i="2" s="1"/>
  <c r="U519" i="2" a="1"/>
  <c r="U519" i="2" s="1"/>
  <c r="U518" i="2" a="1"/>
  <c r="U518" i="2" s="1"/>
  <c r="U517" i="2" a="1"/>
  <c r="U517" i="2" s="1"/>
  <c r="U516" i="2" a="1"/>
  <c r="U516" i="2" s="1"/>
  <c r="U511" i="2" a="1"/>
  <c r="U511" i="2" s="1"/>
  <c r="U510" i="2" a="1"/>
  <c r="U510" i="2" s="1"/>
  <c r="U509" i="2" a="1"/>
  <c r="U509" i="2" s="1"/>
  <c r="U508" i="2" a="1"/>
  <c r="U508" i="2" s="1"/>
  <c r="U507" i="2" a="1"/>
  <c r="U507" i="2" s="1"/>
  <c r="U506" i="2" a="1"/>
  <c r="U506" i="2" s="1"/>
  <c r="U505" i="2" a="1"/>
  <c r="U505" i="2" s="1"/>
  <c r="U504" i="2" a="1"/>
  <c r="U504" i="2" s="1"/>
  <c r="U503" i="2" a="1"/>
  <c r="U503" i="2" s="1"/>
  <c r="U502" i="2" a="1"/>
  <c r="U502" i="2" s="1"/>
  <c r="U501" i="2" a="1"/>
  <c r="U501" i="2" s="1"/>
  <c r="U500" i="2" a="1"/>
  <c r="U500" i="2" s="1"/>
  <c r="U499" i="2" a="1"/>
  <c r="U499" i="2" s="1"/>
  <c r="U498" i="2" a="1"/>
  <c r="U498" i="2" s="1"/>
  <c r="U497" i="2" a="1"/>
  <c r="U497" i="2" s="1"/>
  <c r="U496" i="2" a="1"/>
  <c r="U496" i="2" s="1"/>
  <c r="U495" i="2" a="1"/>
  <c r="U495" i="2" s="1"/>
  <c r="U494" i="2" a="1"/>
  <c r="U494" i="2" s="1"/>
  <c r="U493" i="2" a="1"/>
  <c r="U493" i="2" s="1"/>
  <c r="U492" i="2" a="1"/>
  <c r="U492" i="2" s="1"/>
  <c r="U491" i="2" a="1"/>
  <c r="U491" i="2" s="1"/>
  <c r="U490" i="2" a="1"/>
  <c r="U490" i="2" s="1"/>
  <c r="U485" i="2" a="1"/>
  <c r="U485" i="2" s="1"/>
  <c r="U484" i="2" a="1"/>
  <c r="U484" i="2" s="1"/>
  <c r="U483" i="2" a="1"/>
  <c r="U483" i="2" s="1"/>
  <c r="U482" i="2" a="1"/>
  <c r="U482" i="2" s="1"/>
  <c r="U481" i="2" a="1"/>
  <c r="U481" i="2" s="1"/>
  <c r="U480" i="2" a="1"/>
  <c r="U480" i="2" s="1"/>
  <c r="U479" i="2" a="1"/>
  <c r="U479" i="2" s="1"/>
  <c r="U478" i="2" a="1"/>
  <c r="U478" i="2" s="1"/>
  <c r="U477" i="2" a="1"/>
  <c r="U477" i="2" s="1"/>
  <c r="U476" i="2" a="1"/>
  <c r="U476" i="2" s="1"/>
  <c r="U475" i="2" a="1"/>
  <c r="U475" i="2" s="1"/>
  <c r="U474" i="2" a="1"/>
  <c r="U474" i="2" s="1"/>
  <c r="U473" i="2" a="1"/>
  <c r="U473" i="2" s="1"/>
  <c r="U472" i="2" a="1"/>
  <c r="U472" i="2" s="1"/>
  <c r="U471" i="2" a="1"/>
  <c r="U471" i="2" s="1"/>
  <c r="U470" i="2" a="1"/>
  <c r="U470" i="2" s="1"/>
  <c r="U469" i="2" a="1"/>
  <c r="U469" i="2" s="1"/>
  <c r="U468" i="2" a="1"/>
  <c r="U468" i="2" s="1"/>
  <c r="U467" i="2" a="1"/>
  <c r="U467" i="2" s="1"/>
  <c r="U466" i="2" a="1"/>
  <c r="U466" i="2" s="1"/>
  <c r="U465" i="2" a="1"/>
  <c r="U465" i="2" s="1"/>
  <c r="U464" i="2" a="1"/>
  <c r="U464" i="2" s="1"/>
  <c r="U463" i="2" a="1"/>
  <c r="U463" i="2" s="1"/>
  <c r="U462" i="2" a="1"/>
  <c r="U462" i="2" s="1"/>
  <c r="U461" i="2" a="1"/>
  <c r="U461" i="2" s="1"/>
  <c r="U460" i="2" a="1"/>
  <c r="U460" i="2" s="1"/>
  <c r="U459" i="2" a="1"/>
  <c r="U459" i="2" s="1"/>
  <c r="U458" i="2" a="1"/>
  <c r="U458" i="2" s="1"/>
  <c r="U457" i="2" a="1"/>
  <c r="U457" i="2" s="1"/>
  <c r="U456" i="2" a="1"/>
  <c r="U456" i="2" s="1"/>
  <c r="U455" i="2" a="1"/>
  <c r="U455" i="2" s="1"/>
  <c r="U454" i="2" a="1"/>
  <c r="U454" i="2" s="1"/>
  <c r="U453" i="2" a="1"/>
  <c r="U453" i="2" s="1"/>
  <c r="U452" i="2" a="1"/>
  <c r="U452" i="2" s="1"/>
  <c r="U451" i="2" a="1"/>
  <c r="U451" i="2" s="1"/>
  <c r="U450" i="2" a="1"/>
  <c r="U450" i="2" s="1"/>
  <c r="U449" i="2" a="1"/>
  <c r="U449" i="2" s="1"/>
  <c r="U448" i="2" a="1"/>
  <c r="U448" i="2" s="1"/>
  <c r="U447" i="2" a="1"/>
  <c r="U447" i="2" s="1"/>
  <c r="U446" i="2" a="1"/>
  <c r="U446" i="2" s="1"/>
  <c r="U445" i="2" a="1"/>
  <c r="U445" i="2" s="1"/>
  <c r="U444" i="2" a="1"/>
  <c r="U444" i="2" s="1"/>
  <c r="U443" i="2" a="1"/>
  <c r="U443" i="2" s="1"/>
  <c r="U442" i="2" a="1"/>
  <c r="U442" i="2" s="1"/>
  <c r="U441" i="2" a="1"/>
  <c r="U441" i="2" s="1"/>
  <c r="U440" i="2" a="1"/>
  <c r="U440" i="2" s="1"/>
  <c r="U439" i="2" a="1"/>
  <c r="U439" i="2" s="1"/>
  <c r="U438" i="2" a="1"/>
  <c r="U438" i="2" s="1"/>
  <c r="U437" i="2" a="1"/>
  <c r="U437" i="2" s="1"/>
  <c r="U436" i="2" a="1"/>
  <c r="U436" i="2" s="1"/>
  <c r="U435" i="2" a="1"/>
  <c r="U435" i="2" s="1"/>
  <c r="U434" i="2" a="1"/>
  <c r="U434" i="2" s="1"/>
  <c r="U433" i="2" a="1"/>
  <c r="U433" i="2" s="1"/>
  <c r="U432" i="2" a="1"/>
  <c r="U432" i="2" s="1"/>
  <c r="U431" i="2" a="1"/>
  <c r="U431" i="2" s="1"/>
  <c r="U430" i="2" a="1"/>
  <c r="U430" i="2" s="1"/>
  <c r="U429" i="2" a="1"/>
  <c r="U429" i="2" s="1"/>
  <c r="U428" i="2" a="1"/>
  <c r="U428" i="2" s="1"/>
  <c r="U427" i="2" a="1"/>
  <c r="U427" i="2" s="1"/>
  <c r="U426" i="2" a="1"/>
  <c r="U426" i="2" s="1"/>
  <c r="U425" i="2" a="1"/>
  <c r="U425" i="2" s="1"/>
  <c r="U424" i="2" a="1"/>
  <c r="U424" i="2" s="1"/>
  <c r="U423" i="2" a="1"/>
  <c r="U423" i="2" s="1"/>
  <c r="U422" i="2" a="1"/>
  <c r="U422" i="2" s="1"/>
  <c r="U421" i="2" a="1"/>
  <c r="U421" i="2" s="1"/>
  <c r="U420" i="2" a="1"/>
  <c r="U420" i="2" s="1"/>
  <c r="U419" i="2" a="1"/>
  <c r="U419" i="2" s="1"/>
  <c r="U418" i="2" a="1"/>
  <c r="U418" i="2" s="1"/>
  <c r="U417" i="2" a="1"/>
  <c r="U417" i="2" s="1"/>
  <c r="U416" i="2" a="1"/>
  <c r="U416" i="2" s="1"/>
  <c r="U415" i="2" a="1"/>
  <c r="U415" i="2" s="1"/>
  <c r="U414" i="2" a="1"/>
  <c r="U414" i="2" s="1"/>
  <c r="U413" i="2" a="1"/>
  <c r="U413" i="2" s="1"/>
  <c r="U412" i="2" a="1"/>
  <c r="U412" i="2" s="1"/>
  <c r="U411" i="2" a="1"/>
  <c r="U411" i="2" s="1"/>
  <c r="U410" i="2" a="1"/>
  <c r="U410" i="2" s="1"/>
  <c r="U409" i="2" a="1"/>
  <c r="U409" i="2" s="1"/>
  <c r="U408" i="2" a="1"/>
  <c r="U408" i="2" s="1"/>
  <c r="U407" i="2" a="1"/>
  <c r="U407" i="2" s="1"/>
  <c r="U406" i="2" a="1"/>
  <c r="U406" i="2" s="1"/>
  <c r="U405" i="2" a="1"/>
  <c r="U405" i="2" s="1"/>
  <c r="U404" i="2" a="1"/>
  <c r="U404" i="2" s="1"/>
  <c r="U403" i="2" a="1"/>
  <c r="U403" i="2" s="1"/>
  <c r="U402" i="2" a="1"/>
  <c r="U402" i="2" s="1"/>
  <c r="U401" i="2" a="1"/>
  <c r="U401" i="2" s="1"/>
  <c r="U400" i="2" a="1"/>
  <c r="U400" i="2" s="1"/>
  <c r="U399" i="2" a="1"/>
  <c r="U399" i="2" s="1"/>
  <c r="U398" i="2" a="1"/>
  <c r="U398" i="2" s="1"/>
  <c r="U397" i="2" a="1"/>
  <c r="U397" i="2" s="1"/>
  <c r="U396" i="2" a="1"/>
  <c r="U396" i="2" s="1"/>
  <c r="U395" i="2" a="1"/>
  <c r="U395" i="2" s="1"/>
  <c r="U394" i="2" a="1"/>
  <c r="U394" i="2" s="1"/>
  <c r="U393" i="2" a="1"/>
  <c r="U393" i="2" s="1"/>
  <c r="U392" i="2" a="1"/>
  <c r="U392" i="2" s="1"/>
  <c r="U391" i="2" a="1"/>
  <c r="U391" i="2" s="1"/>
  <c r="U390" i="2" a="1"/>
  <c r="U390" i="2" s="1"/>
  <c r="U389" i="2" a="1"/>
  <c r="U389" i="2" s="1"/>
  <c r="U388" i="2" a="1"/>
  <c r="U388" i="2" s="1"/>
  <c r="U387" i="2" a="1"/>
  <c r="U387" i="2" s="1"/>
  <c r="U386" i="2" a="1"/>
  <c r="U386" i="2" s="1"/>
  <c r="U385" i="2" a="1"/>
  <c r="U385" i="2" s="1"/>
  <c r="U384" i="2" a="1"/>
  <c r="U384" i="2" s="1"/>
  <c r="U383" i="2" a="1"/>
  <c r="U383" i="2" s="1"/>
  <c r="U382" i="2" a="1"/>
  <c r="U382" i="2" s="1"/>
  <c r="U381" i="2" a="1"/>
  <c r="U381" i="2" s="1"/>
  <c r="U380" i="2" a="1"/>
  <c r="U380" i="2" s="1"/>
  <c r="U379" i="2" a="1"/>
  <c r="U379" i="2" s="1"/>
  <c r="U378" i="2" a="1"/>
  <c r="U378" i="2" s="1"/>
  <c r="U377" i="2" a="1"/>
  <c r="U377" i="2" s="1"/>
  <c r="U376" i="2" a="1"/>
  <c r="U376" i="2" s="1"/>
  <c r="U375" i="2" a="1"/>
  <c r="U375" i="2" s="1"/>
  <c r="U374" i="2" a="1"/>
  <c r="U374" i="2" s="1"/>
  <c r="U373" i="2" a="1"/>
  <c r="U373" i="2" s="1"/>
  <c r="U372" i="2" a="1"/>
  <c r="U372" i="2" s="1"/>
  <c r="U371" i="2" a="1"/>
  <c r="U371" i="2" s="1"/>
  <c r="U370" i="2" a="1"/>
  <c r="U370" i="2" s="1"/>
  <c r="U369" i="2" a="1"/>
  <c r="U369" i="2" s="1"/>
  <c r="U368" i="2" a="1"/>
  <c r="U368" i="2" s="1"/>
  <c r="U367" i="2" a="1"/>
  <c r="U367" i="2" s="1"/>
  <c r="U366" i="2" a="1"/>
  <c r="U366" i="2" s="1"/>
  <c r="U365" i="2" a="1"/>
  <c r="U365" i="2" s="1"/>
  <c r="U364" i="2" a="1"/>
  <c r="U364" i="2" s="1"/>
  <c r="U363" i="2" a="1"/>
  <c r="U363" i="2" s="1"/>
  <c r="U362" i="2" a="1"/>
  <c r="U362" i="2" s="1"/>
  <c r="U361" i="2" a="1"/>
  <c r="U361" i="2" s="1"/>
  <c r="U360" i="2" a="1"/>
  <c r="U360" i="2" s="1"/>
  <c r="U359" i="2" a="1"/>
  <c r="U359" i="2" s="1"/>
  <c r="U358" i="2" a="1"/>
  <c r="U358" i="2" s="1"/>
  <c r="U357" i="2" a="1"/>
  <c r="U357" i="2" s="1"/>
  <c r="U356" i="2" a="1"/>
  <c r="U356" i="2" s="1"/>
  <c r="U355" i="2" a="1"/>
  <c r="U355" i="2" s="1"/>
  <c r="U354" i="2" a="1"/>
  <c r="U354" i="2" s="1"/>
  <c r="U353" i="2" a="1"/>
  <c r="U353" i="2" s="1"/>
  <c r="U352" i="2" a="1"/>
  <c r="U352" i="2" s="1"/>
  <c r="U351" i="2" a="1"/>
  <c r="U351" i="2" s="1"/>
  <c r="U350" i="2" a="1"/>
  <c r="U350" i="2" s="1"/>
  <c r="U349" i="2" a="1"/>
  <c r="U349" i="2" s="1"/>
  <c r="U348" i="2" a="1"/>
  <c r="U348" i="2" s="1"/>
  <c r="U347" i="2" a="1"/>
  <c r="U347" i="2" s="1"/>
  <c r="U346" i="2" a="1"/>
  <c r="U346" i="2" s="1"/>
  <c r="U345" i="2" a="1"/>
  <c r="U345" i="2" s="1"/>
  <c r="U344" i="2" a="1"/>
  <c r="U344" i="2" s="1"/>
  <c r="U343" i="2" a="1"/>
  <c r="U343" i="2" s="1"/>
  <c r="U342" i="2" a="1"/>
  <c r="U342" i="2" s="1"/>
  <c r="U341" i="2" a="1"/>
  <c r="U341" i="2" s="1"/>
  <c r="U340" i="2" a="1"/>
  <c r="U340" i="2" s="1"/>
  <c r="U339" i="2" a="1"/>
  <c r="U339" i="2" s="1"/>
  <c r="U338" i="2" a="1"/>
  <c r="U338" i="2" s="1"/>
  <c r="U337" i="2" a="1"/>
  <c r="U337" i="2" s="1"/>
  <c r="U336" i="2" a="1"/>
  <c r="U336" i="2" s="1"/>
  <c r="U335" i="2" a="1"/>
  <c r="U335" i="2" s="1"/>
  <c r="U334" i="2" a="1"/>
  <c r="U334" i="2" s="1"/>
  <c r="U333" i="2" a="1"/>
  <c r="U333" i="2" s="1"/>
  <c r="U332" i="2" a="1"/>
  <c r="U332" i="2" s="1"/>
  <c r="U331" i="2" a="1"/>
  <c r="U331" i="2" s="1"/>
  <c r="U330" i="2" a="1"/>
  <c r="U330" i="2" s="1"/>
  <c r="U329" i="2" a="1"/>
  <c r="U329" i="2" s="1"/>
  <c r="U328" i="2" a="1"/>
  <c r="U328" i="2" s="1"/>
  <c r="U327" i="2" a="1"/>
  <c r="U327" i="2" s="1"/>
  <c r="U326" i="2" a="1"/>
  <c r="U326" i="2" s="1"/>
  <c r="U325" i="2" a="1"/>
  <c r="U325" i="2" s="1"/>
  <c r="U324" i="2" a="1"/>
  <c r="U324" i="2" s="1"/>
  <c r="U323" i="2" a="1"/>
  <c r="U323" i="2" s="1"/>
  <c r="U322" i="2" a="1"/>
  <c r="U322" i="2" s="1"/>
  <c r="U321" i="2" a="1"/>
  <c r="U321" i="2" s="1"/>
  <c r="U320" i="2" a="1"/>
  <c r="U320" i="2" s="1"/>
  <c r="U319" i="2" a="1"/>
  <c r="U319" i="2" s="1"/>
  <c r="U318" i="2" a="1"/>
  <c r="U318" i="2" s="1"/>
  <c r="U317" i="2" a="1"/>
  <c r="U317" i="2" s="1"/>
  <c r="U316" i="2" a="1"/>
  <c r="U316" i="2" s="1"/>
  <c r="U315" i="2" a="1"/>
  <c r="U315" i="2" s="1"/>
  <c r="U314" i="2" a="1"/>
  <c r="U314" i="2" s="1"/>
  <c r="U313" i="2" a="1"/>
  <c r="U313" i="2" s="1"/>
  <c r="U312" i="2" a="1"/>
  <c r="U312" i="2" s="1"/>
  <c r="U311" i="2" a="1"/>
  <c r="U311" i="2" s="1"/>
  <c r="U310" i="2" a="1"/>
  <c r="U310" i="2" s="1"/>
  <c r="U309" i="2" a="1"/>
  <c r="U309" i="2" s="1"/>
  <c r="U308" i="2" a="1"/>
  <c r="U308" i="2" s="1"/>
  <c r="U307" i="2" a="1"/>
  <c r="U307" i="2" s="1"/>
  <c r="U306" i="2" a="1"/>
  <c r="U306" i="2" s="1"/>
  <c r="U305" i="2" a="1"/>
  <c r="U305" i="2" s="1"/>
  <c r="U304" i="2" a="1"/>
  <c r="U304" i="2" s="1"/>
  <c r="U303" i="2" a="1"/>
  <c r="U303" i="2" s="1"/>
  <c r="U302" i="2" a="1"/>
  <c r="U302" i="2" s="1"/>
  <c r="U301" i="2" a="1"/>
  <c r="U301" i="2" s="1"/>
  <c r="U300" i="2" a="1"/>
  <c r="U300" i="2" s="1"/>
  <c r="U299" i="2" a="1"/>
  <c r="U299" i="2" s="1"/>
  <c r="U298" i="2" a="1"/>
  <c r="U298" i="2" s="1"/>
  <c r="U297" i="2" a="1"/>
  <c r="U297" i="2" s="1"/>
  <c r="U296" i="2" a="1"/>
  <c r="U296" i="2" s="1"/>
  <c r="U295" i="2" a="1"/>
  <c r="U295" i="2" s="1"/>
  <c r="U294" i="2" a="1"/>
  <c r="U294" i="2" s="1"/>
  <c r="U293" i="2" a="1"/>
  <c r="U293" i="2" s="1"/>
  <c r="U292" i="2" a="1"/>
  <c r="U292" i="2" s="1"/>
  <c r="U291" i="2" a="1"/>
  <c r="U291" i="2" s="1"/>
  <c r="U290" i="2" a="1"/>
  <c r="U290" i="2" s="1"/>
  <c r="U289" i="2" a="1"/>
  <c r="U289" i="2" s="1"/>
  <c r="U288" i="2" a="1"/>
  <c r="U288" i="2" s="1"/>
  <c r="U287" i="2" a="1"/>
  <c r="U287" i="2" s="1"/>
  <c r="U286" i="2" a="1"/>
  <c r="U286" i="2" s="1"/>
  <c r="U285" i="2" a="1"/>
  <c r="U285" i="2" s="1"/>
  <c r="U284" i="2" a="1"/>
  <c r="U284" i="2" s="1"/>
  <c r="U283" i="2" a="1"/>
  <c r="U283" i="2" s="1"/>
  <c r="U282" i="2" a="1"/>
  <c r="U282" i="2" s="1"/>
  <c r="U281" i="2" a="1"/>
  <c r="U281" i="2" s="1"/>
  <c r="U280" i="2" a="1"/>
  <c r="U280" i="2" s="1"/>
  <c r="U279" i="2" a="1"/>
  <c r="U279" i="2" s="1"/>
  <c r="U278" i="2" a="1"/>
  <c r="U278" i="2" s="1"/>
  <c r="U277" i="2" a="1"/>
  <c r="U277" i="2" s="1"/>
  <c r="U276" i="2" a="1"/>
  <c r="U276" i="2" s="1"/>
  <c r="U275" i="2" a="1"/>
  <c r="U275" i="2" s="1"/>
  <c r="U274" i="2" a="1"/>
  <c r="U274" i="2" s="1"/>
  <c r="U273" i="2" a="1"/>
  <c r="U273" i="2" s="1"/>
  <c r="U272" i="2" a="1"/>
  <c r="U272" i="2" s="1"/>
  <c r="U271" i="2" a="1"/>
  <c r="U271" i="2" s="1"/>
  <c r="U270" i="2" a="1"/>
  <c r="U270" i="2" s="1"/>
  <c r="U269" i="2" a="1"/>
  <c r="U269" i="2" s="1"/>
  <c r="U268" i="2" a="1"/>
  <c r="U268" i="2" s="1"/>
  <c r="U267" i="2" a="1"/>
  <c r="U267" i="2" s="1"/>
  <c r="U266" i="2" a="1"/>
  <c r="U266" i="2" s="1"/>
  <c r="U265" i="2" a="1"/>
  <c r="U265" i="2" s="1"/>
  <c r="U264" i="2" a="1"/>
  <c r="U264" i="2" s="1"/>
  <c r="U263" i="2" a="1"/>
  <c r="U263" i="2" s="1"/>
  <c r="U262" i="2" a="1"/>
  <c r="U262" i="2" s="1"/>
  <c r="U261" i="2" a="1"/>
  <c r="U261" i="2" s="1"/>
  <c r="U260" i="2" a="1"/>
  <c r="U260" i="2" s="1"/>
  <c r="U259" i="2" a="1"/>
  <c r="U259" i="2" s="1"/>
  <c r="U258" i="2" a="1"/>
  <c r="U258" i="2" s="1"/>
  <c r="U257" i="2" a="1"/>
  <c r="U257" i="2" s="1"/>
  <c r="U256" i="2" a="1"/>
  <c r="U256" i="2" s="1"/>
  <c r="U255" i="2" a="1"/>
  <c r="U255" i="2" s="1"/>
  <c r="U254" i="2" a="1"/>
  <c r="U254" i="2" s="1"/>
  <c r="U253" i="2" a="1"/>
  <c r="U253" i="2" s="1"/>
  <c r="U252" i="2" a="1"/>
  <c r="U252" i="2" s="1"/>
  <c r="U251" i="2" a="1"/>
  <c r="U251" i="2" s="1"/>
  <c r="U250" i="2" a="1"/>
  <c r="U250" i="2" s="1"/>
  <c r="U249" i="2" a="1"/>
  <c r="U249" i="2" s="1"/>
  <c r="U248" i="2" a="1"/>
  <c r="U248" i="2" s="1"/>
  <c r="U247" i="2" a="1"/>
  <c r="U247" i="2" s="1"/>
  <c r="U246" i="2" a="1"/>
  <c r="U246" i="2" s="1"/>
  <c r="U245" i="2" a="1"/>
  <c r="U245" i="2" s="1"/>
  <c r="U244" i="2" a="1"/>
  <c r="U244" i="2" s="1"/>
  <c r="U243" i="2" a="1"/>
  <c r="U243" i="2" s="1"/>
  <c r="U242" i="2" a="1"/>
  <c r="U242" i="2" s="1"/>
  <c r="U241" i="2" a="1"/>
  <c r="U241" i="2" s="1"/>
  <c r="U240" i="2" a="1"/>
  <c r="U240" i="2" s="1"/>
  <c r="U239" i="2" a="1"/>
  <c r="U239" i="2" s="1"/>
  <c r="U238" i="2" a="1"/>
  <c r="U238" i="2" s="1"/>
  <c r="U237" i="2" a="1"/>
  <c r="U237" i="2" s="1"/>
  <c r="U236" i="2" a="1"/>
  <c r="U236" i="2" s="1"/>
  <c r="U235" i="2" a="1"/>
  <c r="U235" i="2" s="1"/>
  <c r="U234" i="2" a="1"/>
  <c r="U234" i="2" s="1"/>
  <c r="U233" i="2" a="1"/>
  <c r="U233" i="2" s="1"/>
  <c r="U232" i="2" a="1"/>
  <c r="U232" i="2" s="1"/>
  <c r="U231" i="2" a="1"/>
  <c r="U231" i="2" s="1"/>
  <c r="U229" i="2" a="1"/>
  <c r="U229" i="2" s="1"/>
  <c r="U228" i="2" a="1"/>
  <c r="U228" i="2" s="1"/>
  <c r="U227" i="2" a="1"/>
  <c r="U227" i="2" s="1"/>
  <c r="U226" i="2" a="1"/>
  <c r="U226" i="2" s="1"/>
  <c r="U225" i="2" a="1"/>
  <c r="U225" i="2" s="1"/>
  <c r="U224" i="2" a="1"/>
  <c r="U224" i="2" s="1"/>
  <c r="U223" i="2" a="1"/>
  <c r="U223" i="2" s="1"/>
  <c r="U222" i="2" a="1"/>
  <c r="U222" i="2" s="1"/>
  <c r="U221" i="2" a="1"/>
  <c r="U221" i="2" s="1"/>
  <c r="U220" i="2" a="1"/>
  <c r="U220" i="2" s="1"/>
  <c r="U219" i="2" a="1"/>
  <c r="U219" i="2" s="1"/>
  <c r="U218" i="2" a="1"/>
  <c r="U218" i="2" s="1"/>
  <c r="U217" i="2" a="1"/>
  <c r="U217" i="2" s="1"/>
  <c r="U211" i="2" a="1"/>
  <c r="U211" i="2" s="1"/>
  <c r="U210" i="2" a="1"/>
  <c r="U210" i="2" s="1"/>
  <c r="U209" i="2" a="1"/>
  <c r="U209" i="2" s="1"/>
  <c r="U208" i="2" a="1"/>
  <c r="U208" i="2" s="1"/>
  <c r="U207" i="2" a="1"/>
  <c r="U207" i="2" s="1"/>
  <c r="U206" i="2" a="1"/>
  <c r="U206" i="2" s="1"/>
  <c r="U205" i="2" a="1"/>
  <c r="U205" i="2" s="1"/>
  <c r="U204" i="2" a="1"/>
  <c r="U204" i="2" s="1"/>
  <c r="U203" i="2" a="1"/>
  <c r="U203" i="2" s="1"/>
  <c r="U202" i="2" a="1"/>
  <c r="U202" i="2" s="1"/>
  <c r="U201" i="2" a="1"/>
  <c r="U201" i="2" s="1"/>
  <c r="U200" i="2" a="1"/>
  <c r="U200" i="2" s="1"/>
  <c r="U199" i="2" a="1"/>
  <c r="U199" i="2" s="1"/>
  <c r="U198" i="2" a="1"/>
  <c r="U198" i="2" s="1"/>
  <c r="U197" i="2" a="1"/>
  <c r="U197" i="2" s="1"/>
  <c r="U196" i="2" a="1"/>
  <c r="U196" i="2" s="1"/>
  <c r="U195" i="2" a="1"/>
  <c r="U195" i="2" s="1"/>
  <c r="U194" i="2" a="1"/>
  <c r="U194" i="2" s="1"/>
  <c r="U193" i="2" a="1"/>
  <c r="U193" i="2" s="1"/>
  <c r="U192" i="2" a="1"/>
  <c r="U192" i="2" s="1"/>
  <c r="U191" i="2" a="1"/>
  <c r="U191" i="2" s="1"/>
  <c r="U190" i="2" a="1"/>
  <c r="U190" i="2" s="1"/>
  <c r="U189" i="2" a="1"/>
  <c r="U189" i="2" s="1"/>
  <c r="U188" i="2" a="1"/>
  <c r="U188" i="2" s="1"/>
  <c r="U187" i="2" a="1"/>
  <c r="U187" i="2" s="1"/>
  <c r="U186" i="2" a="1"/>
  <c r="U186" i="2" s="1"/>
  <c r="U185" i="2" a="1"/>
  <c r="U185" i="2" s="1"/>
  <c r="U184" i="2" a="1"/>
  <c r="U184" i="2" s="1"/>
  <c r="U183" i="2" a="1"/>
  <c r="U183" i="2" s="1"/>
  <c r="U182" i="2" a="1"/>
  <c r="U182" i="2" s="1"/>
  <c r="U181" i="2" a="1"/>
  <c r="U181" i="2" s="1"/>
  <c r="U180" i="2" a="1"/>
  <c r="U180" i="2" s="1"/>
  <c r="U179" i="2" a="1"/>
  <c r="U179" i="2" s="1"/>
  <c r="U178" i="2" a="1"/>
  <c r="U178" i="2" s="1"/>
  <c r="U177" i="2" a="1"/>
  <c r="U177" i="2" s="1"/>
  <c r="U176" i="2" a="1"/>
  <c r="U176" i="2" s="1"/>
  <c r="U175" i="2" a="1"/>
  <c r="U175" i="2" s="1"/>
  <c r="U174" i="2" a="1"/>
  <c r="U174" i="2" s="1"/>
  <c r="U173" i="2" a="1"/>
  <c r="U173" i="2" s="1"/>
  <c r="U172" i="2" a="1"/>
  <c r="U172" i="2" s="1"/>
  <c r="U171" i="2" a="1"/>
  <c r="U171" i="2" s="1"/>
  <c r="U170" i="2" a="1"/>
  <c r="U170" i="2" s="1"/>
  <c r="U169" i="2" a="1"/>
  <c r="U169" i="2" s="1"/>
  <c r="U168" i="2" a="1"/>
  <c r="U168" i="2" s="1"/>
  <c r="U167" i="2" a="1"/>
  <c r="U167" i="2" s="1"/>
  <c r="U166" i="2" a="1"/>
  <c r="U166" i="2" s="1"/>
  <c r="U165" i="2" a="1"/>
  <c r="U165" i="2" s="1"/>
  <c r="U164" i="2" a="1"/>
  <c r="U164" i="2" s="1"/>
  <c r="U163" i="2" a="1"/>
  <c r="U163" i="2" s="1"/>
  <c r="U162" i="2" a="1"/>
  <c r="U162" i="2" s="1"/>
  <c r="U161" i="2" a="1"/>
  <c r="U161" i="2" s="1"/>
  <c r="U160" i="2" a="1"/>
  <c r="U160" i="2" s="1"/>
  <c r="U159" i="2" a="1"/>
  <c r="U159" i="2" s="1"/>
  <c r="U158" i="2" a="1"/>
  <c r="U158" i="2" s="1"/>
  <c r="U157" i="2" a="1"/>
  <c r="U157" i="2" s="1"/>
  <c r="U156" i="2" a="1"/>
  <c r="U156" i="2" s="1"/>
  <c r="U155" i="2" a="1"/>
  <c r="U155" i="2" s="1"/>
  <c r="U154" i="2" a="1"/>
  <c r="U154" i="2" s="1"/>
  <c r="U153" i="2" a="1"/>
  <c r="U153" i="2" s="1"/>
  <c r="U152" i="2" a="1"/>
  <c r="U152" i="2" s="1"/>
  <c r="U151" i="2" a="1"/>
  <c r="U151" i="2" s="1"/>
  <c r="U150" i="2" a="1"/>
  <c r="U150" i="2" s="1"/>
  <c r="U149" i="2" a="1"/>
  <c r="U149" i="2" s="1"/>
  <c r="U148" i="2" a="1"/>
  <c r="U148" i="2" s="1"/>
  <c r="U147" i="2" a="1"/>
  <c r="U147" i="2" s="1"/>
  <c r="U146" i="2" a="1"/>
  <c r="U146" i="2" s="1"/>
  <c r="U145" i="2" a="1"/>
  <c r="U145" i="2" s="1"/>
  <c r="U144" i="2" a="1"/>
  <c r="U144" i="2" s="1"/>
  <c r="U143" i="2" a="1"/>
  <c r="U143" i="2" s="1"/>
  <c r="U142" i="2" a="1"/>
  <c r="U142" i="2" s="1"/>
  <c r="U141" i="2" a="1"/>
  <c r="U141" i="2" s="1"/>
  <c r="U140" i="2" a="1"/>
  <c r="U140" i="2" s="1"/>
  <c r="U139" i="2" a="1"/>
  <c r="U139" i="2" s="1"/>
  <c r="U138" i="2" a="1"/>
  <c r="U138" i="2" s="1"/>
  <c r="U137" i="2" a="1"/>
  <c r="U137" i="2" s="1"/>
  <c r="U136" i="2" a="1"/>
  <c r="U136" i="2" s="1"/>
  <c r="U135" i="2" a="1"/>
  <c r="U135" i="2" s="1"/>
  <c r="U134" i="2" a="1"/>
  <c r="U134" i="2" s="1"/>
  <c r="U133" i="2" a="1"/>
  <c r="U133" i="2" s="1"/>
  <c r="U132" i="2" a="1"/>
  <c r="U132" i="2" s="1"/>
  <c r="U131" i="2" a="1"/>
  <c r="U131" i="2" s="1"/>
  <c r="U130" i="2" a="1"/>
  <c r="U130" i="2" s="1"/>
  <c r="U129" i="2" a="1"/>
  <c r="U129" i="2" s="1"/>
  <c r="U128" i="2" a="1"/>
  <c r="U128" i="2" s="1"/>
  <c r="U127" i="2" a="1"/>
  <c r="U127" i="2" s="1"/>
  <c r="U126" i="2" a="1"/>
  <c r="U126" i="2" s="1"/>
  <c r="U125" i="2" a="1"/>
  <c r="U125" i="2" s="1"/>
  <c r="U124" i="2" a="1"/>
  <c r="U124" i="2" s="1"/>
  <c r="U123" i="2" a="1"/>
  <c r="U123" i="2" s="1"/>
  <c r="U122" i="2" a="1"/>
  <c r="U122" i="2" s="1"/>
  <c r="U121" i="2" a="1"/>
  <c r="U121" i="2" s="1"/>
  <c r="U120" i="2" a="1"/>
  <c r="U120" i="2" s="1"/>
  <c r="U119" i="2" a="1"/>
  <c r="U119" i="2" s="1"/>
  <c r="U118" i="2" a="1"/>
  <c r="U118" i="2" s="1"/>
  <c r="U117" i="2" a="1"/>
  <c r="U117" i="2" s="1"/>
  <c r="U116" i="2" a="1"/>
  <c r="U116" i="2" s="1"/>
  <c r="U115" i="2" a="1"/>
  <c r="U115" i="2" s="1"/>
  <c r="U114" i="2" a="1"/>
  <c r="U114" i="2" s="1"/>
  <c r="U113" i="2" a="1"/>
  <c r="U113" i="2" s="1"/>
  <c r="U112" i="2" a="1"/>
  <c r="U112" i="2" s="1"/>
  <c r="U111" i="2" a="1"/>
  <c r="U111" i="2" s="1"/>
  <c r="U110" i="2" a="1"/>
  <c r="U110" i="2" s="1"/>
  <c r="U109" i="2" a="1"/>
  <c r="U109" i="2" s="1"/>
  <c r="U108" i="2" a="1"/>
  <c r="U108" i="2" s="1"/>
  <c r="U107" i="2" a="1"/>
  <c r="U107" i="2" s="1"/>
  <c r="U106" i="2" a="1"/>
  <c r="U106" i="2" s="1"/>
  <c r="U105" i="2" a="1"/>
  <c r="U105" i="2" s="1"/>
  <c r="U104" i="2" a="1"/>
  <c r="U104" i="2" s="1"/>
  <c r="U103" i="2" a="1"/>
  <c r="U103" i="2" s="1"/>
  <c r="U102" i="2" a="1"/>
  <c r="U102" i="2" s="1"/>
  <c r="U101" i="2" a="1"/>
  <c r="U101" i="2" s="1"/>
  <c r="U100" i="2" a="1"/>
  <c r="U100" i="2" s="1"/>
  <c r="U99" i="2" a="1"/>
  <c r="U99" i="2" s="1"/>
  <c r="U98" i="2" a="1"/>
  <c r="U98" i="2" s="1"/>
  <c r="U97" i="2" a="1"/>
  <c r="U97" i="2" s="1"/>
  <c r="U96" i="2" a="1"/>
  <c r="U96" i="2" s="1"/>
  <c r="U95" i="2" a="1"/>
  <c r="U95" i="2" s="1"/>
  <c r="U94" i="2" a="1"/>
  <c r="U94" i="2" s="1"/>
  <c r="U93" i="2" a="1"/>
  <c r="U93" i="2" s="1"/>
  <c r="U92" i="2" a="1"/>
  <c r="U92" i="2" s="1"/>
  <c r="U91" i="2" a="1"/>
  <c r="U91" i="2" s="1"/>
  <c r="U90" i="2" a="1"/>
  <c r="U90" i="2" s="1"/>
  <c r="U89" i="2" a="1"/>
  <c r="U89" i="2" s="1"/>
  <c r="U88" i="2" a="1"/>
  <c r="U88" i="2" s="1"/>
  <c r="U87" i="2" a="1"/>
  <c r="U87" i="2" s="1"/>
  <c r="U86" i="2" a="1"/>
  <c r="U86" i="2" s="1"/>
  <c r="U85" i="2" a="1"/>
  <c r="U85" i="2" s="1"/>
  <c r="U84" i="2" a="1"/>
  <c r="U84" i="2" s="1"/>
  <c r="U83" i="2" a="1"/>
  <c r="U83" i="2" s="1"/>
  <c r="U82" i="2" a="1"/>
  <c r="U82" i="2" s="1"/>
  <c r="U81" i="2" a="1"/>
  <c r="U81" i="2" s="1"/>
  <c r="U80" i="2" a="1"/>
  <c r="U80" i="2" s="1"/>
  <c r="U79" i="2" a="1"/>
  <c r="U79" i="2" s="1"/>
  <c r="U78" i="2" a="1"/>
  <c r="U78" i="2" s="1"/>
  <c r="U77" i="2" a="1"/>
  <c r="U77" i="2" s="1"/>
  <c r="U76" i="2" a="1"/>
  <c r="U76" i="2" s="1"/>
  <c r="U75" i="2" a="1"/>
  <c r="U75" i="2" s="1"/>
  <c r="U74" i="2" a="1"/>
  <c r="U74" i="2" s="1"/>
  <c r="U73" i="2" a="1"/>
  <c r="U73" i="2" s="1"/>
  <c r="U72" i="2" a="1"/>
  <c r="U72" i="2" s="1"/>
  <c r="U71" i="2" a="1"/>
  <c r="U71" i="2" s="1"/>
  <c r="U70" i="2" a="1"/>
  <c r="U70" i="2" s="1"/>
  <c r="U69" i="2" a="1"/>
  <c r="U69" i="2" s="1"/>
  <c r="U68" i="2" a="1"/>
  <c r="U68" i="2" s="1"/>
  <c r="U67" i="2" a="1"/>
  <c r="U67" i="2" s="1"/>
  <c r="U66" i="2" a="1"/>
  <c r="U66" i="2" s="1"/>
  <c r="U65" i="2" a="1"/>
  <c r="U65" i="2" s="1"/>
  <c r="U64" i="2" a="1"/>
  <c r="U64" i="2" s="1"/>
  <c r="U63" i="2" a="1"/>
  <c r="U63" i="2" s="1"/>
  <c r="U62" i="2" a="1"/>
  <c r="U62" i="2" s="1"/>
  <c r="U61" i="2" a="1"/>
  <c r="U61" i="2" s="1"/>
  <c r="U60" i="2" a="1"/>
  <c r="U60" i="2" s="1"/>
  <c r="U59" i="2" a="1"/>
  <c r="U59" i="2" s="1"/>
  <c r="U58" i="2" a="1"/>
  <c r="U58" i="2" s="1"/>
  <c r="U57" i="2" a="1"/>
  <c r="U57" i="2" s="1"/>
  <c r="U56" i="2" a="1"/>
  <c r="U56" i="2" s="1"/>
  <c r="U55" i="2" a="1"/>
  <c r="U55" i="2" s="1"/>
  <c r="U54" i="2" a="1"/>
  <c r="U54" i="2" s="1"/>
  <c r="U53" i="2" a="1"/>
  <c r="U53" i="2" s="1"/>
  <c r="U52" i="2" a="1"/>
  <c r="U52" i="2" s="1"/>
  <c r="U51" i="2" a="1"/>
  <c r="U51" i="2" s="1"/>
  <c r="U50" i="2" a="1"/>
  <c r="U50" i="2" s="1"/>
  <c r="U49" i="2" a="1"/>
  <c r="U49" i="2" s="1"/>
  <c r="U48" i="2" a="1"/>
  <c r="U48" i="2" s="1"/>
  <c r="U47" i="2" a="1"/>
  <c r="U47" i="2" s="1"/>
  <c r="U46" i="2" a="1"/>
  <c r="U46" i="2" s="1"/>
  <c r="U45" i="2" a="1"/>
  <c r="U45" i="2" s="1"/>
  <c r="U44" i="2" a="1"/>
  <c r="U44" i="2" s="1"/>
  <c r="U43" i="2" a="1"/>
  <c r="U43" i="2" s="1"/>
  <c r="U42" i="2" a="1"/>
  <c r="U42" i="2" s="1"/>
  <c r="U41" i="2" a="1"/>
  <c r="U41" i="2" s="1"/>
  <c r="U40" i="2" a="1"/>
  <c r="U40" i="2" s="1"/>
  <c r="U39" i="2" a="1"/>
  <c r="U39" i="2" s="1"/>
  <c r="U38" i="2" a="1"/>
  <c r="U38" i="2" s="1"/>
  <c r="U37" i="2" a="1"/>
  <c r="U37" i="2" s="1"/>
  <c r="U36" i="2" a="1"/>
  <c r="U36" i="2" s="1"/>
  <c r="U35" i="2" a="1"/>
  <c r="U35" i="2" s="1"/>
  <c r="U34" i="2" a="1"/>
  <c r="U34" i="2" s="1"/>
  <c r="U33" i="2" a="1"/>
  <c r="U33" i="2" s="1"/>
  <c r="U32" i="2" a="1"/>
  <c r="U32" i="2" s="1"/>
  <c r="U31" i="2" a="1"/>
  <c r="U31" i="2" s="1"/>
  <c r="U30" i="2" a="1"/>
  <c r="U30" i="2" s="1"/>
  <c r="U29" i="2" a="1"/>
  <c r="U29" i="2" s="1"/>
  <c r="U28" i="2" a="1"/>
  <c r="U28" i="2" s="1"/>
  <c r="U27" i="2" a="1"/>
  <c r="U27" i="2" s="1"/>
  <c r="U26" i="2" a="1"/>
  <c r="U26" i="2" s="1"/>
  <c r="U25" i="2" a="1"/>
  <c r="U25" i="2" s="1"/>
  <c r="U24" i="2" a="1"/>
  <c r="U24" i="2" s="1"/>
  <c r="U23" i="2" a="1"/>
  <c r="U23" i="2" s="1"/>
  <c r="U22" i="2" a="1"/>
  <c r="U22" i="2" s="1"/>
  <c r="U21" i="2" a="1"/>
  <c r="U21" i="2" s="1"/>
  <c r="U20" i="2" a="1"/>
  <c r="U20" i="2" s="1"/>
  <c r="U19" i="2" a="1"/>
  <c r="U19" i="2" s="1"/>
  <c r="U18" i="2" a="1"/>
  <c r="U18" i="2" s="1"/>
  <c r="U17" i="2" a="1"/>
  <c r="U17" i="2" s="1"/>
  <c r="U16" i="2" a="1"/>
  <c r="U16" i="2" s="1"/>
  <c r="U15" i="2" a="1"/>
  <c r="U15" i="2" s="1"/>
  <c r="U14" i="2" a="1"/>
  <c r="U14" i="2" s="1"/>
  <c r="U13" i="2" a="1"/>
  <c r="U13" i="2" s="1"/>
  <c r="U12" i="2" a="1"/>
  <c r="U12" i="2" s="1"/>
  <c r="U11" i="2" a="1"/>
  <c r="U11" i="2" s="1"/>
  <c r="U10" i="2" a="1"/>
  <c r="U10" i="2" s="1"/>
  <c r="U9" i="2" a="1"/>
  <c r="U9" i="2" s="1"/>
  <c r="U8" i="2" a="1"/>
  <c r="U8" i="2" s="1"/>
  <c r="U7" i="2" a="1"/>
  <c r="U7" i="2" s="1"/>
  <c r="U6" i="2" a="1"/>
  <c r="U6" i="2" s="1"/>
  <c r="U5" i="2" a="1"/>
  <c r="U5" i="2" s="1"/>
  <c r="U4" i="2" a="1"/>
  <c r="U4" i="2" s="1"/>
  <c r="U3" i="2" a="1"/>
  <c r="U3" i="2" s="1"/>
  <c r="U512" i="2" a="1"/>
  <c r="U512" i="2" s="1"/>
  <c r="U515" i="2" a="1"/>
  <c r="U515" i="2" s="1"/>
  <c r="U514" i="2" a="1"/>
  <c r="U514" i="2" s="1"/>
  <c r="U513" i="2" a="1"/>
  <c r="U513" i="2" s="1"/>
  <c r="U699" i="2" a="1"/>
  <c r="U699" i="2" s="1"/>
  <c r="U489" i="2" a="1"/>
  <c r="U489" i="2" s="1"/>
  <c r="U488" i="2" a="1"/>
  <c r="U488" i="2" s="1"/>
  <c r="U487" i="2" a="1"/>
  <c r="U487" i="2" s="1"/>
  <c r="U486" i="2" a="1"/>
  <c r="U486" i="2" s="1"/>
  <c r="U687" i="2" a="1"/>
  <c r="U687" i="2" s="1"/>
  <c r="U686" i="2" a="1"/>
  <c r="U686" i="2" s="1"/>
  <c r="U685" i="2" a="1"/>
  <c r="U685" i="2" s="1"/>
  <c r="U684" i="2" a="1"/>
  <c r="U684" i="2" s="1"/>
  <c r="U683" i="2" a="1"/>
  <c r="U683" i="2" s="1"/>
  <c r="U682" i="2" a="1"/>
  <c r="U682" i="2" s="1"/>
  <c r="U681" i="2" a="1"/>
  <c r="U681" i="2" s="1"/>
  <c r="U680" i="2" a="1"/>
  <c r="U680" i="2" s="1"/>
  <c r="U679" i="2" a="1"/>
  <c r="U679" i="2" s="1"/>
  <c r="U678" i="2" a="1"/>
  <c r="U678" i="2" s="1"/>
  <c r="U677" i="2" a="1"/>
  <c r="U677" i="2" s="1"/>
  <c r="U676" i="2" a="1"/>
  <c r="U676" i="2" s="1"/>
  <c r="U675" i="2" a="1"/>
  <c r="U675" i="2" s="1"/>
  <c r="U674" i="2" a="1"/>
  <c r="U674" i="2" s="1"/>
  <c r="U673" i="2" a="1"/>
  <c r="U673" i="2" s="1"/>
  <c r="U672" i="2" a="1"/>
  <c r="U672" i="2" s="1"/>
  <c r="U671" i="2" a="1"/>
  <c r="U671" i="2" s="1"/>
  <c r="U670" i="2" a="1"/>
  <c r="U670" i="2" s="1"/>
  <c r="U216" i="2" a="1"/>
  <c r="U216" i="2" s="1"/>
  <c r="U215" i="2" a="1"/>
  <c r="U215" i="2" s="1"/>
  <c r="U214" i="2" a="1"/>
  <c r="U214" i="2" s="1"/>
  <c r="U213" i="2" a="1"/>
  <c r="U213" i="2" s="1"/>
  <c r="U212" i="2" a="1"/>
  <c r="U212" i="2" s="1"/>
  <c r="AH896" i="2"/>
  <c r="AD896" i="2"/>
  <c r="J896" i="2"/>
  <c r="G896" i="2"/>
  <c r="E896" i="2"/>
  <c r="C896" i="2"/>
  <c r="AH895" i="2"/>
  <c r="AD895" i="2"/>
  <c r="J895" i="2"/>
  <c r="G895" i="2"/>
  <c r="E895" i="2"/>
  <c r="C895" i="2"/>
  <c r="AH894" i="2"/>
  <c r="AD894" i="2"/>
  <c r="AE894" i="2" s="1"/>
  <c r="J894" i="2"/>
  <c r="G894" i="2"/>
  <c r="E894" i="2"/>
  <c r="C894" i="2"/>
  <c r="AH893" i="2"/>
  <c r="AD893" i="2"/>
  <c r="AE893" i="2" s="1"/>
  <c r="J893" i="2"/>
  <c r="G893" i="2"/>
  <c r="E893" i="2"/>
  <c r="C893" i="2"/>
  <c r="AH892" i="2"/>
  <c r="AD892" i="2"/>
  <c r="J892" i="2"/>
  <c r="G892" i="2"/>
  <c r="E892" i="2"/>
  <c r="C892" i="2"/>
  <c r="AH891" i="2"/>
  <c r="AD891" i="2"/>
  <c r="AE891" i="2" s="1"/>
  <c r="AB891" i="2" s="1"/>
  <c r="J891" i="2"/>
  <c r="G891" i="2"/>
  <c r="E891" i="2"/>
  <c r="C891" i="2"/>
  <c r="AH890" i="2"/>
  <c r="AD890" i="2"/>
  <c r="J890" i="2"/>
  <c r="G890" i="2"/>
  <c r="E890" i="2"/>
  <c r="C890" i="2"/>
  <c r="AH889" i="2"/>
  <c r="AD889" i="2"/>
  <c r="AE889" i="2" s="1"/>
  <c r="J889" i="2"/>
  <c r="G889" i="2"/>
  <c r="E889" i="2"/>
  <c r="C889" i="2"/>
  <c r="AH888" i="2"/>
  <c r="AD888" i="2"/>
  <c r="J888" i="2"/>
  <c r="G888" i="2"/>
  <c r="E888" i="2"/>
  <c r="C888" i="2"/>
  <c r="J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9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98" i="2"/>
  <c r="AH799" i="2"/>
  <c r="AH800" i="2"/>
  <c r="AH801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7" i="2"/>
  <c r="AH8" i="2"/>
  <c r="AH9" i="2"/>
  <c r="AH10" i="2"/>
  <c r="AH11" i="2"/>
  <c r="AH12" i="2"/>
  <c r="AH13" i="2"/>
  <c r="AH6" i="2"/>
  <c r="AH5" i="2"/>
  <c r="AH4" i="2"/>
  <c r="AH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9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3" i="2"/>
  <c r="E699" i="2"/>
  <c r="AC844" i="2"/>
  <c r="AC831" i="2"/>
  <c r="AC804" i="2"/>
  <c r="AC803" i="2"/>
  <c r="AC802" i="2"/>
  <c r="AC801" i="2"/>
  <c r="AC800" i="2"/>
  <c r="AC799" i="2"/>
  <c r="AC798" i="2"/>
  <c r="AC797" i="2"/>
  <c r="AC796" i="2"/>
  <c r="AC795" i="2"/>
  <c r="AC794" i="2"/>
  <c r="AC793" i="2"/>
  <c r="AC792" i="2"/>
  <c r="AC791" i="2"/>
  <c r="AC790" i="2"/>
  <c r="AC789" i="2"/>
  <c r="AC788" i="2"/>
  <c r="AC787" i="2"/>
  <c r="AC786" i="2"/>
  <c r="AC785" i="2"/>
  <c r="AC784" i="2"/>
  <c r="AC783" i="2"/>
  <c r="AC782" i="2"/>
  <c r="AC781" i="2"/>
  <c r="AC780" i="2"/>
  <c r="AC779" i="2"/>
  <c r="AC778" i="2"/>
  <c r="AC777" i="2"/>
  <c r="AC776" i="2"/>
  <c r="AC775" i="2"/>
  <c r="AC774" i="2"/>
  <c r="AC773" i="2"/>
  <c r="AC772" i="2"/>
  <c r="AC771" i="2"/>
  <c r="AC770" i="2"/>
  <c r="AC769" i="2"/>
  <c r="AC768" i="2"/>
  <c r="AC767" i="2"/>
  <c r="AC766" i="2"/>
  <c r="AC765" i="2"/>
  <c r="AC764" i="2"/>
  <c r="AC763" i="2"/>
  <c r="AC762" i="2"/>
  <c r="AC761" i="2"/>
  <c r="AC760" i="2"/>
  <c r="AC759" i="2"/>
  <c r="AC758" i="2"/>
  <c r="AC757" i="2"/>
  <c r="AC756" i="2"/>
  <c r="AC755" i="2"/>
  <c r="AC754" i="2"/>
  <c r="AC753" i="2"/>
  <c r="AC752" i="2"/>
  <c r="AC751" i="2"/>
  <c r="AC750" i="2"/>
  <c r="AC749" i="2"/>
  <c r="AC748" i="2"/>
  <c r="AC747" i="2"/>
  <c r="AC746" i="2"/>
  <c r="AC745" i="2"/>
  <c r="AC744" i="2"/>
  <c r="AC743" i="2"/>
  <c r="AC742" i="2"/>
  <c r="AC741" i="2"/>
  <c r="AC740" i="2"/>
  <c r="AC739" i="2"/>
  <c r="AC738" i="2"/>
  <c r="AC737" i="2"/>
  <c r="AC736" i="2"/>
  <c r="AC735" i="2"/>
  <c r="AC734" i="2"/>
  <c r="AC733" i="2"/>
  <c r="AC732" i="2"/>
  <c r="AC731" i="2"/>
  <c r="AC730" i="2"/>
  <c r="AC729" i="2"/>
  <c r="AC728" i="2"/>
  <c r="AC727" i="2"/>
  <c r="AC726" i="2"/>
  <c r="AC725" i="2"/>
  <c r="AC724" i="2"/>
  <c r="AC723" i="2"/>
  <c r="AC722" i="2"/>
  <c r="AC721" i="2"/>
  <c r="AC720" i="2"/>
  <c r="AC719" i="2"/>
  <c r="AC718" i="2"/>
  <c r="AC717" i="2"/>
  <c r="AC716" i="2"/>
  <c r="AC715" i="2"/>
  <c r="AC714" i="2"/>
  <c r="AC713" i="2"/>
  <c r="AC712" i="2"/>
  <c r="AC711" i="2"/>
  <c r="AC710" i="2"/>
  <c r="AC709" i="2"/>
  <c r="AC708" i="2"/>
  <c r="AC707" i="2"/>
  <c r="AC706" i="2"/>
  <c r="AC705" i="2"/>
  <c r="AC704" i="2"/>
  <c r="AC703" i="2"/>
  <c r="AC702" i="2"/>
  <c r="AC701" i="2"/>
  <c r="AC699" i="2"/>
  <c r="AC697" i="2"/>
  <c r="AC696" i="2"/>
  <c r="AC695" i="2"/>
  <c r="AC694" i="2"/>
  <c r="AC693" i="2"/>
  <c r="AC692" i="2"/>
  <c r="AC691" i="2"/>
  <c r="AC690" i="2"/>
  <c r="AC689" i="2"/>
  <c r="AC688" i="2"/>
  <c r="AC687" i="2"/>
  <c r="AC686" i="2"/>
  <c r="AC685" i="2"/>
  <c r="AC684" i="2"/>
  <c r="AC683" i="2"/>
  <c r="AC682" i="2"/>
  <c r="AC681" i="2"/>
  <c r="AC680" i="2"/>
  <c r="AC679" i="2"/>
  <c r="AC678" i="2"/>
  <c r="AC677" i="2"/>
  <c r="AC676" i="2"/>
  <c r="AC675" i="2"/>
  <c r="AC674" i="2"/>
  <c r="AC673" i="2"/>
  <c r="AC672" i="2"/>
  <c r="AC671" i="2"/>
  <c r="AC670" i="2"/>
  <c r="AC669" i="2"/>
  <c r="AC668" i="2"/>
  <c r="AC667" i="2"/>
  <c r="AC666" i="2"/>
  <c r="AC665" i="2"/>
  <c r="AC664" i="2"/>
  <c r="AC663" i="2"/>
  <c r="AC662" i="2"/>
  <c r="AC661" i="2"/>
  <c r="AC660" i="2"/>
  <c r="AC659" i="2"/>
  <c r="AC658" i="2"/>
  <c r="AC657" i="2"/>
  <c r="AC656" i="2"/>
  <c r="AC655" i="2"/>
  <c r="AC654" i="2"/>
  <c r="AC653" i="2"/>
  <c r="AC652" i="2"/>
  <c r="AC651" i="2"/>
  <c r="AC650" i="2"/>
  <c r="AC649" i="2"/>
  <c r="AC648" i="2"/>
  <c r="AC647" i="2"/>
  <c r="AC646" i="2"/>
  <c r="AC645" i="2"/>
  <c r="AC644" i="2"/>
  <c r="AC643" i="2"/>
  <c r="AC642" i="2"/>
  <c r="AC641" i="2"/>
  <c r="AC640" i="2"/>
  <c r="AC639" i="2"/>
  <c r="AC638" i="2"/>
  <c r="AC637" i="2"/>
  <c r="AC636" i="2"/>
  <c r="AC635" i="2"/>
  <c r="AC634" i="2"/>
  <c r="AC633" i="2"/>
  <c r="AC632" i="2"/>
  <c r="AC631" i="2"/>
  <c r="AC630" i="2"/>
  <c r="AC629" i="2"/>
  <c r="AC628" i="2"/>
  <c r="AC627" i="2"/>
  <c r="AC626" i="2"/>
  <c r="AC625" i="2"/>
  <c r="AC624" i="2"/>
  <c r="AC623" i="2"/>
  <c r="AC622" i="2"/>
  <c r="AC621" i="2"/>
  <c r="AC620" i="2"/>
  <c r="AC619" i="2"/>
  <c r="AC618" i="2"/>
  <c r="AC617" i="2"/>
  <c r="AC616" i="2"/>
  <c r="AC615" i="2"/>
  <c r="AC614" i="2"/>
  <c r="AC613" i="2"/>
  <c r="AC612" i="2"/>
  <c r="AC611" i="2"/>
  <c r="AC610" i="2"/>
  <c r="AC609" i="2"/>
  <c r="AC608" i="2"/>
  <c r="AC607" i="2"/>
  <c r="AC606" i="2"/>
  <c r="AC605" i="2"/>
  <c r="AC604" i="2"/>
  <c r="AC603" i="2"/>
  <c r="AC602" i="2"/>
  <c r="AC601" i="2"/>
  <c r="AC600" i="2"/>
  <c r="AC599" i="2"/>
  <c r="AC598" i="2"/>
  <c r="AC597" i="2"/>
  <c r="AC596" i="2"/>
  <c r="AC595" i="2"/>
  <c r="AC594" i="2"/>
  <c r="AC593" i="2"/>
  <c r="AC592" i="2"/>
  <c r="AC591" i="2"/>
  <c r="AC590" i="2"/>
  <c r="AC589" i="2"/>
  <c r="AC588" i="2"/>
  <c r="AC587" i="2"/>
  <c r="AC586" i="2"/>
  <c r="AC585" i="2"/>
  <c r="AC584" i="2"/>
  <c r="AC583" i="2"/>
  <c r="AC582" i="2"/>
  <c r="AC581" i="2"/>
  <c r="AC580" i="2"/>
  <c r="AC579" i="2"/>
  <c r="AC578" i="2"/>
  <c r="AC577" i="2"/>
  <c r="AC576" i="2"/>
  <c r="AC575" i="2"/>
  <c r="AC574" i="2"/>
  <c r="AC573" i="2"/>
  <c r="AC572" i="2"/>
  <c r="AC571" i="2"/>
  <c r="AC570" i="2"/>
  <c r="AC569" i="2"/>
  <c r="AC568" i="2"/>
  <c r="AC567" i="2"/>
  <c r="AC566" i="2"/>
  <c r="AC565" i="2"/>
  <c r="AC564" i="2"/>
  <c r="AC563" i="2"/>
  <c r="AC562" i="2"/>
  <c r="AC561" i="2"/>
  <c r="AC560" i="2"/>
  <c r="AC559" i="2"/>
  <c r="AC558" i="2"/>
  <c r="AC557" i="2"/>
  <c r="AC556" i="2"/>
  <c r="AC555" i="2"/>
  <c r="AC554" i="2"/>
  <c r="AC553" i="2"/>
  <c r="AC552" i="2"/>
  <c r="AC551" i="2"/>
  <c r="AC550" i="2"/>
  <c r="AC549" i="2"/>
  <c r="AC548" i="2"/>
  <c r="AC547" i="2"/>
  <c r="AC546" i="2"/>
  <c r="AC545" i="2"/>
  <c r="AC544" i="2"/>
  <c r="AC543" i="2"/>
  <c r="AC542" i="2"/>
  <c r="AC541" i="2"/>
  <c r="AC540" i="2"/>
  <c r="AC539" i="2"/>
  <c r="AC538" i="2"/>
  <c r="AC537" i="2"/>
  <c r="AC536" i="2"/>
  <c r="AC535" i="2"/>
  <c r="AC534" i="2"/>
  <c r="AC533" i="2"/>
  <c r="AC532" i="2"/>
  <c r="AC531" i="2"/>
  <c r="AC530" i="2"/>
  <c r="AC529" i="2"/>
  <c r="AC528" i="2"/>
  <c r="AC527" i="2"/>
  <c r="AC526" i="2"/>
  <c r="AC525" i="2"/>
  <c r="AC524" i="2"/>
  <c r="AC523" i="2"/>
  <c r="AC522" i="2"/>
  <c r="AC521" i="2"/>
  <c r="AC520" i="2"/>
  <c r="AC519" i="2"/>
  <c r="AC518" i="2"/>
  <c r="AC517" i="2"/>
  <c r="AC516" i="2"/>
  <c r="AC515" i="2"/>
  <c r="AC514" i="2"/>
  <c r="AC513" i="2"/>
  <c r="AC512" i="2"/>
  <c r="AC511" i="2"/>
  <c r="AC510" i="2"/>
  <c r="AC509" i="2"/>
  <c r="AC508" i="2"/>
  <c r="AC507" i="2"/>
  <c r="AC506" i="2"/>
  <c r="AC505" i="2"/>
  <c r="AC504" i="2"/>
  <c r="AC503" i="2"/>
  <c r="AC502" i="2"/>
  <c r="AC501" i="2"/>
  <c r="AC500" i="2"/>
  <c r="AC499" i="2"/>
  <c r="AC498" i="2"/>
  <c r="AC497" i="2"/>
  <c r="AC496" i="2"/>
  <c r="AC495" i="2"/>
  <c r="AC494" i="2"/>
  <c r="AC493" i="2"/>
  <c r="AC492" i="2"/>
  <c r="AC491" i="2"/>
  <c r="AC490" i="2"/>
  <c r="AC489" i="2"/>
  <c r="AC488" i="2"/>
  <c r="AC487" i="2"/>
  <c r="AC486" i="2"/>
  <c r="AC485" i="2"/>
  <c r="AC484" i="2"/>
  <c r="AC483" i="2"/>
  <c r="AC482" i="2"/>
  <c r="AC481" i="2"/>
  <c r="AC480" i="2"/>
  <c r="AC479" i="2"/>
  <c r="AC478" i="2"/>
  <c r="AC477" i="2"/>
  <c r="AC476" i="2"/>
  <c r="AC475" i="2"/>
  <c r="AC474" i="2"/>
  <c r="AC473" i="2"/>
  <c r="AC472" i="2"/>
  <c r="AC471" i="2"/>
  <c r="AC470" i="2"/>
  <c r="AC469" i="2"/>
  <c r="AC468" i="2"/>
  <c r="AC467" i="2"/>
  <c r="AC466" i="2"/>
  <c r="AC465" i="2"/>
  <c r="AC464" i="2"/>
  <c r="AC463" i="2"/>
  <c r="AC462" i="2"/>
  <c r="AC461" i="2"/>
  <c r="AC460" i="2"/>
  <c r="AC459" i="2"/>
  <c r="AC458" i="2"/>
  <c r="AC457" i="2"/>
  <c r="AC456" i="2"/>
  <c r="AC455" i="2"/>
  <c r="AC454" i="2"/>
  <c r="AC453" i="2"/>
  <c r="AC452" i="2"/>
  <c r="AC451" i="2"/>
  <c r="AC450" i="2"/>
  <c r="AC449" i="2"/>
  <c r="AC448" i="2"/>
  <c r="AC447" i="2"/>
  <c r="AC446" i="2"/>
  <c r="AC445" i="2"/>
  <c r="AC444" i="2"/>
  <c r="AC443" i="2"/>
  <c r="AC442" i="2"/>
  <c r="AC441" i="2"/>
  <c r="AC440" i="2"/>
  <c r="AC439" i="2"/>
  <c r="AC438" i="2"/>
  <c r="AC437" i="2"/>
  <c r="AC436" i="2"/>
  <c r="AC435" i="2"/>
  <c r="AC434" i="2"/>
  <c r="AC433" i="2"/>
  <c r="AC432" i="2"/>
  <c r="AC431" i="2"/>
  <c r="AC430" i="2"/>
  <c r="AC429" i="2"/>
  <c r="AC428" i="2"/>
  <c r="AC427" i="2"/>
  <c r="AC426" i="2"/>
  <c r="AC425" i="2"/>
  <c r="AC424" i="2"/>
  <c r="AC423" i="2"/>
  <c r="AC422" i="2"/>
  <c r="AC421" i="2"/>
  <c r="AC420" i="2"/>
  <c r="AC419" i="2"/>
  <c r="AC418" i="2"/>
  <c r="AC417" i="2"/>
  <c r="AC416" i="2"/>
  <c r="AC415" i="2"/>
  <c r="AC414" i="2"/>
  <c r="AC413" i="2"/>
  <c r="AC412" i="2"/>
  <c r="AC411" i="2"/>
  <c r="AC410" i="2"/>
  <c r="AC409" i="2"/>
  <c r="AC408" i="2"/>
  <c r="AC407" i="2"/>
  <c r="AC406" i="2"/>
  <c r="AC405" i="2"/>
  <c r="AC404" i="2"/>
  <c r="AC403" i="2"/>
  <c r="AC402" i="2"/>
  <c r="AC401" i="2"/>
  <c r="AC400" i="2"/>
  <c r="AC399" i="2"/>
  <c r="AC398" i="2"/>
  <c r="AC397" i="2"/>
  <c r="AC396" i="2"/>
  <c r="AC395" i="2"/>
  <c r="AC394" i="2"/>
  <c r="AC393" i="2"/>
  <c r="AC392" i="2"/>
  <c r="AC391" i="2"/>
  <c r="AC390" i="2"/>
  <c r="AC389" i="2"/>
  <c r="AC388" i="2"/>
  <c r="AC387" i="2"/>
  <c r="AC386" i="2"/>
  <c r="AC385" i="2"/>
  <c r="AC384" i="2"/>
  <c r="AC383" i="2"/>
  <c r="AC382" i="2"/>
  <c r="AC381" i="2"/>
  <c r="AC380" i="2"/>
  <c r="AC379" i="2"/>
  <c r="AC378" i="2"/>
  <c r="AC377" i="2"/>
  <c r="AC376" i="2"/>
  <c r="AC375" i="2"/>
  <c r="AC374" i="2"/>
  <c r="AC373" i="2"/>
  <c r="AC372" i="2"/>
  <c r="AC371" i="2"/>
  <c r="AC370" i="2"/>
  <c r="AC369" i="2"/>
  <c r="AC368" i="2"/>
  <c r="AC367" i="2"/>
  <c r="AC366" i="2"/>
  <c r="AC365" i="2"/>
  <c r="AC364" i="2"/>
  <c r="AC363" i="2"/>
  <c r="AC362" i="2"/>
  <c r="AC361" i="2"/>
  <c r="AC360" i="2"/>
  <c r="AC359" i="2"/>
  <c r="AC358" i="2"/>
  <c r="AC357" i="2"/>
  <c r="AC356" i="2"/>
  <c r="AC355" i="2"/>
  <c r="AC354" i="2"/>
  <c r="AC353" i="2"/>
  <c r="AC352" i="2"/>
  <c r="AC351" i="2"/>
  <c r="AC350" i="2"/>
  <c r="AC349" i="2"/>
  <c r="AC348" i="2"/>
  <c r="AC347" i="2"/>
  <c r="AC346" i="2"/>
  <c r="AC345" i="2"/>
  <c r="AC344" i="2"/>
  <c r="AC343" i="2"/>
  <c r="AC342" i="2"/>
  <c r="AC341" i="2"/>
  <c r="AC340" i="2"/>
  <c r="AC339" i="2"/>
  <c r="AC338" i="2"/>
  <c r="AC337" i="2"/>
  <c r="AC336" i="2"/>
  <c r="AC335" i="2"/>
  <c r="AC334" i="2"/>
  <c r="AC333" i="2"/>
  <c r="AC332" i="2"/>
  <c r="AC331" i="2"/>
  <c r="AC330" i="2"/>
  <c r="AC329" i="2"/>
  <c r="AC328" i="2"/>
  <c r="AC327" i="2"/>
  <c r="AC326" i="2"/>
  <c r="AC325" i="2"/>
  <c r="AC324" i="2"/>
  <c r="AC323" i="2"/>
  <c r="AC322" i="2"/>
  <c r="AC321" i="2"/>
  <c r="AC320" i="2"/>
  <c r="AC319" i="2"/>
  <c r="AC318" i="2"/>
  <c r="AC317" i="2"/>
  <c r="AC316" i="2"/>
  <c r="AC315" i="2"/>
  <c r="AC314" i="2"/>
  <c r="AC313" i="2"/>
  <c r="AC312" i="2"/>
  <c r="AC311" i="2"/>
  <c r="AC310" i="2"/>
  <c r="AC309" i="2"/>
  <c r="AC308" i="2"/>
  <c r="AC307" i="2"/>
  <c r="AC306" i="2"/>
  <c r="AC305" i="2"/>
  <c r="AC304" i="2"/>
  <c r="AC303" i="2"/>
  <c r="AC302" i="2"/>
  <c r="AC301" i="2"/>
  <c r="AC300" i="2"/>
  <c r="AC299" i="2"/>
  <c r="AC298" i="2"/>
  <c r="AC297" i="2"/>
  <c r="AC296" i="2"/>
  <c r="AC295" i="2"/>
  <c r="AC294" i="2"/>
  <c r="AC293" i="2"/>
  <c r="AC292" i="2"/>
  <c r="AC291" i="2"/>
  <c r="AC290" i="2"/>
  <c r="AC289" i="2"/>
  <c r="AC288" i="2"/>
  <c r="AC287" i="2"/>
  <c r="AC286" i="2"/>
  <c r="AC285" i="2"/>
  <c r="AC284" i="2"/>
  <c r="AC283" i="2"/>
  <c r="AC282" i="2"/>
  <c r="AC281" i="2"/>
  <c r="AC280" i="2"/>
  <c r="AC279" i="2"/>
  <c r="AC278" i="2"/>
  <c r="AC277" i="2"/>
  <c r="AC276" i="2"/>
  <c r="AC275" i="2"/>
  <c r="AC274" i="2"/>
  <c r="AC273" i="2"/>
  <c r="AC272" i="2"/>
  <c r="AC271" i="2"/>
  <c r="AC270" i="2"/>
  <c r="AC269" i="2"/>
  <c r="AC268" i="2"/>
  <c r="AC267" i="2"/>
  <c r="AC266" i="2"/>
  <c r="AC265" i="2"/>
  <c r="AC264" i="2"/>
  <c r="AC263" i="2"/>
  <c r="AC262" i="2"/>
  <c r="AC261" i="2"/>
  <c r="AC260" i="2"/>
  <c r="AC259" i="2"/>
  <c r="AC258" i="2"/>
  <c r="AC257" i="2"/>
  <c r="AC256" i="2"/>
  <c r="AC255" i="2"/>
  <c r="AC254" i="2"/>
  <c r="AC253" i="2"/>
  <c r="AC252" i="2"/>
  <c r="AC251" i="2"/>
  <c r="AC250" i="2"/>
  <c r="AC249" i="2"/>
  <c r="AC248" i="2"/>
  <c r="AC247" i="2"/>
  <c r="AC246" i="2"/>
  <c r="AC245" i="2"/>
  <c r="AC244" i="2"/>
  <c r="AC243" i="2"/>
  <c r="AC242" i="2"/>
  <c r="AC241" i="2"/>
  <c r="AC240" i="2"/>
  <c r="AC239" i="2"/>
  <c r="AC238" i="2"/>
  <c r="AC237" i="2"/>
  <c r="AC236" i="2"/>
  <c r="AC235" i="2"/>
  <c r="AC234" i="2"/>
  <c r="AC233" i="2"/>
  <c r="AC232" i="2"/>
  <c r="AC231" i="2"/>
  <c r="AC230" i="2"/>
  <c r="AC229" i="2"/>
  <c r="AC228" i="2"/>
  <c r="AC227" i="2"/>
  <c r="AC226" i="2"/>
  <c r="AC225" i="2"/>
  <c r="AC224" i="2"/>
  <c r="AC223" i="2"/>
  <c r="AC222" i="2"/>
  <c r="AC221" i="2"/>
  <c r="AC220" i="2"/>
  <c r="AC219" i="2"/>
  <c r="AC218" i="2"/>
  <c r="AC217" i="2"/>
  <c r="AC216" i="2"/>
  <c r="AC215" i="2"/>
  <c r="AC214" i="2"/>
  <c r="AC213" i="2"/>
  <c r="AC212" i="2"/>
  <c r="AC211" i="2"/>
  <c r="AC210" i="2"/>
  <c r="AC209" i="2"/>
  <c r="AC208" i="2"/>
  <c r="AC207" i="2"/>
  <c r="AC206" i="2"/>
  <c r="AC205" i="2"/>
  <c r="AC204" i="2"/>
  <c r="AC203" i="2"/>
  <c r="AC202" i="2"/>
  <c r="AC201" i="2"/>
  <c r="AC200" i="2"/>
  <c r="AC199" i="2"/>
  <c r="AC198" i="2"/>
  <c r="AC197" i="2"/>
  <c r="AC196" i="2"/>
  <c r="AC195" i="2"/>
  <c r="AC194" i="2"/>
  <c r="AC193" i="2"/>
  <c r="AC192" i="2"/>
  <c r="AC191" i="2"/>
  <c r="AC190" i="2"/>
  <c r="AC189" i="2"/>
  <c r="AC188" i="2"/>
  <c r="AC187" i="2"/>
  <c r="AC186" i="2"/>
  <c r="AC185" i="2"/>
  <c r="AC184" i="2"/>
  <c r="AC183" i="2"/>
  <c r="AC182" i="2"/>
  <c r="AC181" i="2"/>
  <c r="AC180" i="2"/>
  <c r="AC179" i="2"/>
  <c r="AC178" i="2"/>
  <c r="AC177" i="2"/>
  <c r="AC176" i="2"/>
  <c r="AC175" i="2"/>
  <c r="AC174" i="2"/>
  <c r="AC173" i="2"/>
  <c r="AC172" i="2"/>
  <c r="AC171" i="2"/>
  <c r="AC170" i="2"/>
  <c r="AC169" i="2"/>
  <c r="AC168" i="2"/>
  <c r="AC167" i="2"/>
  <c r="AC166" i="2"/>
  <c r="AC165" i="2"/>
  <c r="AC164" i="2"/>
  <c r="AC163" i="2"/>
  <c r="AC162" i="2"/>
  <c r="AC161" i="2"/>
  <c r="AC160" i="2"/>
  <c r="AC159" i="2"/>
  <c r="AC158" i="2"/>
  <c r="AC157" i="2"/>
  <c r="AC156" i="2"/>
  <c r="AC155" i="2"/>
  <c r="AC154" i="2"/>
  <c r="AC153" i="2"/>
  <c r="AC152" i="2"/>
  <c r="AC151" i="2"/>
  <c r="AC150" i="2"/>
  <c r="AC149" i="2"/>
  <c r="AC148" i="2"/>
  <c r="AC147" i="2"/>
  <c r="AC146" i="2"/>
  <c r="AC145" i="2"/>
  <c r="AC144" i="2"/>
  <c r="AC143" i="2"/>
  <c r="AC142" i="2"/>
  <c r="AC141" i="2"/>
  <c r="AC140" i="2"/>
  <c r="AC139" i="2"/>
  <c r="AC138" i="2"/>
  <c r="AC137" i="2"/>
  <c r="AC136" i="2"/>
  <c r="AC135" i="2"/>
  <c r="AC134" i="2"/>
  <c r="AC133" i="2"/>
  <c r="AC132" i="2"/>
  <c r="AC131" i="2"/>
  <c r="AC130" i="2"/>
  <c r="AC129" i="2"/>
  <c r="AC128" i="2"/>
  <c r="AC127" i="2"/>
  <c r="AC126" i="2"/>
  <c r="AC125" i="2"/>
  <c r="AC124" i="2"/>
  <c r="AC123" i="2"/>
  <c r="AC122" i="2"/>
  <c r="AC121" i="2"/>
  <c r="AC120" i="2"/>
  <c r="AC119" i="2"/>
  <c r="AC118" i="2"/>
  <c r="AC117" i="2"/>
  <c r="AC116" i="2"/>
  <c r="AC115" i="2"/>
  <c r="AC114" i="2"/>
  <c r="AC113" i="2"/>
  <c r="AC112" i="2"/>
  <c r="AC111" i="2"/>
  <c r="AC110" i="2"/>
  <c r="AC109" i="2"/>
  <c r="AC108" i="2"/>
  <c r="AC107" i="2"/>
  <c r="AC106" i="2"/>
  <c r="AC105" i="2"/>
  <c r="AC104" i="2"/>
  <c r="AC103" i="2"/>
  <c r="AC102" i="2"/>
  <c r="AC101" i="2"/>
  <c r="AC100" i="2"/>
  <c r="AC99" i="2"/>
  <c r="AC98" i="2"/>
  <c r="AC97" i="2"/>
  <c r="AC96" i="2"/>
  <c r="AC95" i="2"/>
  <c r="AC94" i="2"/>
  <c r="AC93" i="2"/>
  <c r="AC92" i="2"/>
  <c r="AC91" i="2"/>
  <c r="AC90" i="2"/>
  <c r="AC89" i="2"/>
  <c r="AC88" i="2"/>
  <c r="AC87" i="2"/>
  <c r="AC86" i="2"/>
  <c r="AC85" i="2"/>
  <c r="AC84" i="2"/>
  <c r="AC83" i="2"/>
  <c r="AC82" i="2"/>
  <c r="AC81" i="2"/>
  <c r="AC80" i="2"/>
  <c r="AC79" i="2"/>
  <c r="AC78" i="2"/>
  <c r="AC77" i="2"/>
  <c r="AC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6" i="2"/>
  <c r="AC5" i="2"/>
  <c r="AC4" i="2"/>
  <c r="AC3" i="2"/>
  <c r="AD887" i="2"/>
  <c r="AB699" i="2"/>
  <c r="AB697" i="2"/>
  <c r="AB696" i="2"/>
  <c r="AB695" i="2"/>
  <c r="AB694" i="2"/>
  <c r="AB693" i="2"/>
  <c r="AB692" i="2"/>
  <c r="AB691" i="2"/>
  <c r="AB690" i="2"/>
  <c r="AB689" i="2"/>
  <c r="AB688" i="2"/>
  <c r="AB687" i="2"/>
  <c r="AB686" i="2"/>
  <c r="AB685" i="2"/>
  <c r="AB684" i="2"/>
  <c r="AB683" i="2"/>
  <c r="AB682" i="2"/>
  <c r="AB681" i="2"/>
  <c r="AB680" i="2"/>
  <c r="AB679" i="2"/>
  <c r="AB678" i="2"/>
  <c r="AB677" i="2"/>
  <c r="AB676" i="2"/>
  <c r="AB675" i="2"/>
  <c r="AB674" i="2"/>
  <c r="AB673" i="2"/>
  <c r="AB672" i="2"/>
  <c r="AB671" i="2"/>
  <c r="AB670" i="2"/>
  <c r="AB669" i="2"/>
  <c r="AB668" i="2"/>
  <c r="AB667" i="2"/>
  <c r="AB666" i="2"/>
  <c r="AB665" i="2"/>
  <c r="AB664" i="2"/>
  <c r="AB663" i="2"/>
  <c r="AB662" i="2"/>
  <c r="AB661" i="2"/>
  <c r="AB660" i="2"/>
  <c r="AB659" i="2"/>
  <c r="AB658" i="2"/>
  <c r="AB657" i="2"/>
  <c r="AB656" i="2"/>
  <c r="AB655" i="2"/>
  <c r="AB654" i="2"/>
  <c r="AB653" i="2"/>
  <c r="AB652" i="2"/>
  <c r="AB651" i="2"/>
  <c r="AB650" i="2"/>
  <c r="AB649" i="2"/>
  <c r="AB648" i="2"/>
  <c r="AB647" i="2"/>
  <c r="AB646" i="2"/>
  <c r="AB645" i="2"/>
  <c r="AB644" i="2"/>
  <c r="AB643" i="2"/>
  <c r="AB642" i="2"/>
  <c r="AB641" i="2"/>
  <c r="AB640" i="2"/>
  <c r="AB639" i="2"/>
  <c r="AB638" i="2"/>
  <c r="AB637" i="2"/>
  <c r="AB636" i="2"/>
  <c r="AB635" i="2"/>
  <c r="AB634" i="2"/>
  <c r="AB633" i="2"/>
  <c r="AB632" i="2"/>
  <c r="AB631" i="2"/>
  <c r="AB630" i="2"/>
  <c r="AB629" i="2"/>
  <c r="AB628" i="2"/>
  <c r="AB627" i="2"/>
  <c r="AB626" i="2"/>
  <c r="AB625" i="2"/>
  <c r="AB624" i="2"/>
  <c r="AB623" i="2"/>
  <c r="AB622" i="2"/>
  <c r="AB621" i="2"/>
  <c r="AB620" i="2"/>
  <c r="AB619" i="2"/>
  <c r="AB618" i="2"/>
  <c r="AB617" i="2"/>
  <c r="AB616" i="2"/>
  <c r="AB615" i="2"/>
  <c r="AB614" i="2"/>
  <c r="AB613" i="2"/>
  <c r="AB612" i="2"/>
  <c r="AB611" i="2"/>
  <c r="AB610" i="2"/>
  <c r="AB609" i="2"/>
  <c r="AB608" i="2"/>
  <c r="AB607" i="2"/>
  <c r="AB606" i="2"/>
  <c r="AB605" i="2"/>
  <c r="AB604" i="2"/>
  <c r="AB603" i="2"/>
  <c r="AB602" i="2"/>
  <c r="AB601" i="2"/>
  <c r="AB600" i="2"/>
  <c r="AB599" i="2"/>
  <c r="AB598" i="2"/>
  <c r="AB597" i="2"/>
  <c r="AB596" i="2"/>
  <c r="AB595" i="2"/>
  <c r="AB594" i="2"/>
  <c r="AB593" i="2"/>
  <c r="AB592" i="2"/>
  <c r="AB591" i="2"/>
  <c r="AB590" i="2"/>
  <c r="AB589" i="2"/>
  <c r="AB588" i="2"/>
  <c r="AB587" i="2"/>
  <c r="AB586" i="2"/>
  <c r="AB585" i="2"/>
  <c r="AB584" i="2"/>
  <c r="AB583" i="2"/>
  <c r="AB582" i="2"/>
  <c r="AB581" i="2"/>
  <c r="AB580" i="2"/>
  <c r="AB579" i="2"/>
  <c r="AB578" i="2"/>
  <c r="AB577" i="2"/>
  <c r="AB576" i="2"/>
  <c r="AB575" i="2"/>
  <c r="AB574" i="2"/>
  <c r="AB573" i="2"/>
  <c r="AB572" i="2"/>
  <c r="AB571" i="2"/>
  <c r="AB570" i="2"/>
  <c r="AB569" i="2"/>
  <c r="AB568" i="2"/>
  <c r="AB567" i="2"/>
  <c r="AB566" i="2"/>
  <c r="AB565" i="2"/>
  <c r="AB564" i="2"/>
  <c r="AB563" i="2"/>
  <c r="AB562" i="2"/>
  <c r="AB561" i="2"/>
  <c r="AB560" i="2"/>
  <c r="AB559" i="2"/>
  <c r="AB558" i="2"/>
  <c r="AB557" i="2"/>
  <c r="AB556" i="2"/>
  <c r="AB555" i="2"/>
  <c r="AB554" i="2"/>
  <c r="AB553" i="2"/>
  <c r="AB552" i="2"/>
  <c r="AB551" i="2"/>
  <c r="AB550" i="2"/>
  <c r="AB549" i="2"/>
  <c r="AB548" i="2"/>
  <c r="AB547" i="2"/>
  <c r="AB546" i="2"/>
  <c r="AB545" i="2"/>
  <c r="AB544" i="2"/>
  <c r="AB543" i="2"/>
  <c r="AB542" i="2"/>
  <c r="AB541" i="2"/>
  <c r="AB540" i="2"/>
  <c r="AB539" i="2"/>
  <c r="AB538" i="2"/>
  <c r="AB537" i="2"/>
  <c r="AB536" i="2"/>
  <c r="AB535" i="2"/>
  <c r="AB534" i="2"/>
  <c r="AB533" i="2"/>
  <c r="AB532" i="2"/>
  <c r="AB531" i="2"/>
  <c r="AB530" i="2"/>
  <c r="AB529" i="2"/>
  <c r="AB528" i="2"/>
  <c r="AB527" i="2"/>
  <c r="AB526" i="2"/>
  <c r="AB525" i="2"/>
  <c r="AB524" i="2"/>
  <c r="AB523" i="2"/>
  <c r="AB522" i="2"/>
  <c r="AB521" i="2"/>
  <c r="AB520" i="2"/>
  <c r="AB519" i="2"/>
  <c r="AB518" i="2"/>
  <c r="AB517" i="2"/>
  <c r="AB516" i="2"/>
  <c r="AB515" i="2"/>
  <c r="AB514" i="2"/>
  <c r="AB513" i="2"/>
  <c r="AB512" i="2"/>
  <c r="AB511" i="2"/>
  <c r="AB510" i="2"/>
  <c r="AB509" i="2"/>
  <c r="AB508" i="2"/>
  <c r="AB507" i="2"/>
  <c r="AB506" i="2"/>
  <c r="AB505" i="2"/>
  <c r="AB504" i="2"/>
  <c r="AB503" i="2"/>
  <c r="AB502" i="2"/>
  <c r="AB501" i="2"/>
  <c r="AB500" i="2"/>
  <c r="AB499" i="2"/>
  <c r="AB498" i="2"/>
  <c r="AB497" i="2"/>
  <c r="AB496" i="2"/>
  <c r="AB495" i="2"/>
  <c r="AB494" i="2"/>
  <c r="AB493" i="2"/>
  <c r="AB492" i="2"/>
  <c r="AB491" i="2"/>
  <c r="AB490" i="2"/>
  <c r="AB489" i="2"/>
  <c r="AB488" i="2"/>
  <c r="AB487" i="2"/>
  <c r="AB486" i="2"/>
  <c r="AB485" i="2"/>
  <c r="AB484" i="2"/>
  <c r="AB483" i="2"/>
  <c r="AB482" i="2"/>
  <c r="AB481" i="2"/>
  <c r="AB480" i="2"/>
  <c r="AB479" i="2"/>
  <c r="AB478" i="2"/>
  <c r="AB477" i="2"/>
  <c r="AB476" i="2"/>
  <c r="AB475" i="2"/>
  <c r="AB474" i="2"/>
  <c r="AB473" i="2"/>
  <c r="AB472" i="2"/>
  <c r="AB471" i="2"/>
  <c r="AB470" i="2"/>
  <c r="AB469" i="2"/>
  <c r="AB468" i="2"/>
  <c r="AB467" i="2"/>
  <c r="AB466" i="2"/>
  <c r="AB465" i="2"/>
  <c r="AB464" i="2"/>
  <c r="AB463" i="2"/>
  <c r="AB462" i="2"/>
  <c r="AB461" i="2"/>
  <c r="AB460" i="2"/>
  <c r="AB459" i="2"/>
  <c r="AB458" i="2"/>
  <c r="AB457" i="2"/>
  <c r="AB456" i="2"/>
  <c r="AB455" i="2"/>
  <c r="AB454" i="2"/>
  <c r="AB453" i="2"/>
  <c r="AB452" i="2"/>
  <c r="AB451" i="2"/>
  <c r="AB450" i="2"/>
  <c r="AB449" i="2"/>
  <c r="AB448" i="2"/>
  <c r="AB447" i="2"/>
  <c r="AB446" i="2"/>
  <c r="AB445" i="2"/>
  <c r="AB444" i="2"/>
  <c r="AB443" i="2"/>
  <c r="AB442" i="2"/>
  <c r="AB441" i="2"/>
  <c r="AB440" i="2"/>
  <c r="AB439" i="2"/>
  <c r="AB438" i="2"/>
  <c r="AB437" i="2"/>
  <c r="AB436" i="2"/>
  <c r="AB435" i="2"/>
  <c r="AB434" i="2"/>
  <c r="AB433" i="2"/>
  <c r="AB432" i="2"/>
  <c r="AB431" i="2"/>
  <c r="AB430" i="2"/>
  <c r="AB429" i="2"/>
  <c r="AB428" i="2"/>
  <c r="AB427" i="2"/>
  <c r="AB426" i="2"/>
  <c r="AB425" i="2"/>
  <c r="AB424" i="2"/>
  <c r="AB423" i="2"/>
  <c r="AB422" i="2"/>
  <c r="AB421" i="2"/>
  <c r="AB420" i="2"/>
  <c r="AB419" i="2"/>
  <c r="AB418" i="2"/>
  <c r="AB417" i="2"/>
  <c r="AB416" i="2"/>
  <c r="AB415" i="2"/>
  <c r="AB414" i="2"/>
  <c r="AB413" i="2"/>
  <c r="AB412" i="2"/>
  <c r="AB411" i="2"/>
  <c r="AB410" i="2"/>
  <c r="AB409" i="2"/>
  <c r="AB408" i="2"/>
  <c r="AB407" i="2"/>
  <c r="AB406" i="2"/>
  <c r="AB405" i="2"/>
  <c r="AB404" i="2"/>
  <c r="AB403" i="2"/>
  <c r="AB402" i="2"/>
  <c r="AB401" i="2"/>
  <c r="AB400" i="2"/>
  <c r="AB399" i="2"/>
  <c r="AB398" i="2"/>
  <c r="AB397" i="2"/>
  <c r="AB396" i="2"/>
  <c r="AB395" i="2"/>
  <c r="AB394" i="2"/>
  <c r="AB393" i="2"/>
  <c r="AB392" i="2"/>
  <c r="AB391" i="2"/>
  <c r="AB390" i="2"/>
  <c r="AB389" i="2"/>
  <c r="AB388" i="2"/>
  <c r="AB387" i="2"/>
  <c r="AB386" i="2"/>
  <c r="AB385" i="2"/>
  <c r="AB384" i="2"/>
  <c r="AB383" i="2"/>
  <c r="AB382" i="2"/>
  <c r="AB381" i="2"/>
  <c r="AB380" i="2"/>
  <c r="AB379" i="2"/>
  <c r="AB378" i="2"/>
  <c r="AB377" i="2"/>
  <c r="AB376" i="2"/>
  <c r="AB375" i="2"/>
  <c r="AB374" i="2"/>
  <c r="AB373" i="2"/>
  <c r="AB372" i="2"/>
  <c r="AB371" i="2"/>
  <c r="AB370" i="2"/>
  <c r="AB369" i="2"/>
  <c r="AB368" i="2"/>
  <c r="AB367" i="2"/>
  <c r="AB366" i="2"/>
  <c r="AB365" i="2"/>
  <c r="AB364" i="2"/>
  <c r="AB363" i="2"/>
  <c r="AB362" i="2"/>
  <c r="AB361" i="2"/>
  <c r="AB360" i="2"/>
  <c r="AB359" i="2"/>
  <c r="AB358" i="2"/>
  <c r="AB357" i="2"/>
  <c r="AB356" i="2"/>
  <c r="AB355" i="2"/>
  <c r="AB354" i="2"/>
  <c r="AB353" i="2"/>
  <c r="AB352" i="2"/>
  <c r="AB351" i="2"/>
  <c r="AB350" i="2"/>
  <c r="AB349" i="2"/>
  <c r="AB348" i="2"/>
  <c r="AB347" i="2"/>
  <c r="AB346" i="2"/>
  <c r="AB345" i="2"/>
  <c r="AB344" i="2"/>
  <c r="AB343" i="2"/>
  <c r="AB342" i="2"/>
  <c r="AB341" i="2"/>
  <c r="AB340" i="2"/>
  <c r="AB339" i="2"/>
  <c r="AB338" i="2"/>
  <c r="AB337" i="2"/>
  <c r="AB336" i="2"/>
  <c r="AB335" i="2"/>
  <c r="AB334" i="2"/>
  <c r="AB333" i="2"/>
  <c r="AB332" i="2"/>
  <c r="AB331" i="2"/>
  <c r="AB330" i="2"/>
  <c r="AB329" i="2"/>
  <c r="AB328" i="2"/>
  <c r="AB327" i="2"/>
  <c r="AB326" i="2"/>
  <c r="AB325" i="2"/>
  <c r="AB324" i="2"/>
  <c r="AB323" i="2"/>
  <c r="AB322" i="2"/>
  <c r="AB321" i="2"/>
  <c r="AB320" i="2"/>
  <c r="AB319" i="2"/>
  <c r="AB318" i="2"/>
  <c r="AB317" i="2"/>
  <c r="AB316" i="2"/>
  <c r="AB315" i="2"/>
  <c r="AB314" i="2"/>
  <c r="AB313" i="2"/>
  <c r="AB312" i="2"/>
  <c r="AB311" i="2"/>
  <c r="AB310" i="2"/>
  <c r="AB309" i="2"/>
  <c r="AB308" i="2"/>
  <c r="AB307" i="2"/>
  <c r="AB306" i="2"/>
  <c r="AB305" i="2"/>
  <c r="AB304" i="2"/>
  <c r="AB303" i="2"/>
  <c r="AB302" i="2"/>
  <c r="AB301" i="2"/>
  <c r="AB300" i="2"/>
  <c r="AB299" i="2"/>
  <c r="AB298" i="2"/>
  <c r="AB297" i="2"/>
  <c r="AB296" i="2"/>
  <c r="AB295" i="2"/>
  <c r="AB294" i="2"/>
  <c r="AB293" i="2"/>
  <c r="AB292" i="2"/>
  <c r="AB291" i="2"/>
  <c r="AB290" i="2"/>
  <c r="AB289" i="2"/>
  <c r="AB288" i="2"/>
  <c r="AB287" i="2"/>
  <c r="AB286" i="2"/>
  <c r="AB285" i="2"/>
  <c r="AB284" i="2"/>
  <c r="AB283" i="2"/>
  <c r="AB282" i="2"/>
  <c r="AB281" i="2"/>
  <c r="AB280" i="2"/>
  <c r="AB279" i="2"/>
  <c r="AB278" i="2"/>
  <c r="AB277" i="2"/>
  <c r="AB276" i="2"/>
  <c r="AB275" i="2"/>
  <c r="AB274" i="2"/>
  <c r="AB273" i="2"/>
  <c r="AB272" i="2"/>
  <c r="AB271" i="2"/>
  <c r="AB270" i="2"/>
  <c r="AB269" i="2"/>
  <c r="AB268" i="2"/>
  <c r="AB267" i="2"/>
  <c r="AB266" i="2"/>
  <c r="AB265" i="2"/>
  <c r="AB264" i="2"/>
  <c r="AB263" i="2"/>
  <c r="AB262" i="2"/>
  <c r="AB261" i="2"/>
  <c r="AB260" i="2"/>
  <c r="AB259" i="2"/>
  <c r="AB258" i="2"/>
  <c r="AB257" i="2"/>
  <c r="AB256" i="2"/>
  <c r="AB255" i="2"/>
  <c r="AB254" i="2"/>
  <c r="AB253" i="2"/>
  <c r="AB252" i="2"/>
  <c r="AB251" i="2"/>
  <c r="AB250" i="2"/>
  <c r="AB249" i="2"/>
  <c r="AB248" i="2"/>
  <c r="AB247" i="2"/>
  <c r="AB246" i="2"/>
  <c r="AB245" i="2"/>
  <c r="AB244" i="2"/>
  <c r="AB243" i="2"/>
  <c r="AB242" i="2"/>
  <c r="AB241" i="2"/>
  <c r="AB240" i="2"/>
  <c r="AB239" i="2"/>
  <c r="AB238" i="2"/>
  <c r="AB237" i="2"/>
  <c r="AB236" i="2"/>
  <c r="AB235" i="2"/>
  <c r="AB234" i="2"/>
  <c r="AB233" i="2"/>
  <c r="AB232" i="2"/>
  <c r="AB231" i="2"/>
  <c r="AB230" i="2"/>
  <c r="AB229" i="2"/>
  <c r="AB228" i="2"/>
  <c r="AB227" i="2"/>
  <c r="AB226" i="2"/>
  <c r="AB225" i="2"/>
  <c r="AB224" i="2"/>
  <c r="AB223" i="2"/>
  <c r="AB222" i="2"/>
  <c r="AB221" i="2"/>
  <c r="AB220" i="2"/>
  <c r="AB219" i="2"/>
  <c r="AB218" i="2"/>
  <c r="AB217" i="2"/>
  <c r="AB216" i="2"/>
  <c r="AB215" i="2"/>
  <c r="AB214" i="2"/>
  <c r="AB213" i="2"/>
  <c r="AB212" i="2"/>
  <c r="AB211" i="2"/>
  <c r="AB210" i="2"/>
  <c r="AB209" i="2"/>
  <c r="AB208" i="2"/>
  <c r="AB207" i="2"/>
  <c r="AB206" i="2"/>
  <c r="AB205" i="2"/>
  <c r="AB204" i="2"/>
  <c r="AB203" i="2"/>
  <c r="AB202" i="2"/>
  <c r="AB201" i="2"/>
  <c r="AB200" i="2"/>
  <c r="AB199" i="2"/>
  <c r="AB198" i="2"/>
  <c r="AB197" i="2"/>
  <c r="AB196" i="2"/>
  <c r="AB195" i="2"/>
  <c r="AB194" i="2"/>
  <c r="AB193" i="2"/>
  <c r="AB192" i="2"/>
  <c r="AB191" i="2"/>
  <c r="AB190" i="2"/>
  <c r="AB189" i="2"/>
  <c r="AB188" i="2"/>
  <c r="AB187" i="2"/>
  <c r="AB186" i="2"/>
  <c r="AB185" i="2"/>
  <c r="AB184" i="2"/>
  <c r="AB183" i="2"/>
  <c r="AB182" i="2"/>
  <c r="AB181" i="2"/>
  <c r="AB180" i="2"/>
  <c r="AB179" i="2"/>
  <c r="AB178" i="2"/>
  <c r="AB177" i="2"/>
  <c r="AB176" i="2"/>
  <c r="AB175" i="2"/>
  <c r="AB174" i="2"/>
  <c r="AB173" i="2"/>
  <c r="AB172" i="2"/>
  <c r="AB171" i="2"/>
  <c r="AB170" i="2"/>
  <c r="AB169" i="2"/>
  <c r="AB168" i="2"/>
  <c r="AB167" i="2"/>
  <c r="AB166" i="2"/>
  <c r="AB165" i="2"/>
  <c r="AB164" i="2"/>
  <c r="AB163" i="2"/>
  <c r="AB162" i="2"/>
  <c r="AB161" i="2"/>
  <c r="AB160" i="2"/>
  <c r="AB159" i="2"/>
  <c r="AB158" i="2"/>
  <c r="AB157" i="2"/>
  <c r="AB156" i="2"/>
  <c r="AB155" i="2"/>
  <c r="AB154" i="2"/>
  <c r="AB153" i="2"/>
  <c r="AB152" i="2"/>
  <c r="AB151" i="2"/>
  <c r="AB150" i="2"/>
  <c r="AB149" i="2"/>
  <c r="AB148" i="2"/>
  <c r="AB147" i="2"/>
  <c r="AB146" i="2"/>
  <c r="AB145" i="2"/>
  <c r="AB144" i="2"/>
  <c r="AB143" i="2"/>
  <c r="AB142" i="2"/>
  <c r="AB141" i="2"/>
  <c r="AB140" i="2"/>
  <c r="AB139" i="2"/>
  <c r="AB138" i="2"/>
  <c r="AB137" i="2"/>
  <c r="AB136" i="2"/>
  <c r="AB135" i="2"/>
  <c r="AB134" i="2"/>
  <c r="AB133" i="2"/>
  <c r="AB132" i="2"/>
  <c r="AB131" i="2"/>
  <c r="AB130" i="2"/>
  <c r="AB129" i="2"/>
  <c r="AB128" i="2"/>
  <c r="AB127" i="2"/>
  <c r="AB126" i="2"/>
  <c r="AB125" i="2"/>
  <c r="AB124" i="2"/>
  <c r="AB123" i="2"/>
  <c r="AB122" i="2"/>
  <c r="AB121" i="2"/>
  <c r="AB120" i="2"/>
  <c r="AB119" i="2"/>
  <c r="AB118" i="2"/>
  <c r="AB117" i="2"/>
  <c r="AB116" i="2"/>
  <c r="AB115" i="2"/>
  <c r="AB114" i="2"/>
  <c r="AB113" i="2"/>
  <c r="AB112" i="2"/>
  <c r="AB111" i="2"/>
  <c r="AB110" i="2"/>
  <c r="AB109" i="2"/>
  <c r="AB108" i="2"/>
  <c r="AB107" i="2"/>
  <c r="AB106" i="2"/>
  <c r="AB105" i="2"/>
  <c r="AB104" i="2"/>
  <c r="AB103" i="2"/>
  <c r="AB102" i="2"/>
  <c r="AB101" i="2"/>
  <c r="AB100" i="2"/>
  <c r="AB99" i="2"/>
  <c r="AB98" i="2"/>
  <c r="AB97" i="2"/>
  <c r="AB96" i="2"/>
  <c r="AB95" i="2"/>
  <c r="AB94" i="2"/>
  <c r="AB93" i="2"/>
  <c r="AB92" i="2"/>
  <c r="AB91" i="2"/>
  <c r="AB90" i="2"/>
  <c r="AB89" i="2"/>
  <c r="AB88" i="2"/>
  <c r="AB87" i="2"/>
  <c r="AB86" i="2"/>
  <c r="AB85" i="2"/>
  <c r="AB84" i="2"/>
  <c r="AB83" i="2"/>
  <c r="AB82" i="2"/>
  <c r="AB81" i="2"/>
  <c r="AB80" i="2"/>
  <c r="AB79" i="2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3" i="2"/>
  <c r="AB62" i="2"/>
  <c r="AB61" i="2"/>
  <c r="AB60" i="2"/>
  <c r="AB59" i="2"/>
  <c r="AB58" i="2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AB4" i="2"/>
  <c r="AB3" i="2"/>
  <c r="AD886" i="2"/>
  <c r="AD885" i="2"/>
  <c r="AD884" i="2"/>
  <c r="AD883" i="2"/>
  <c r="AD882" i="2"/>
  <c r="AD881" i="2"/>
  <c r="AD880" i="2"/>
  <c r="AD879" i="2"/>
  <c r="AD878" i="2"/>
  <c r="AD877" i="2"/>
  <c r="AD876" i="2"/>
  <c r="AD875" i="2"/>
  <c r="AD874" i="2"/>
  <c r="AD873" i="2"/>
  <c r="AD872" i="2"/>
  <c r="AD871" i="2"/>
  <c r="AD870" i="2"/>
  <c r="AD869" i="2"/>
  <c r="AD868" i="2"/>
  <c r="AD867" i="2"/>
  <c r="AD866" i="2"/>
  <c r="AD865" i="2"/>
  <c r="AD864" i="2"/>
  <c r="AD863" i="2"/>
  <c r="AD862" i="2"/>
  <c r="AD861" i="2"/>
  <c r="AD860" i="2"/>
  <c r="AD859" i="2"/>
  <c r="AD858" i="2"/>
  <c r="AD857" i="2"/>
  <c r="AD856" i="2"/>
  <c r="AD855" i="2"/>
  <c r="AD854" i="2"/>
  <c r="AD853" i="2"/>
  <c r="AD852" i="2"/>
  <c r="AD851" i="2"/>
  <c r="AD850" i="2"/>
  <c r="AD849" i="2"/>
  <c r="AD848" i="2"/>
  <c r="AD847" i="2"/>
  <c r="AD846" i="2"/>
  <c r="AD845" i="2"/>
  <c r="AD844" i="2"/>
  <c r="AD843" i="2"/>
  <c r="AD842" i="2"/>
  <c r="AD841" i="2"/>
  <c r="AD840" i="2"/>
  <c r="AD839" i="2"/>
  <c r="AD838" i="2"/>
  <c r="AD837" i="2"/>
  <c r="AD836" i="2"/>
  <c r="AD835" i="2"/>
  <c r="AD834" i="2"/>
  <c r="AD833" i="2"/>
  <c r="AD832" i="2"/>
  <c r="AD831" i="2"/>
  <c r="AD830" i="2"/>
  <c r="AD829" i="2"/>
  <c r="AD828" i="2"/>
  <c r="AD827" i="2"/>
  <c r="AD826" i="2"/>
  <c r="AD825" i="2"/>
  <c r="AD824" i="2"/>
  <c r="AD823" i="2"/>
  <c r="AD822" i="2"/>
  <c r="AD821" i="2"/>
  <c r="AD820" i="2"/>
  <c r="AD819" i="2"/>
  <c r="AD818" i="2"/>
  <c r="AD817" i="2"/>
  <c r="AD816" i="2"/>
  <c r="AD815" i="2"/>
  <c r="AD814" i="2"/>
  <c r="AD813" i="2"/>
  <c r="AD812" i="2"/>
  <c r="AD811" i="2"/>
  <c r="AD810" i="2"/>
  <c r="AD809" i="2"/>
  <c r="AD808" i="2"/>
  <c r="AD807" i="2"/>
  <c r="AD806" i="2"/>
  <c r="AD805" i="2"/>
  <c r="AD804" i="2"/>
  <c r="AD803" i="2"/>
  <c r="AD802" i="2"/>
  <c r="AD801" i="2"/>
  <c r="AD800" i="2"/>
  <c r="AD799" i="2"/>
  <c r="AD798" i="2"/>
  <c r="AD797" i="2"/>
  <c r="AD796" i="2"/>
  <c r="AD795" i="2"/>
  <c r="AD794" i="2"/>
  <c r="AD793" i="2"/>
  <c r="AD792" i="2"/>
  <c r="AD791" i="2"/>
  <c r="AD790" i="2"/>
  <c r="AD789" i="2"/>
  <c r="AD788" i="2"/>
  <c r="AD787" i="2"/>
  <c r="AD786" i="2"/>
  <c r="AD785" i="2"/>
  <c r="AD784" i="2"/>
  <c r="AD783" i="2"/>
  <c r="AD782" i="2"/>
  <c r="AD781" i="2"/>
  <c r="AD780" i="2"/>
  <c r="AD779" i="2"/>
  <c r="AD778" i="2"/>
  <c r="AD777" i="2"/>
  <c r="AD776" i="2"/>
  <c r="AD775" i="2"/>
  <c r="AD774" i="2"/>
  <c r="AD773" i="2"/>
  <c r="AD772" i="2"/>
  <c r="AD771" i="2"/>
  <c r="AD770" i="2"/>
  <c r="AD769" i="2"/>
  <c r="AD768" i="2"/>
  <c r="AD767" i="2"/>
  <c r="AD766" i="2"/>
  <c r="AD765" i="2"/>
  <c r="AD764" i="2"/>
  <c r="AD763" i="2"/>
  <c r="AD762" i="2"/>
  <c r="AD761" i="2"/>
  <c r="AD760" i="2"/>
  <c r="AD759" i="2"/>
  <c r="AD758" i="2"/>
  <c r="AD757" i="2"/>
  <c r="AD756" i="2"/>
  <c r="AD755" i="2"/>
  <c r="AD754" i="2"/>
  <c r="AD753" i="2"/>
  <c r="AD752" i="2"/>
  <c r="AD751" i="2"/>
  <c r="AD750" i="2"/>
  <c r="AD749" i="2"/>
  <c r="AD748" i="2"/>
  <c r="AD747" i="2"/>
  <c r="AD746" i="2"/>
  <c r="AD745" i="2"/>
  <c r="AD744" i="2"/>
  <c r="AD743" i="2"/>
  <c r="AD742" i="2"/>
  <c r="AD741" i="2"/>
  <c r="AD740" i="2"/>
  <c r="AD739" i="2"/>
  <c r="AD738" i="2"/>
  <c r="AD737" i="2"/>
  <c r="AD736" i="2"/>
  <c r="AD735" i="2"/>
  <c r="AD734" i="2"/>
  <c r="AD733" i="2"/>
  <c r="AD732" i="2"/>
  <c r="AD731" i="2"/>
  <c r="AD730" i="2"/>
  <c r="AD729" i="2"/>
  <c r="AD728" i="2"/>
  <c r="AD727" i="2"/>
  <c r="AD726" i="2"/>
  <c r="AD725" i="2"/>
  <c r="AD724" i="2"/>
  <c r="AD723" i="2"/>
  <c r="AD722" i="2"/>
  <c r="AD721" i="2"/>
  <c r="AD720" i="2"/>
  <c r="AD719" i="2"/>
  <c r="AD718" i="2"/>
  <c r="AD717" i="2"/>
  <c r="AD716" i="2"/>
  <c r="AD715" i="2"/>
  <c r="AD714" i="2"/>
  <c r="AD713" i="2"/>
  <c r="AD712" i="2"/>
  <c r="AD711" i="2"/>
  <c r="AD710" i="2"/>
  <c r="AD709" i="2"/>
  <c r="AD708" i="2"/>
  <c r="AD707" i="2"/>
  <c r="AD706" i="2"/>
  <c r="AD705" i="2"/>
  <c r="AD704" i="2"/>
  <c r="AD703" i="2"/>
  <c r="AD702" i="2"/>
  <c r="AD701" i="2"/>
  <c r="AD699" i="2"/>
  <c r="AD697" i="2"/>
  <c r="AD696" i="2"/>
  <c r="AD695" i="2"/>
  <c r="AD694" i="2"/>
  <c r="AD693" i="2"/>
  <c r="AD692" i="2"/>
  <c r="AD691" i="2"/>
  <c r="AD690" i="2"/>
  <c r="AD689" i="2"/>
  <c r="AD688" i="2"/>
  <c r="AD687" i="2"/>
  <c r="AD686" i="2"/>
  <c r="AD685" i="2"/>
  <c r="AD684" i="2"/>
  <c r="AD683" i="2"/>
  <c r="AD682" i="2"/>
  <c r="AD681" i="2"/>
  <c r="AD680" i="2"/>
  <c r="AD679" i="2"/>
  <c r="AD678" i="2"/>
  <c r="AD677" i="2"/>
  <c r="AD676" i="2"/>
  <c r="AD675" i="2"/>
  <c r="AD674" i="2"/>
  <c r="AD673" i="2"/>
  <c r="AD672" i="2"/>
  <c r="AD671" i="2"/>
  <c r="AD670" i="2"/>
  <c r="AD669" i="2"/>
  <c r="AD668" i="2"/>
  <c r="AD667" i="2"/>
  <c r="AD666" i="2"/>
  <c r="AD665" i="2"/>
  <c r="AD664" i="2"/>
  <c r="AD663" i="2"/>
  <c r="AD662" i="2"/>
  <c r="AD661" i="2"/>
  <c r="AD660" i="2"/>
  <c r="AD659" i="2"/>
  <c r="AD658" i="2"/>
  <c r="AD657" i="2"/>
  <c r="AD656" i="2"/>
  <c r="AD655" i="2"/>
  <c r="AD654" i="2"/>
  <c r="AD653" i="2"/>
  <c r="AD652" i="2"/>
  <c r="AD651" i="2"/>
  <c r="AD650" i="2"/>
  <c r="AD649" i="2"/>
  <c r="AD648" i="2"/>
  <c r="AD647" i="2"/>
  <c r="AD646" i="2"/>
  <c r="AD645" i="2"/>
  <c r="AD644" i="2"/>
  <c r="AD643" i="2"/>
  <c r="AD642" i="2"/>
  <c r="AD641" i="2"/>
  <c r="AD640" i="2"/>
  <c r="AD639" i="2"/>
  <c r="AD638" i="2"/>
  <c r="AD637" i="2"/>
  <c r="AD636" i="2"/>
  <c r="AD635" i="2"/>
  <c r="AD634" i="2"/>
  <c r="AD633" i="2"/>
  <c r="AD632" i="2"/>
  <c r="AD631" i="2"/>
  <c r="AD630" i="2"/>
  <c r="AD629" i="2"/>
  <c r="AD628" i="2"/>
  <c r="AD627" i="2"/>
  <c r="AD626" i="2"/>
  <c r="AD625" i="2"/>
  <c r="AD624" i="2"/>
  <c r="AD623" i="2"/>
  <c r="AD622" i="2"/>
  <c r="AD621" i="2"/>
  <c r="AD620" i="2"/>
  <c r="AD619" i="2"/>
  <c r="AD618" i="2"/>
  <c r="AD617" i="2"/>
  <c r="AD616" i="2"/>
  <c r="AD615" i="2"/>
  <c r="AD614" i="2"/>
  <c r="AD613" i="2"/>
  <c r="AD612" i="2"/>
  <c r="AD611" i="2"/>
  <c r="AD610" i="2"/>
  <c r="AD609" i="2"/>
  <c r="AD608" i="2"/>
  <c r="AD607" i="2"/>
  <c r="AD606" i="2"/>
  <c r="AD605" i="2"/>
  <c r="AD604" i="2"/>
  <c r="AD603" i="2"/>
  <c r="AD602" i="2"/>
  <c r="AD601" i="2"/>
  <c r="AD600" i="2"/>
  <c r="AD599" i="2"/>
  <c r="AD598" i="2"/>
  <c r="AD597" i="2"/>
  <c r="AD596" i="2"/>
  <c r="AD595" i="2"/>
  <c r="AD594" i="2"/>
  <c r="AD593" i="2"/>
  <c r="AD592" i="2"/>
  <c r="AD591" i="2"/>
  <c r="AD590" i="2"/>
  <c r="AD589" i="2"/>
  <c r="AD588" i="2"/>
  <c r="AD587" i="2"/>
  <c r="AD586" i="2"/>
  <c r="AD585" i="2"/>
  <c r="AD584" i="2"/>
  <c r="AD583" i="2"/>
  <c r="AD582" i="2"/>
  <c r="AD581" i="2"/>
  <c r="AD580" i="2"/>
  <c r="AD579" i="2"/>
  <c r="AD578" i="2"/>
  <c r="AD577" i="2"/>
  <c r="AD576" i="2"/>
  <c r="AD575" i="2"/>
  <c r="AD574" i="2"/>
  <c r="AD573" i="2"/>
  <c r="AD572" i="2"/>
  <c r="AD571" i="2"/>
  <c r="AD570" i="2"/>
  <c r="AD569" i="2"/>
  <c r="AD568" i="2"/>
  <c r="AD567" i="2"/>
  <c r="AD566" i="2"/>
  <c r="AD565" i="2"/>
  <c r="AD564" i="2"/>
  <c r="AD563" i="2"/>
  <c r="AD562" i="2"/>
  <c r="AD561" i="2"/>
  <c r="AD560" i="2"/>
  <c r="AD559" i="2"/>
  <c r="AD558" i="2"/>
  <c r="AD557" i="2"/>
  <c r="AD556" i="2"/>
  <c r="AD555" i="2"/>
  <c r="AD554" i="2"/>
  <c r="AD553" i="2"/>
  <c r="AD552" i="2"/>
  <c r="AD551" i="2"/>
  <c r="AD550" i="2"/>
  <c r="AD549" i="2"/>
  <c r="AD548" i="2"/>
  <c r="AD547" i="2"/>
  <c r="AD546" i="2"/>
  <c r="AD545" i="2"/>
  <c r="AD544" i="2"/>
  <c r="AD543" i="2"/>
  <c r="AD542" i="2"/>
  <c r="AD541" i="2"/>
  <c r="AD540" i="2"/>
  <c r="AD539" i="2"/>
  <c r="AD538" i="2"/>
  <c r="AD537" i="2"/>
  <c r="AD536" i="2"/>
  <c r="AD535" i="2"/>
  <c r="AD534" i="2"/>
  <c r="AD533" i="2"/>
  <c r="AD532" i="2"/>
  <c r="AD531" i="2"/>
  <c r="AD530" i="2"/>
  <c r="AD529" i="2"/>
  <c r="AD528" i="2"/>
  <c r="AD527" i="2"/>
  <c r="AD526" i="2"/>
  <c r="AD525" i="2"/>
  <c r="AD524" i="2"/>
  <c r="AD523" i="2"/>
  <c r="AD522" i="2"/>
  <c r="AD521" i="2"/>
  <c r="AD520" i="2"/>
  <c r="AD519" i="2"/>
  <c r="AD518" i="2"/>
  <c r="AD517" i="2"/>
  <c r="AD516" i="2"/>
  <c r="AD515" i="2"/>
  <c r="AD514" i="2"/>
  <c r="AD513" i="2"/>
  <c r="AD512" i="2"/>
  <c r="AD511" i="2"/>
  <c r="AD510" i="2"/>
  <c r="AD509" i="2"/>
  <c r="AD508" i="2"/>
  <c r="AD507" i="2"/>
  <c r="AD506" i="2"/>
  <c r="AD505" i="2"/>
  <c r="AD504" i="2"/>
  <c r="AD503" i="2"/>
  <c r="AD502" i="2"/>
  <c r="AD501" i="2"/>
  <c r="AD500" i="2"/>
  <c r="AD499" i="2"/>
  <c r="AD498" i="2"/>
  <c r="AD497" i="2"/>
  <c r="AD496" i="2"/>
  <c r="AD495" i="2"/>
  <c r="AD494" i="2"/>
  <c r="AD493" i="2"/>
  <c r="AD492" i="2"/>
  <c r="AD491" i="2"/>
  <c r="AD490" i="2"/>
  <c r="AD489" i="2"/>
  <c r="AD488" i="2"/>
  <c r="AD487" i="2"/>
  <c r="AD486" i="2"/>
  <c r="AD485" i="2"/>
  <c r="AD484" i="2"/>
  <c r="AD483" i="2"/>
  <c r="AD482" i="2"/>
  <c r="AD481" i="2"/>
  <c r="AD480" i="2"/>
  <c r="AD479" i="2"/>
  <c r="AD478" i="2"/>
  <c r="AD477" i="2"/>
  <c r="AD476" i="2"/>
  <c r="AD475" i="2"/>
  <c r="AD474" i="2"/>
  <c r="AD473" i="2"/>
  <c r="AD472" i="2"/>
  <c r="AD471" i="2"/>
  <c r="AD470" i="2"/>
  <c r="AD469" i="2"/>
  <c r="AD468" i="2"/>
  <c r="AD467" i="2"/>
  <c r="AD466" i="2"/>
  <c r="AD465" i="2"/>
  <c r="AD464" i="2"/>
  <c r="AD463" i="2"/>
  <c r="AD462" i="2"/>
  <c r="AD461" i="2"/>
  <c r="AD460" i="2"/>
  <c r="AD459" i="2"/>
  <c r="AD458" i="2"/>
  <c r="AD457" i="2"/>
  <c r="AD456" i="2"/>
  <c r="AD455" i="2"/>
  <c r="AD454" i="2"/>
  <c r="AD453" i="2"/>
  <c r="AD452" i="2"/>
  <c r="AD451" i="2"/>
  <c r="AD450" i="2"/>
  <c r="AD449" i="2"/>
  <c r="AD448" i="2"/>
  <c r="AD447" i="2"/>
  <c r="AD446" i="2"/>
  <c r="AD445" i="2"/>
  <c r="AD444" i="2"/>
  <c r="AD443" i="2"/>
  <c r="AD442" i="2"/>
  <c r="AD441" i="2"/>
  <c r="AD440" i="2"/>
  <c r="AD439" i="2"/>
  <c r="AD438" i="2"/>
  <c r="AD437" i="2"/>
  <c r="AD436" i="2"/>
  <c r="AD435" i="2"/>
  <c r="AD434" i="2"/>
  <c r="AD433" i="2"/>
  <c r="AD432" i="2"/>
  <c r="AD431" i="2"/>
  <c r="AD430" i="2"/>
  <c r="AD429" i="2"/>
  <c r="AD428" i="2"/>
  <c r="AD427" i="2"/>
  <c r="AD426" i="2"/>
  <c r="AD425" i="2"/>
  <c r="AD424" i="2"/>
  <c r="AD423" i="2"/>
  <c r="AD422" i="2"/>
  <c r="AD421" i="2"/>
  <c r="AD420" i="2"/>
  <c r="AD419" i="2"/>
  <c r="AD418" i="2"/>
  <c r="AD417" i="2"/>
  <c r="AD416" i="2"/>
  <c r="AD415" i="2"/>
  <c r="AD414" i="2"/>
  <c r="AD413" i="2"/>
  <c r="AD412" i="2"/>
  <c r="AD411" i="2"/>
  <c r="AD410" i="2"/>
  <c r="AD409" i="2"/>
  <c r="AD408" i="2"/>
  <c r="AD407" i="2"/>
  <c r="AD406" i="2"/>
  <c r="AD405" i="2"/>
  <c r="AD404" i="2"/>
  <c r="AD403" i="2"/>
  <c r="AD402" i="2"/>
  <c r="AD401" i="2"/>
  <c r="AD400" i="2"/>
  <c r="AD399" i="2"/>
  <c r="AD398" i="2"/>
  <c r="AD397" i="2"/>
  <c r="AD396" i="2"/>
  <c r="AD395" i="2"/>
  <c r="AD394" i="2"/>
  <c r="AD393" i="2"/>
  <c r="AD392" i="2"/>
  <c r="AD391" i="2"/>
  <c r="AD390" i="2"/>
  <c r="AD389" i="2"/>
  <c r="AD388" i="2"/>
  <c r="AD387" i="2"/>
  <c r="AD386" i="2"/>
  <c r="AD385" i="2"/>
  <c r="AD384" i="2"/>
  <c r="AD383" i="2"/>
  <c r="AD382" i="2"/>
  <c r="AD381" i="2"/>
  <c r="AD380" i="2"/>
  <c r="AD379" i="2"/>
  <c r="AD378" i="2"/>
  <c r="AD377" i="2"/>
  <c r="AD376" i="2"/>
  <c r="AD375" i="2"/>
  <c r="AD374" i="2"/>
  <c r="AD373" i="2"/>
  <c r="AD372" i="2"/>
  <c r="AD371" i="2"/>
  <c r="AD370" i="2"/>
  <c r="AD369" i="2"/>
  <c r="AD368" i="2"/>
  <c r="AD367" i="2"/>
  <c r="AD366" i="2"/>
  <c r="AD365" i="2"/>
  <c r="AD364" i="2"/>
  <c r="AD363" i="2"/>
  <c r="AD362" i="2"/>
  <c r="AD361" i="2"/>
  <c r="AD360" i="2"/>
  <c r="AD359" i="2"/>
  <c r="AD358" i="2"/>
  <c r="AD357" i="2"/>
  <c r="AD356" i="2"/>
  <c r="AD355" i="2"/>
  <c r="AD354" i="2"/>
  <c r="AD353" i="2"/>
  <c r="AD352" i="2"/>
  <c r="AD351" i="2"/>
  <c r="AD350" i="2"/>
  <c r="AD349" i="2"/>
  <c r="AD348" i="2"/>
  <c r="AD347" i="2"/>
  <c r="AD346" i="2"/>
  <c r="AD345" i="2"/>
  <c r="AD344" i="2"/>
  <c r="AD343" i="2"/>
  <c r="AD342" i="2"/>
  <c r="AD341" i="2"/>
  <c r="AD340" i="2"/>
  <c r="AD339" i="2"/>
  <c r="AD338" i="2"/>
  <c r="AD337" i="2"/>
  <c r="AD336" i="2"/>
  <c r="AD335" i="2"/>
  <c r="AD334" i="2"/>
  <c r="AD333" i="2"/>
  <c r="AD332" i="2"/>
  <c r="AD331" i="2"/>
  <c r="AD330" i="2"/>
  <c r="AD329" i="2"/>
  <c r="AD328" i="2"/>
  <c r="AD327" i="2"/>
  <c r="AD326" i="2"/>
  <c r="AD325" i="2"/>
  <c r="AD324" i="2"/>
  <c r="AD323" i="2"/>
  <c r="AD322" i="2"/>
  <c r="AD321" i="2"/>
  <c r="AD320" i="2"/>
  <c r="AD319" i="2"/>
  <c r="AD318" i="2"/>
  <c r="AD317" i="2"/>
  <c r="AD316" i="2"/>
  <c r="AD315" i="2"/>
  <c r="AD314" i="2"/>
  <c r="AD313" i="2"/>
  <c r="AD312" i="2"/>
  <c r="AD311" i="2"/>
  <c r="AD310" i="2"/>
  <c r="AD309" i="2"/>
  <c r="AD308" i="2"/>
  <c r="AD307" i="2"/>
  <c r="AD306" i="2"/>
  <c r="AD305" i="2"/>
  <c r="AD304" i="2"/>
  <c r="AD303" i="2"/>
  <c r="AD302" i="2"/>
  <c r="AD301" i="2"/>
  <c r="AD300" i="2"/>
  <c r="AD299" i="2"/>
  <c r="AD298" i="2"/>
  <c r="AD297" i="2"/>
  <c r="AD296" i="2"/>
  <c r="AD295" i="2"/>
  <c r="AD294" i="2"/>
  <c r="AD293" i="2"/>
  <c r="AD292" i="2"/>
  <c r="AD291" i="2"/>
  <c r="AD290" i="2"/>
  <c r="AD289" i="2"/>
  <c r="AD288" i="2"/>
  <c r="AD287" i="2"/>
  <c r="AD286" i="2"/>
  <c r="AD285" i="2"/>
  <c r="AD284" i="2"/>
  <c r="AD283" i="2"/>
  <c r="AD282" i="2"/>
  <c r="AD281" i="2"/>
  <c r="AD280" i="2"/>
  <c r="AD279" i="2"/>
  <c r="AD278" i="2"/>
  <c r="AD277" i="2"/>
  <c r="AD276" i="2"/>
  <c r="AD275" i="2"/>
  <c r="AD274" i="2"/>
  <c r="AD273" i="2"/>
  <c r="AD272" i="2"/>
  <c r="AD271" i="2"/>
  <c r="AD270" i="2"/>
  <c r="AD269" i="2"/>
  <c r="AD268" i="2"/>
  <c r="AD267" i="2"/>
  <c r="AD266" i="2"/>
  <c r="AD265" i="2"/>
  <c r="AD264" i="2"/>
  <c r="AD263" i="2"/>
  <c r="AD262" i="2"/>
  <c r="AD261" i="2"/>
  <c r="AD260" i="2"/>
  <c r="AD259" i="2"/>
  <c r="AD258" i="2"/>
  <c r="AD257" i="2"/>
  <c r="AD256" i="2"/>
  <c r="AD255" i="2"/>
  <c r="AD254" i="2"/>
  <c r="AD253" i="2"/>
  <c r="AD252" i="2"/>
  <c r="AD251" i="2"/>
  <c r="AD250" i="2"/>
  <c r="AD249" i="2"/>
  <c r="AD248" i="2"/>
  <c r="AD247" i="2"/>
  <c r="AD246" i="2"/>
  <c r="AD245" i="2"/>
  <c r="AD244" i="2"/>
  <c r="AD243" i="2"/>
  <c r="AD242" i="2"/>
  <c r="AD241" i="2"/>
  <c r="AD240" i="2"/>
  <c r="AD239" i="2"/>
  <c r="AD238" i="2"/>
  <c r="AD237" i="2"/>
  <c r="AD236" i="2"/>
  <c r="AD235" i="2"/>
  <c r="AD234" i="2"/>
  <c r="AD233" i="2"/>
  <c r="AD232" i="2"/>
  <c r="AD231" i="2"/>
  <c r="AD230" i="2"/>
  <c r="AD229" i="2"/>
  <c r="AD228" i="2"/>
  <c r="AD227" i="2"/>
  <c r="AD226" i="2"/>
  <c r="AD225" i="2"/>
  <c r="AD224" i="2"/>
  <c r="AD223" i="2"/>
  <c r="AD222" i="2"/>
  <c r="AD221" i="2"/>
  <c r="AD220" i="2"/>
  <c r="AD219" i="2"/>
  <c r="AD218" i="2"/>
  <c r="AD217" i="2"/>
  <c r="AD216" i="2"/>
  <c r="AD215" i="2"/>
  <c r="AD214" i="2"/>
  <c r="AD213" i="2"/>
  <c r="AD212" i="2"/>
  <c r="AD211" i="2"/>
  <c r="AD210" i="2"/>
  <c r="AD209" i="2"/>
  <c r="AD208" i="2"/>
  <c r="AD207" i="2"/>
  <c r="AD206" i="2"/>
  <c r="AD205" i="2"/>
  <c r="AD204" i="2"/>
  <c r="AD203" i="2"/>
  <c r="AD202" i="2"/>
  <c r="AD201" i="2"/>
  <c r="AD200" i="2"/>
  <c r="AD199" i="2"/>
  <c r="AD198" i="2"/>
  <c r="AD197" i="2"/>
  <c r="AD196" i="2"/>
  <c r="AD195" i="2"/>
  <c r="AD194" i="2"/>
  <c r="AD193" i="2"/>
  <c r="AD192" i="2"/>
  <c r="AD191" i="2"/>
  <c r="AD190" i="2"/>
  <c r="AD189" i="2"/>
  <c r="AD188" i="2"/>
  <c r="AD187" i="2"/>
  <c r="AD186" i="2"/>
  <c r="AD185" i="2"/>
  <c r="AD184" i="2"/>
  <c r="AD183" i="2"/>
  <c r="AD182" i="2"/>
  <c r="AD181" i="2"/>
  <c r="AD180" i="2"/>
  <c r="AD179" i="2"/>
  <c r="AD178" i="2"/>
  <c r="AD177" i="2"/>
  <c r="AD176" i="2"/>
  <c r="AD175" i="2"/>
  <c r="AD174" i="2"/>
  <c r="AD173" i="2"/>
  <c r="AD172" i="2"/>
  <c r="AD171" i="2"/>
  <c r="AD170" i="2"/>
  <c r="AD169" i="2"/>
  <c r="AD168" i="2"/>
  <c r="AD167" i="2"/>
  <c r="AD166" i="2"/>
  <c r="AD165" i="2"/>
  <c r="AD164" i="2"/>
  <c r="AD163" i="2"/>
  <c r="AD162" i="2"/>
  <c r="AD161" i="2"/>
  <c r="AD160" i="2"/>
  <c r="AD159" i="2"/>
  <c r="AD158" i="2"/>
  <c r="AD157" i="2"/>
  <c r="AD156" i="2"/>
  <c r="AD155" i="2"/>
  <c r="AD154" i="2"/>
  <c r="AD153" i="2"/>
  <c r="AD152" i="2"/>
  <c r="AD151" i="2"/>
  <c r="AD150" i="2"/>
  <c r="AD149" i="2"/>
  <c r="AD148" i="2"/>
  <c r="AD147" i="2"/>
  <c r="AD146" i="2"/>
  <c r="AD145" i="2"/>
  <c r="AD144" i="2"/>
  <c r="AD143" i="2"/>
  <c r="AD142" i="2"/>
  <c r="AD141" i="2"/>
  <c r="AD140" i="2"/>
  <c r="AD139" i="2"/>
  <c r="AD138" i="2"/>
  <c r="AD137" i="2"/>
  <c r="AD136" i="2"/>
  <c r="AD135" i="2"/>
  <c r="AD134" i="2"/>
  <c r="AD133" i="2"/>
  <c r="AD132" i="2"/>
  <c r="AD131" i="2"/>
  <c r="AD130" i="2"/>
  <c r="AD129" i="2"/>
  <c r="AD128" i="2"/>
  <c r="AD127" i="2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B1" i="7" a="1"/>
  <c r="B1" i="7" s="1"/>
  <c r="AD3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699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699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AB894" i="2" l="1"/>
  <c r="AC894" i="2"/>
  <c r="AC893" i="2"/>
  <c r="AB893" i="2"/>
  <c r="AC891" i="2"/>
  <c r="AA893" i="2"/>
  <c r="AE895" i="2"/>
  <c r="AA895" i="2" s="1"/>
  <c r="AE890" i="2"/>
  <c r="AE892" i="2"/>
  <c r="AA892" i="2" s="1"/>
  <c r="AA894" i="2"/>
  <c r="AE896" i="2"/>
  <c r="AA891" i="2"/>
  <c r="AE888" i="2"/>
  <c r="AA888" i="2" s="1"/>
  <c r="AC889" i="2"/>
  <c r="AB889" i="2"/>
  <c r="AA889" i="2"/>
  <c r="AE849" i="2"/>
  <c r="AC849" i="2" s="1"/>
  <c r="AE887" i="2"/>
  <c r="AB887" i="2" s="1"/>
  <c r="AE15" i="2"/>
  <c r="AA15" i="2" s="1"/>
  <c r="AE31" i="2"/>
  <c r="AA31" i="2" s="1"/>
  <c r="AE47" i="2"/>
  <c r="AA47" i="2" s="1"/>
  <c r="AE63" i="2"/>
  <c r="AA63" i="2" s="1"/>
  <c r="AE79" i="2"/>
  <c r="AA79" i="2" s="1"/>
  <c r="AE95" i="2"/>
  <c r="AA95" i="2" s="1"/>
  <c r="AE111" i="2"/>
  <c r="AA111" i="2" s="1"/>
  <c r="AE127" i="2"/>
  <c r="AA127" i="2" s="1"/>
  <c r="AE143" i="2"/>
  <c r="AA143" i="2" s="1"/>
  <c r="AE159" i="2"/>
  <c r="AA159" i="2" s="1"/>
  <c r="AE175" i="2"/>
  <c r="AA175" i="2" s="1"/>
  <c r="AE191" i="2"/>
  <c r="AA191" i="2" s="1"/>
  <c r="AE207" i="2"/>
  <c r="AA207" i="2" s="1"/>
  <c r="AE223" i="2"/>
  <c r="AA223" i="2" s="1"/>
  <c r="AE239" i="2"/>
  <c r="AA239" i="2" s="1"/>
  <c r="AE255" i="2"/>
  <c r="AA255" i="2" s="1"/>
  <c r="AE271" i="2"/>
  <c r="AA271" i="2" s="1"/>
  <c r="AE707" i="2"/>
  <c r="AE284" i="2"/>
  <c r="AA284" i="2" s="1"/>
  <c r="AE718" i="2"/>
  <c r="AE741" i="2"/>
  <c r="AE769" i="2"/>
  <c r="AE799" i="2"/>
  <c r="AE833" i="2"/>
  <c r="AE678" i="2"/>
  <c r="AA678" i="2" s="1"/>
  <c r="AE882" i="2"/>
  <c r="AE16" i="2"/>
  <c r="AA16" i="2" s="1"/>
  <c r="AE32" i="2"/>
  <c r="AA32" i="2" s="1"/>
  <c r="AE48" i="2"/>
  <c r="AA48" i="2" s="1"/>
  <c r="AE64" i="2"/>
  <c r="AA64" i="2" s="1"/>
  <c r="AE80" i="2"/>
  <c r="AA80" i="2" s="1"/>
  <c r="AE96" i="2"/>
  <c r="AA96" i="2" s="1"/>
  <c r="AE112" i="2"/>
  <c r="AA112" i="2" s="1"/>
  <c r="AE128" i="2"/>
  <c r="AA128" i="2" s="1"/>
  <c r="AE144" i="2"/>
  <c r="AA144" i="2" s="1"/>
  <c r="AE160" i="2"/>
  <c r="AA160" i="2" s="1"/>
  <c r="AE176" i="2"/>
  <c r="AA176" i="2" s="1"/>
  <c r="AE192" i="2"/>
  <c r="AA192" i="2" s="1"/>
  <c r="AE208" i="2"/>
  <c r="AA208" i="2" s="1"/>
  <c r="AE224" i="2"/>
  <c r="AA224" i="2" s="1"/>
  <c r="AE240" i="2"/>
  <c r="AA240" i="2" s="1"/>
  <c r="AE256" i="2"/>
  <c r="AA256" i="2" s="1"/>
  <c r="AE272" i="2"/>
  <c r="AA272" i="2" s="1"/>
  <c r="AE708" i="2"/>
  <c r="AE285" i="2"/>
  <c r="AA285" i="2" s="1"/>
  <c r="AE719" i="2"/>
  <c r="AE743" i="2"/>
  <c r="AE770" i="2"/>
  <c r="AE800" i="2"/>
  <c r="AE839" i="2"/>
  <c r="AE7" i="2"/>
  <c r="AA7" i="2" s="1"/>
  <c r="AE17" i="2"/>
  <c r="AA17" i="2" s="1"/>
  <c r="AE33" i="2"/>
  <c r="AA33" i="2" s="1"/>
  <c r="AE49" i="2"/>
  <c r="AA49" i="2" s="1"/>
  <c r="AE65" i="2"/>
  <c r="AA65" i="2" s="1"/>
  <c r="AE81" i="2"/>
  <c r="AA81" i="2" s="1"/>
  <c r="AE97" i="2"/>
  <c r="AA97" i="2" s="1"/>
  <c r="AE113" i="2"/>
  <c r="AA113" i="2" s="1"/>
  <c r="AE129" i="2"/>
  <c r="AA129" i="2" s="1"/>
  <c r="AE145" i="2"/>
  <c r="AA145" i="2" s="1"/>
  <c r="AE161" i="2"/>
  <c r="AA161" i="2" s="1"/>
  <c r="AE177" i="2"/>
  <c r="AA177" i="2" s="1"/>
  <c r="AE193" i="2"/>
  <c r="AA193" i="2" s="1"/>
  <c r="AE209" i="2"/>
  <c r="AA209" i="2" s="1"/>
  <c r="AE225" i="2"/>
  <c r="AA225" i="2" s="1"/>
  <c r="AE241" i="2"/>
  <c r="AA241" i="2" s="1"/>
  <c r="AE257" i="2"/>
  <c r="AA257" i="2" s="1"/>
  <c r="AE273" i="2"/>
  <c r="AA273" i="2" s="1"/>
  <c r="AE709" i="2"/>
  <c r="AE287" i="2"/>
  <c r="AA287" i="2" s="1"/>
  <c r="AE720" i="2"/>
  <c r="AE745" i="2"/>
  <c r="AE771" i="2"/>
  <c r="AE801" i="2"/>
  <c r="AE841" i="2"/>
  <c r="AB841" i="2" s="1"/>
  <c r="AE8" i="2"/>
  <c r="AA8" i="2" s="1"/>
  <c r="AE11" i="2"/>
  <c r="AA11" i="2" s="1"/>
  <c r="AE18" i="2"/>
  <c r="AA18" i="2" s="1"/>
  <c r="AE34" i="2"/>
  <c r="AA34" i="2" s="1"/>
  <c r="AE50" i="2"/>
  <c r="AA50" i="2" s="1"/>
  <c r="AE66" i="2"/>
  <c r="AA66" i="2" s="1"/>
  <c r="AE82" i="2"/>
  <c r="AA82" i="2" s="1"/>
  <c r="AE98" i="2"/>
  <c r="AA98" i="2" s="1"/>
  <c r="AE114" i="2"/>
  <c r="AA114" i="2" s="1"/>
  <c r="AE130" i="2"/>
  <c r="AA130" i="2" s="1"/>
  <c r="AE146" i="2"/>
  <c r="AA146" i="2" s="1"/>
  <c r="AE162" i="2"/>
  <c r="AA162" i="2" s="1"/>
  <c r="AE178" i="2"/>
  <c r="AA178" i="2" s="1"/>
  <c r="AE194" i="2"/>
  <c r="AA194" i="2" s="1"/>
  <c r="AE210" i="2"/>
  <c r="AA210" i="2" s="1"/>
  <c r="AE226" i="2"/>
  <c r="AA226" i="2" s="1"/>
  <c r="AE242" i="2"/>
  <c r="AA242" i="2" s="1"/>
  <c r="AE258" i="2"/>
  <c r="AA258" i="2" s="1"/>
  <c r="AE274" i="2"/>
  <c r="AA274" i="2" s="1"/>
  <c r="AE710" i="2"/>
  <c r="AE289" i="2"/>
  <c r="AA289" i="2" s="1"/>
  <c r="AE721" i="2"/>
  <c r="AE749" i="2"/>
  <c r="AE775" i="2"/>
  <c r="AE802" i="2"/>
  <c r="AE845" i="2"/>
  <c r="AE9" i="2"/>
  <c r="AA9" i="2" s="1"/>
  <c r="AE12" i="2"/>
  <c r="AA12" i="2" s="1"/>
  <c r="AE19" i="2"/>
  <c r="AA19" i="2" s="1"/>
  <c r="AE35" i="2"/>
  <c r="AA35" i="2" s="1"/>
  <c r="AE51" i="2"/>
  <c r="AA51" i="2" s="1"/>
  <c r="AE67" i="2"/>
  <c r="AA67" i="2" s="1"/>
  <c r="AE83" i="2"/>
  <c r="AA83" i="2" s="1"/>
  <c r="AE99" i="2"/>
  <c r="AA99" i="2" s="1"/>
  <c r="AE115" i="2"/>
  <c r="AA115" i="2" s="1"/>
  <c r="AE131" i="2"/>
  <c r="AA131" i="2" s="1"/>
  <c r="AE147" i="2"/>
  <c r="AA147" i="2" s="1"/>
  <c r="AE163" i="2"/>
  <c r="AA163" i="2" s="1"/>
  <c r="AE179" i="2"/>
  <c r="AA179" i="2" s="1"/>
  <c r="AE195" i="2"/>
  <c r="AA195" i="2" s="1"/>
  <c r="AE211" i="2"/>
  <c r="AA211" i="2" s="1"/>
  <c r="AE227" i="2"/>
  <c r="AA227" i="2" s="1"/>
  <c r="AE243" i="2"/>
  <c r="AA243" i="2" s="1"/>
  <c r="AE259" i="2"/>
  <c r="AA259" i="2" s="1"/>
  <c r="AE275" i="2"/>
  <c r="AA275" i="2" s="1"/>
  <c r="AE685" i="2"/>
  <c r="AA685" i="2" s="1"/>
  <c r="AE293" i="2"/>
  <c r="AA293" i="2" s="1"/>
  <c r="AE722" i="2"/>
  <c r="AE750" i="2"/>
  <c r="AE777" i="2"/>
  <c r="AE803" i="2"/>
  <c r="AE3" i="2"/>
  <c r="AA3" i="2" s="1"/>
  <c r="AE601" i="2"/>
  <c r="AA601" i="2" s="1"/>
  <c r="AE585" i="2"/>
  <c r="AA585" i="2" s="1"/>
  <c r="AE569" i="2"/>
  <c r="AA569" i="2" s="1"/>
  <c r="AE553" i="2"/>
  <c r="AA553" i="2" s="1"/>
  <c r="AE537" i="2"/>
  <c r="AA537" i="2" s="1"/>
  <c r="AE521" i="2"/>
  <c r="AA521" i="2" s="1"/>
  <c r="AE505" i="2"/>
  <c r="AA505" i="2" s="1"/>
  <c r="AE489" i="2"/>
  <c r="AA489" i="2" s="1"/>
  <c r="AE473" i="2"/>
  <c r="AA473" i="2" s="1"/>
  <c r="AE457" i="2"/>
  <c r="AA457" i="2" s="1"/>
  <c r="AE441" i="2"/>
  <c r="AA441" i="2" s="1"/>
  <c r="AE425" i="2"/>
  <c r="AA425" i="2" s="1"/>
  <c r="AE409" i="2"/>
  <c r="AA409" i="2" s="1"/>
  <c r="AE641" i="2"/>
  <c r="AA641" i="2" s="1"/>
  <c r="AE625" i="2"/>
  <c r="AA625" i="2" s="1"/>
  <c r="AE609" i="2"/>
  <c r="AA609" i="2" s="1"/>
  <c r="AE394" i="2"/>
  <c r="AA394" i="2" s="1"/>
  <c r="AE378" i="2"/>
  <c r="AA378" i="2" s="1"/>
  <c r="AE362" i="2"/>
  <c r="AA362" i="2" s="1"/>
  <c r="AE658" i="2"/>
  <c r="AA658" i="2" s="1"/>
  <c r="AE346" i="2"/>
  <c r="AA346" i="2" s="1"/>
  <c r="AE330" i="2"/>
  <c r="AA330" i="2" s="1"/>
  <c r="AE680" i="2"/>
  <c r="AA680" i="2" s="1"/>
  <c r="AE312" i="2"/>
  <c r="AA312" i="2" s="1"/>
  <c r="AE867" i="2"/>
  <c r="AE851" i="2"/>
  <c r="AC851" i="2" s="1"/>
  <c r="AE835" i="2"/>
  <c r="AE819" i="2"/>
  <c r="AE600" i="2"/>
  <c r="AA600" i="2" s="1"/>
  <c r="AE584" i="2"/>
  <c r="AA584" i="2" s="1"/>
  <c r="AE568" i="2"/>
  <c r="AA568" i="2" s="1"/>
  <c r="AE552" i="2"/>
  <c r="AA552" i="2" s="1"/>
  <c r="AE536" i="2"/>
  <c r="AA536" i="2" s="1"/>
  <c r="AE520" i="2"/>
  <c r="AA520" i="2" s="1"/>
  <c r="AE504" i="2"/>
  <c r="AA504" i="2" s="1"/>
  <c r="AE488" i="2"/>
  <c r="AA488" i="2" s="1"/>
  <c r="AE472" i="2"/>
  <c r="AA472" i="2" s="1"/>
  <c r="AE456" i="2"/>
  <c r="AA456" i="2" s="1"/>
  <c r="AE440" i="2"/>
  <c r="AA440" i="2" s="1"/>
  <c r="AE424" i="2"/>
  <c r="AA424" i="2" s="1"/>
  <c r="AE408" i="2"/>
  <c r="AA408" i="2" s="1"/>
  <c r="AE640" i="2"/>
  <c r="AA640" i="2" s="1"/>
  <c r="AE624" i="2"/>
  <c r="AA624" i="2" s="1"/>
  <c r="AE608" i="2"/>
  <c r="AA608" i="2" s="1"/>
  <c r="AE393" i="2"/>
  <c r="AA393" i="2" s="1"/>
  <c r="AE377" i="2"/>
  <c r="AA377" i="2" s="1"/>
  <c r="AE361" i="2"/>
  <c r="AA361" i="2" s="1"/>
  <c r="AE657" i="2"/>
  <c r="AA657" i="2" s="1"/>
  <c r="AE345" i="2"/>
  <c r="AA345" i="2" s="1"/>
  <c r="AE329" i="2"/>
  <c r="AA329" i="2" s="1"/>
  <c r="AE679" i="2"/>
  <c r="AA679" i="2" s="1"/>
  <c r="AE311" i="2"/>
  <c r="AA311" i="2" s="1"/>
  <c r="AE866" i="2"/>
  <c r="AE850" i="2"/>
  <c r="AE834" i="2"/>
  <c r="AE816" i="2"/>
  <c r="AE599" i="2"/>
  <c r="AA599" i="2" s="1"/>
  <c r="AE583" i="2"/>
  <c r="AA583" i="2" s="1"/>
  <c r="AE567" i="2"/>
  <c r="AA567" i="2" s="1"/>
  <c r="AE551" i="2"/>
  <c r="AA551" i="2" s="1"/>
  <c r="AE535" i="2"/>
  <c r="AA535" i="2" s="1"/>
  <c r="AE519" i="2"/>
  <c r="AA519" i="2" s="1"/>
  <c r="AE503" i="2"/>
  <c r="AA503" i="2" s="1"/>
  <c r="AE487" i="2"/>
  <c r="AA487" i="2" s="1"/>
  <c r="AE471" i="2"/>
  <c r="AA471" i="2" s="1"/>
  <c r="AE455" i="2"/>
  <c r="AA455" i="2" s="1"/>
  <c r="AE439" i="2"/>
  <c r="AA439" i="2" s="1"/>
  <c r="AE423" i="2"/>
  <c r="AA423" i="2" s="1"/>
  <c r="AE407" i="2"/>
  <c r="AA407" i="2" s="1"/>
  <c r="AE639" i="2"/>
  <c r="AA639" i="2" s="1"/>
  <c r="AE623" i="2"/>
  <c r="AA623" i="2" s="1"/>
  <c r="AE607" i="2"/>
  <c r="AA607" i="2" s="1"/>
  <c r="AE392" i="2"/>
  <c r="AA392" i="2" s="1"/>
  <c r="AE376" i="2"/>
  <c r="AA376" i="2" s="1"/>
  <c r="AE360" i="2"/>
  <c r="AA360" i="2" s="1"/>
  <c r="AE656" i="2"/>
  <c r="AA656" i="2" s="1"/>
  <c r="AE344" i="2"/>
  <c r="AA344" i="2" s="1"/>
  <c r="AE328" i="2"/>
  <c r="AA328" i="2" s="1"/>
  <c r="AE598" i="2"/>
  <c r="AA598" i="2" s="1"/>
  <c r="AE582" i="2"/>
  <c r="AA582" i="2" s="1"/>
  <c r="AE566" i="2"/>
  <c r="AA566" i="2" s="1"/>
  <c r="AE550" i="2"/>
  <c r="AA550" i="2" s="1"/>
  <c r="AE534" i="2"/>
  <c r="AA534" i="2" s="1"/>
  <c r="AE518" i="2"/>
  <c r="AA518" i="2" s="1"/>
  <c r="AE502" i="2"/>
  <c r="AA502" i="2" s="1"/>
  <c r="AE486" i="2"/>
  <c r="AA486" i="2" s="1"/>
  <c r="AE470" i="2"/>
  <c r="AA470" i="2" s="1"/>
  <c r="AE454" i="2"/>
  <c r="AA454" i="2" s="1"/>
  <c r="AE438" i="2"/>
  <c r="AA438" i="2" s="1"/>
  <c r="AE422" i="2"/>
  <c r="AA422" i="2" s="1"/>
  <c r="AE406" i="2"/>
  <c r="AA406" i="2" s="1"/>
  <c r="AE638" i="2"/>
  <c r="AA638" i="2" s="1"/>
  <c r="AE622" i="2"/>
  <c r="AA622" i="2" s="1"/>
  <c r="AE606" i="2"/>
  <c r="AA606" i="2" s="1"/>
  <c r="AE391" i="2"/>
  <c r="AA391" i="2" s="1"/>
  <c r="AE375" i="2"/>
  <c r="AA375" i="2" s="1"/>
  <c r="AE359" i="2"/>
  <c r="AA359" i="2" s="1"/>
  <c r="AE655" i="2"/>
  <c r="AA655" i="2" s="1"/>
  <c r="AE343" i="2"/>
  <c r="AA343" i="2" s="1"/>
  <c r="AE327" i="2"/>
  <c r="AA327" i="2" s="1"/>
  <c r="AE677" i="2"/>
  <c r="AA677" i="2" s="1"/>
  <c r="AE309" i="2"/>
  <c r="AA309" i="2" s="1"/>
  <c r="AE864" i="2"/>
  <c r="AE848" i="2"/>
  <c r="AE832" i="2"/>
  <c r="AB832" i="2" s="1"/>
  <c r="AE597" i="2"/>
  <c r="AA597" i="2" s="1"/>
  <c r="AE581" i="2"/>
  <c r="AA581" i="2" s="1"/>
  <c r="AE565" i="2"/>
  <c r="AA565" i="2" s="1"/>
  <c r="AE549" i="2"/>
  <c r="AA549" i="2" s="1"/>
  <c r="AE533" i="2"/>
  <c r="AA533" i="2" s="1"/>
  <c r="AE517" i="2"/>
  <c r="AA517" i="2" s="1"/>
  <c r="AE501" i="2"/>
  <c r="AA501" i="2" s="1"/>
  <c r="AE485" i="2"/>
  <c r="AA485" i="2" s="1"/>
  <c r="AE469" i="2"/>
  <c r="AA469" i="2" s="1"/>
  <c r="AE453" i="2"/>
  <c r="AA453" i="2" s="1"/>
  <c r="AE437" i="2"/>
  <c r="AA437" i="2" s="1"/>
  <c r="AE421" i="2"/>
  <c r="AA421" i="2" s="1"/>
  <c r="AE405" i="2"/>
  <c r="AA405" i="2" s="1"/>
  <c r="AE637" i="2"/>
  <c r="AA637" i="2" s="1"/>
  <c r="AE621" i="2"/>
  <c r="AA621" i="2" s="1"/>
  <c r="AE605" i="2"/>
  <c r="AA605" i="2" s="1"/>
  <c r="AE390" i="2"/>
  <c r="AA390" i="2" s="1"/>
  <c r="AE374" i="2"/>
  <c r="AA374" i="2" s="1"/>
  <c r="AE358" i="2"/>
  <c r="AA358" i="2" s="1"/>
  <c r="AE654" i="2"/>
  <c r="AA654" i="2" s="1"/>
  <c r="AE342" i="2"/>
  <c r="AA342" i="2" s="1"/>
  <c r="AE326" i="2"/>
  <c r="AA326" i="2" s="1"/>
  <c r="AE676" i="2"/>
  <c r="AA676" i="2" s="1"/>
  <c r="AE308" i="2"/>
  <c r="AA308" i="2" s="1"/>
  <c r="AE863" i="2"/>
  <c r="AE847" i="2"/>
  <c r="AE596" i="2"/>
  <c r="AA596" i="2" s="1"/>
  <c r="AE580" i="2"/>
  <c r="AA580" i="2" s="1"/>
  <c r="AE564" i="2"/>
  <c r="AA564" i="2" s="1"/>
  <c r="AE548" i="2"/>
  <c r="AA548" i="2" s="1"/>
  <c r="AE532" i="2"/>
  <c r="AA532" i="2" s="1"/>
  <c r="AE516" i="2"/>
  <c r="AA516" i="2" s="1"/>
  <c r="AE500" i="2"/>
  <c r="AA500" i="2" s="1"/>
  <c r="AE484" i="2"/>
  <c r="AA484" i="2" s="1"/>
  <c r="AE468" i="2"/>
  <c r="AA468" i="2" s="1"/>
  <c r="AE452" i="2"/>
  <c r="AA452" i="2" s="1"/>
  <c r="AE436" i="2"/>
  <c r="AA436" i="2" s="1"/>
  <c r="AE420" i="2"/>
  <c r="AA420" i="2" s="1"/>
  <c r="AE404" i="2"/>
  <c r="AA404" i="2" s="1"/>
  <c r="AE636" i="2"/>
  <c r="AA636" i="2" s="1"/>
  <c r="AE620" i="2"/>
  <c r="AA620" i="2" s="1"/>
  <c r="AE604" i="2"/>
  <c r="AA604" i="2" s="1"/>
  <c r="AE389" i="2"/>
  <c r="AA389" i="2" s="1"/>
  <c r="AE373" i="2"/>
  <c r="AA373" i="2" s="1"/>
  <c r="AE357" i="2"/>
  <c r="AA357" i="2" s="1"/>
  <c r="AE653" i="2"/>
  <c r="AA653" i="2" s="1"/>
  <c r="AE341" i="2"/>
  <c r="AA341" i="2" s="1"/>
  <c r="AE325" i="2"/>
  <c r="AA325" i="2" s="1"/>
  <c r="AE675" i="2"/>
  <c r="AA675" i="2" s="1"/>
  <c r="AE307" i="2"/>
  <c r="AA307" i="2" s="1"/>
  <c r="AE862" i="2"/>
  <c r="AB862" i="2" s="1"/>
  <c r="AE846" i="2"/>
  <c r="AE830" i="2"/>
  <c r="AE595" i="2"/>
  <c r="AA595" i="2" s="1"/>
  <c r="AE579" i="2"/>
  <c r="AA579" i="2" s="1"/>
  <c r="AE563" i="2"/>
  <c r="AA563" i="2" s="1"/>
  <c r="AE547" i="2"/>
  <c r="AA547" i="2" s="1"/>
  <c r="AE531" i="2"/>
  <c r="AA531" i="2" s="1"/>
  <c r="AE515" i="2"/>
  <c r="AA515" i="2" s="1"/>
  <c r="AE499" i="2"/>
  <c r="AA499" i="2" s="1"/>
  <c r="AE483" i="2"/>
  <c r="AA483" i="2" s="1"/>
  <c r="AE467" i="2"/>
  <c r="AA467" i="2" s="1"/>
  <c r="AE451" i="2"/>
  <c r="AA451" i="2" s="1"/>
  <c r="AE435" i="2"/>
  <c r="AA435" i="2" s="1"/>
  <c r="AE419" i="2"/>
  <c r="AA419" i="2" s="1"/>
  <c r="AE403" i="2"/>
  <c r="AA403" i="2" s="1"/>
  <c r="AE635" i="2"/>
  <c r="AA635" i="2" s="1"/>
  <c r="AE619" i="2"/>
  <c r="AA619" i="2" s="1"/>
  <c r="AE603" i="2"/>
  <c r="AA603" i="2" s="1"/>
  <c r="AE388" i="2"/>
  <c r="AA388" i="2" s="1"/>
  <c r="AE372" i="2"/>
  <c r="AA372" i="2" s="1"/>
  <c r="AE356" i="2"/>
  <c r="AA356" i="2" s="1"/>
  <c r="AE652" i="2"/>
  <c r="AA652" i="2" s="1"/>
  <c r="AE340" i="2"/>
  <c r="AA340" i="2" s="1"/>
  <c r="AE324" i="2"/>
  <c r="AA324" i="2" s="1"/>
  <c r="AE594" i="2"/>
  <c r="AA594" i="2" s="1"/>
  <c r="AE578" i="2"/>
  <c r="AA578" i="2" s="1"/>
  <c r="AE562" i="2"/>
  <c r="AA562" i="2" s="1"/>
  <c r="AE546" i="2"/>
  <c r="AA546" i="2" s="1"/>
  <c r="AE530" i="2"/>
  <c r="AA530" i="2" s="1"/>
  <c r="AE514" i="2"/>
  <c r="AA514" i="2" s="1"/>
  <c r="AE498" i="2"/>
  <c r="AA498" i="2" s="1"/>
  <c r="AE482" i="2"/>
  <c r="AA482" i="2" s="1"/>
  <c r="AE466" i="2"/>
  <c r="AA466" i="2" s="1"/>
  <c r="AE450" i="2"/>
  <c r="AA450" i="2" s="1"/>
  <c r="AE434" i="2"/>
  <c r="AA434" i="2" s="1"/>
  <c r="AE418" i="2"/>
  <c r="AA418" i="2" s="1"/>
  <c r="AE650" i="2"/>
  <c r="AA650" i="2" s="1"/>
  <c r="AE634" i="2"/>
  <c r="AA634" i="2" s="1"/>
  <c r="AE618" i="2"/>
  <c r="AA618" i="2" s="1"/>
  <c r="AE602" i="2"/>
  <c r="AA602" i="2" s="1"/>
  <c r="AE387" i="2"/>
  <c r="AA387" i="2" s="1"/>
  <c r="AE371" i="2"/>
  <c r="AA371" i="2" s="1"/>
  <c r="AE355" i="2"/>
  <c r="AA355" i="2" s="1"/>
  <c r="AE651" i="2"/>
  <c r="AA651" i="2" s="1"/>
  <c r="AE339" i="2"/>
  <c r="AA339" i="2" s="1"/>
  <c r="AE323" i="2"/>
  <c r="AA323" i="2" s="1"/>
  <c r="AE673" i="2"/>
  <c r="AA673" i="2" s="1"/>
  <c r="AE305" i="2"/>
  <c r="AA305" i="2" s="1"/>
  <c r="AE860" i="2"/>
  <c r="AE844" i="2"/>
  <c r="AE828" i="2"/>
  <c r="AE812" i="2"/>
  <c r="AE796" i="2"/>
  <c r="AE780" i="2"/>
  <c r="AE764" i="2"/>
  <c r="AE748" i="2"/>
  <c r="AA748" i="2" s="1"/>
  <c r="AE732" i="2"/>
  <c r="AE716" i="2"/>
  <c r="AE292" i="2"/>
  <c r="AA292" i="2" s="1"/>
  <c r="AE693" i="2"/>
  <c r="AA693" i="2" s="1"/>
  <c r="AE593" i="2"/>
  <c r="AA593" i="2" s="1"/>
  <c r="AE577" i="2"/>
  <c r="AA577" i="2" s="1"/>
  <c r="AE561" i="2"/>
  <c r="AA561" i="2" s="1"/>
  <c r="AE545" i="2"/>
  <c r="AA545" i="2" s="1"/>
  <c r="AE529" i="2"/>
  <c r="AA529" i="2" s="1"/>
  <c r="AE512" i="2"/>
  <c r="AA512" i="2" s="1"/>
  <c r="AE497" i="2"/>
  <c r="AA497" i="2" s="1"/>
  <c r="AE481" i="2"/>
  <c r="AA481" i="2" s="1"/>
  <c r="AE465" i="2"/>
  <c r="AA465" i="2" s="1"/>
  <c r="AE449" i="2"/>
  <c r="AA449" i="2" s="1"/>
  <c r="AE433" i="2"/>
  <c r="AA433" i="2" s="1"/>
  <c r="AE417" i="2"/>
  <c r="AA417" i="2" s="1"/>
  <c r="AE649" i="2"/>
  <c r="AA649" i="2" s="1"/>
  <c r="AE633" i="2"/>
  <c r="AA633" i="2" s="1"/>
  <c r="AE617" i="2"/>
  <c r="AA617" i="2" s="1"/>
  <c r="AE402" i="2"/>
  <c r="AA402" i="2" s="1"/>
  <c r="AE386" i="2"/>
  <c r="AA386" i="2" s="1"/>
  <c r="AE370" i="2"/>
  <c r="AA370" i="2" s="1"/>
  <c r="AE666" i="2"/>
  <c r="AA666" i="2" s="1"/>
  <c r="AE354" i="2"/>
  <c r="AA354" i="2" s="1"/>
  <c r="AE338" i="2"/>
  <c r="AA338" i="2" s="1"/>
  <c r="AE322" i="2"/>
  <c r="AA322" i="2" s="1"/>
  <c r="AE672" i="2"/>
  <c r="AA672" i="2" s="1"/>
  <c r="AE304" i="2"/>
  <c r="AA304" i="2" s="1"/>
  <c r="AE859" i="2"/>
  <c r="AE843" i="2"/>
  <c r="AE827" i="2"/>
  <c r="AE811" i="2"/>
  <c r="AE795" i="2"/>
  <c r="AE779" i="2"/>
  <c r="AE763" i="2"/>
  <c r="AE747" i="2"/>
  <c r="AA747" i="2" s="1"/>
  <c r="AE731" i="2"/>
  <c r="AE715" i="2"/>
  <c r="AE291" i="2"/>
  <c r="AA291" i="2" s="1"/>
  <c r="AE692" i="2"/>
  <c r="AA692" i="2" s="1"/>
  <c r="AE592" i="2"/>
  <c r="AA592" i="2" s="1"/>
  <c r="AE576" i="2"/>
  <c r="AA576" i="2" s="1"/>
  <c r="AE560" i="2"/>
  <c r="AA560" i="2" s="1"/>
  <c r="AE544" i="2"/>
  <c r="AA544" i="2" s="1"/>
  <c r="AE528" i="2"/>
  <c r="AA528" i="2" s="1"/>
  <c r="AE513" i="2"/>
  <c r="AA513" i="2" s="1"/>
  <c r="AE496" i="2"/>
  <c r="AA496" i="2" s="1"/>
  <c r="AE480" i="2"/>
  <c r="AA480" i="2" s="1"/>
  <c r="AE464" i="2"/>
  <c r="AA464" i="2" s="1"/>
  <c r="AE448" i="2"/>
  <c r="AA448" i="2" s="1"/>
  <c r="AE432" i="2"/>
  <c r="AA432" i="2" s="1"/>
  <c r="AE416" i="2"/>
  <c r="AA416" i="2" s="1"/>
  <c r="AE648" i="2"/>
  <c r="AA648" i="2" s="1"/>
  <c r="AE632" i="2"/>
  <c r="AA632" i="2" s="1"/>
  <c r="AE616" i="2"/>
  <c r="AA616" i="2" s="1"/>
  <c r="AE401" i="2"/>
  <c r="AA401" i="2" s="1"/>
  <c r="AE385" i="2"/>
  <c r="AA385" i="2" s="1"/>
  <c r="AE369" i="2"/>
  <c r="AA369" i="2" s="1"/>
  <c r="AE665" i="2"/>
  <c r="AA665" i="2" s="1"/>
  <c r="AE353" i="2"/>
  <c r="AA353" i="2" s="1"/>
  <c r="AE337" i="2"/>
  <c r="AA337" i="2" s="1"/>
  <c r="AE321" i="2"/>
  <c r="AA321" i="2" s="1"/>
  <c r="AE671" i="2"/>
  <c r="AA671" i="2" s="1"/>
  <c r="AE303" i="2"/>
  <c r="AA303" i="2" s="1"/>
  <c r="AE858" i="2"/>
  <c r="AE842" i="2"/>
  <c r="AE826" i="2"/>
  <c r="AE810" i="2"/>
  <c r="AE794" i="2"/>
  <c r="AE778" i="2"/>
  <c r="AE762" i="2"/>
  <c r="AE746" i="2"/>
  <c r="AE730" i="2"/>
  <c r="AE714" i="2"/>
  <c r="AE290" i="2"/>
  <c r="AA290" i="2" s="1"/>
  <c r="AE691" i="2"/>
  <c r="AA691" i="2" s="1"/>
  <c r="AE701" i="2"/>
  <c r="AE591" i="2"/>
  <c r="AA591" i="2" s="1"/>
  <c r="AE575" i="2"/>
  <c r="AA575" i="2" s="1"/>
  <c r="AE559" i="2"/>
  <c r="AA559" i="2" s="1"/>
  <c r="AE543" i="2"/>
  <c r="AA543" i="2" s="1"/>
  <c r="AE527" i="2"/>
  <c r="AA527" i="2" s="1"/>
  <c r="AE511" i="2"/>
  <c r="AA511" i="2" s="1"/>
  <c r="AE495" i="2"/>
  <c r="AA495" i="2" s="1"/>
  <c r="AE479" i="2"/>
  <c r="AA479" i="2" s="1"/>
  <c r="AE463" i="2"/>
  <c r="AA463" i="2" s="1"/>
  <c r="AE447" i="2"/>
  <c r="AA447" i="2" s="1"/>
  <c r="AE431" i="2"/>
  <c r="AA431" i="2" s="1"/>
  <c r="AE415" i="2"/>
  <c r="AA415" i="2" s="1"/>
  <c r="AE647" i="2"/>
  <c r="AA647" i="2" s="1"/>
  <c r="AE631" i="2"/>
  <c r="AA631" i="2" s="1"/>
  <c r="AE615" i="2"/>
  <c r="AA615" i="2" s="1"/>
  <c r="AE400" i="2"/>
  <c r="AA400" i="2" s="1"/>
  <c r="AE384" i="2"/>
  <c r="AA384" i="2" s="1"/>
  <c r="AE368" i="2"/>
  <c r="AA368" i="2" s="1"/>
  <c r="AE664" i="2"/>
  <c r="AA664" i="2" s="1"/>
  <c r="AE352" i="2"/>
  <c r="AA352" i="2" s="1"/>
  <c r="AE336" i="2"/>
  <c r="AA336" i="2" s="1"/>
  <c r="AE320" i="2"/>
  <c r="AA320" i="2" s="1"/>
  <c r="AE590" i="2"/>
  <c r="AA590" i="2" s="1"/>
  <c r="AE574" i="2"/>
  <c r="AA574" i="2" s="1"/>
  <c r="AE558" i="2"/>
  <c r="AA558" i="2" s="1"/>
  <c r="AE542" i="2"/>
  <c r="AA542" i="2" s="1"/>
  <c r="AE526" i="2"/>
  <c r="AA526" i="2" s="1"/>
  <c r="AE510" i="2"/>
  <c r="AA510" i="2" s="1"/>
  <c r="AE494" i="2"/>
  <c r="AA494" i="2" s="1"/>
  <c r="AE478" i="2"/>
  <c r="AA478" i="2" s="1"/>
  <c r="AE462" i="2"/>
  <c r="AA462" i="2" s="1"/>
  <c r="AE446" i="2"/>
  <c r="AA446" i="2" s="1"/>
  <c r="AE430" i="2"/>
  <c r="AA430" i="2" s="1"/>
  <c r="AE414" i="2"/>
  <c r="AA414" i="2" s="1"/>
  <c r="AE646" i="2"/>
  <c r="AA646" i="2" s="1"/>
  <c r="AE630" i="2"/>
  <c r="AA630" i="2" s="1"/>
  <c r="AE614" i="2"/>
  <c r="AA614" i="2" s="1"/>
  <c r="AE399" i="2"/>
  <c r="AA399" i="2" s="1"/>
  <c r="AE383" i="2"/>
  <c r="AA383" i="2" s="1"/>
  <c r="AE367" i="2"/>
  <c r="AA367" i="2" s="1"/>
  <c r="AE663" i="2"/>
  <c r="AA663" i="2" s="1"/>
  <c r="AE351" i="2"/>
  <c r="AA351" i="2" s="1"/>
  <c r="AE335" i="2"/>
  <c r="AA335" i="2" s="1"/>
  <c r="AE319" i="2"/>
  <c r="AA319" i="2" s="1"/>
  <c r="AE669" i="2"/>
  <c r="AA669" i="2" s="1"/>
  <c r="AE872" i="2"/>
  <c r="AE856" i="2"/>
  <c r="AE840" i="2"/>
  <c r="AE824" i="2"/>
  <c r="AE808" i="2"/>
  <c r="AE792" i="2"/>
  <c r="AA792" i="2" s="1"/>
  <c r="AE776" i="2"/>
  <c r="AE760" i="2"/>
  <c r="AE744" i="2"/>
  <c r="AE728" i="2"/>
  <c r="AE712" i="2"/>
  <c r="AE288" i="2"/>
  <c r="AA288" i="2" s="1"/>
  <c r="AE589" i="2"/>
  <c r="AA589" i="2" s="1"/>
  <c r="AE573" i="2"/>
  <c r="AA573" i="2" s="1"/>
  <c r="AE557" i="2"/>
  <c r="AA557" i="2" s="1"/>
  <c r="AE540" i="2"/>
  <c r="AA540" i="2" s="1"/>
  <c r="AE525" i="2"/>
  <c r="AA525" i="2" s="1"/>
  <c r="AE509" i="2"/>
  <c r="AA509" i="2" s="1"/>
  <c r="AE493" i="2"/>
  <c r="AA493" i="2" s="1"/>
  <c r="AE477" i="2"/>
  <c r="AA477" i="2" s="1"/>
  <c r="AE461" i="2"/>
  <c r="AA461" i="2" s="1"/>
  <c r="AE445" i="2"/>
  <c r="AA445" i="2" s="1"/>
  <c r="AE429" i="2"/>
  <c r="AA429" i="2" s="1"/>
  <c r="AE413" i="2"/>
  <c r="AA413" i="2" s="1"/>
  <c r="AE645" i="2"/>
  <c r="AA645" i="2" s="1"/>
  <c r="AE629" i="2"/>
  <c r="AA629" i="2" s="1"/>
  <c r="AE613" i="2"/>
  <c r="AA613" i="2" s="1"/>
  <c r="AE398" i="2"/>
  <c r="AA398" i="2" s="1"/>
  <c r="AE382" i="2"/>
  <c r="AA382" i="2" s="1"/>
  <c r="AE366" i="2"/>
  <c r="AA366" i="2" s="1"/>
  <c r="AE662" i="2"/>
  <c r="AA662" i="2" s="1"/>
  <c r="AE350" i="2"/>
  <c r="AA350" i="2" s="1"/>
  <c r="AE334" i="2"/>
  <c r="AA334" i="2" s="1"/>
  <c r="AE318" i="2"/>
  <c r="AA318" i="2" s="1"/>
  <c r="AE588" i="2"/>
  <c r="AA588" i="2" s="1"/>
  <c r="AE572" i="2"/>
  <c r="AA572" i="2" s="1"/>
  <c r="AE556" i="2"/>
  <c r="AA556" i="2" s="1"/>
  <c r="AE541" i="2"/>
  <c r="AA541" i="2" s="1"/>
  <c r="AE524" i="2"/>
  <c r="AA524" i="2" s="1"/>
  <c r="AE508" i="2"/>
  <c r="AA508" i="2" s="1"/>
  <c r="AE492" i="2"/>
  <c r="AA492" i="2" s="1"/>
  <c r="AE476" i="2"/>
  <c r="AA476" i="2" s="1"/>
  <c r="AE460" i="2"/>
  <c r="AA460" i="2" s="1"/>
  <c r="AE444" i="2"/>
  <c r="AA444" i="2" s="1"/>
  <c r="AE428" i="2"/>
  <c r="AA428" i="2" s="1"/>
  <c r="AE412" i="2"/>
  <c r="AA412" i="2" s="1"/>
  <c r="AE644" i="2"/>
  <c r="AA644" i="2" s="1"/>
  <c r="AE628" i="2"/>
  <c r="AA628" i="2" s="1"/>
  <c r="AE612" i="2"/>
  <c r="AA612" i="2" s="1"/>
  <c r="AE397" i="2"/>
  <c r="AA397" i="2" s="1"/>
  <c r="AE381" i="2"/>
  <c r="AA381" i="2" s="1"/>
  <c r="AE365" i="2"/>
  <c r="AA365" i="2" s="1"/>
  <c r="AE661" i="2"/>
  <c r="AA661" i="2" s="1"/>
  <c r="AE349" i="2"/>
  <c r="AA349" i="2" s="1"/>
  <c r="AE333" i="2"/>
  <c r="AA333" i="2" s="1"/>
  <c r="AE317" i="2"/>
  <c r="AA317" i="2" s="1"/>
  <c r="AE683" i="2"/>
  <c r="AA683" i="2" s="1"/>
  <c r="AE667" i="2"/>
  <c r="AA667" i="2" s="1"/>
  <c r="AE870" i="2"/>
  <c r="AE854" i="2"/>
  <c r="AE838" i="2"/>
  <c r="AE822" i="2"/>
  <c r="AE806" i="2"/>
  <c r="AE790" i="2"/>
  <c r="AE774" i="2"/>
  <c r="AE758" i="2"/>
  <c r="AE742" i="2"/>
  <c r="AE726" i="2"/>
  <c r="AE302" i="2"/>
  <c r="AA302" i="2" s="1"/>
  <c r="AE286" i="2"/>
  <c r="AA286" i="2" s="1"/>
  <c r="AE687" i="2"/>
  <c r="AA687" i="2" s="1"/>
  <c r="AE587" i="2"/>
  <c r="AA587" i="2" s="1"/>
  <c r="AE571" i="2"/>
  <c r="AA571" i="2" s="1"/>
  <c r="AE555" i="2"/>
  <c r="AA555" i="2" s="1"/>
  <c r="AE539" i="2"/>
  <c r="AA539" i="2" s="1"/>
  <c r="AE523" i="2"/>
  <c r="AA523" i="2" s="1"/>
  <c r="AE507" i="2"/>
  <c r="AA507" i="2" s="1"/>
  <c r="AE491" i="2"/>
  <c r="AA491" i="2" s="1"/>
  <c r="AE475" i="2"/>
  <c r="AA475" i="2" s="1"/>
  <c r="AE459" i="2"/>
  <c r="AA459" i="2" s="1"/>
  <c r="AE443" i="2"/>
  <c r="AA443" i="2" s="1"/>
  <c r="AE427" i="2"/>
  <c r="AA427" i="2" s="1"/>
  <c r="AE411" i="2"/>
  <c r="AA411" i="2" s="1"/>
  <c r="AE643" i="2"/>
  <c r="AA643" i="2" s="1"/>
  <c r="AE627" i="2"/>
  <c r="AA627" i="2" s="1"/>
  <c r="AE611" i="2"/>
  <c r="AA611" i="2" s="1"/>
  <c r="AE396" i="2"/>
  <c r="AA396" i="2" s="1"/>
  <c r="AE380" i="2"/>
  <c r="AA380" i="2" s="1"/>
  <c r="AE364" i="2"/>
  <c r="AA364" i="2" s="1"/>
  <c r="AE660" i="2"/>
  <c r="AA660" i="2" s="1"/>
  <c r="AE348" i="2"/>
  <c r="AA348" i="2" s="1"/>
  <c r="AE332" i="2"/>
  <c r="AA332" i="2" s="1"/>
  <c r="AE316" i="2"/>
  <c r="AA316" i="2" s="1"/>
  <c r="AE682" i="2"/>
  <c r="AA682" i="2" s="1"/>
  <c r="AE314" i="2"/>
  <c r="AA314" i="2" s="1"/>
  <c r="AE869" i="2"/>
  <c r="AE853" i="2"/>
  <c r="AE837" i="2"/>
  <c r="AA837" i="2" s="1"/>
  <c r="AE821" i="2"/>
  <c r="AE805" i="2"/>
  <c r="AE789" i="2"/>
  <c r="AE773" i="2"/>
  <c r="AE757" i="2"/>
  <c r="AE740" i="2"/>
  <c r="AE725" i="2"/>
  <c r="AE586" i="2"/>
  <c r="AA586" i="2" s="1"/>
  <c r="AE570" i="2"/>
  <c r="AA570" i="2" s="1"/>
  <c r="AE554" i="2"/>
  <c r="AA554" i="2" s="1"/>
  <c r="AE538" i="2"/>
  <c r="AA538" i="2" s="1"/>
  <c r="AE522" i="2"/>
  <c r="AA522" i="2" s="1"/>
  <c r="AE506" i="2"/>
  <c r="AA506" i="2" s="1"/>
  <c r="AE490" i="2"/>
  <c r="AA490" i="2" s="1"/>
  <c r="AE474" i="2"/>
  <c r="AA474" i="2" s="1"/>
  <c r="AE458" i="2"/>
  <c r="AA458" i="2" s="1"/>
  <c r="AE442" i="2"/>
  <c r="AA442" i="2" s="1"/>
  <c r="AE426" i="2"/>
  <c r="AA426" i="2" s="1"/>
  <c r="AE410" i="2"/>
  <c r="AA410" i="2" s="1"/>
  <c r="AE642" i="2"/>
  <c r="AA642" i="2" s="1"/>
  <c r="AE626" i="2"/>
  <c r="AA626" i="2" s="1"/>
  <c r="AE610" i="2"/>
  <c r="AA610" i="2" s="1"/>
  <c r="AE395" i="2"/>
  <c r="AA395" i="2" s="1"/>
  <c r="AE379" i="2"/>
  <c r="AA379" i="2" s="1"/>
  <c r="AE363" i="2"/>
  <c r="AA363" i="2" s="1"/>
  <c r="AE659" i="2"/>
  <c r="AA659" i="2" s="1"/>
  <c r="AE347" i="2"/>
  <c r="AA347" i="2" s="1"/>
  <c r="AE331" i="2"/>
  <c r="AA331" i="2" s="1"/>
  <c r="AE315" i="2"/>
  <c r="AA315" i="2" s="1"/>
  <c r="AE681" i="2"/>
  <c r="AA681" i="2" s="1"/>
  <c r="AE313" i="2"/>
  <c r="AA313" i="2" s="1"/>
  <c r="AE868" i="2"/>
  <c r="AE852" i="2"/>
  <c r="AE836" i="2"/>
  <c r="AB836" i="2" s="1"/>
  <c r="AE820" i="2"/>
  <c r="AE804" i="2"/>
  <c r="AE788" i="2"/>
  <c r="AE772" i="2"/>
  <c r="AE756" i="2"/>
  <c r="AE10" i="2"/>
  <c r="AA10" i="2" s="1"/>
  <c r="AE881" i="2"/>
  <c r="AE20" i="2"/>
  <c r="AA20" i="2" s="1"/>
  <c r="AE36" i="2"/>
  <c r="AA36" i="2" s="1"/>
  <c r="AE52" i="2"/>
  <c r="AA52" i="2" s="1"/>
  <c r="AE68" i="2"/>
  <c r="AA68" i="2" s="1"/>
  <c r="AE84" i="2"/>
  <c r="AA84" i="2" s="1"/>
  <c r="AE100" i="2"/>
  <c r="AA100" i="2" s="1"/>
  <c r="AE116" i="2"/>
  <c r="AA116" i="2" s="1"/>
  <c r="AE132" i="2"/>
  <c r="AA132" i="2" s="1"/>
  <c r="AE148" i="2"/>
  <c r="AA148" i="2" s="1"/>
  <c r="AE164" i="2"/>
  <c r="AA164" i="2" s="1"/>
  <c r="AE180" i="2"/>
  <c r="AA180" i="2" s="1"/>
  <c r="AE196" i="2"/>
  <c r="AA196" i="2" s="1"/>
  <c r="AE212" i="2"/>
  <c r="AA212" i="2" s="1"/>
  <c r="AE228" i="2"/>
  <c r="AA228" i="2" s="1"/>
  <c r="AE244" i="2"/>
  <c r="AA244" i="2" s="1"/>
  <c r="AE260" i="2"/>
  <c r="AA260" i="2" s="1"/>
  <c r="AE276" i="2"/>
  <c r="AA276" i="2" s="1"/>
  <c r="AE686" i="2"/>
  <c r="AA686" i="2" s="1"/>
  <c r="AE294" i="2"/>
  <c r="AA294" i="2" s="1"/>
  <c r="AE723" i="2"/>
  <c r="AE751" i="2"/>
  <c r="AE781" i="2"/>
  <c r="AE807" i="2"/>
  <c r="AE855" i="2"/>
  <c r="AE880" i="2"/>
  <c r="AE21" i="2"/>
  <c r="AA21" i="2" s="1"/>
  <c r="AE37" i="2"/>
  <c r="AA37" i="2" s="1"/>
  <c r="AE53" i="2"/>
  <c r="AA53" i="2" s="1"/>
  <c r="AE69" i="2"/>
  <c r="AA69" i="2" s="1"/>
  <c r="AE85" i="2"/>
  <c r="AA85" i="2" s="1"/>
  <c r="AE101" i="2"/>
  <c r="AA101" i="2" s="1"/>
  <c r="AE117" i="2"/>
  <c r="AA117" i="2" s="1"/>
  <c r="AE133" i="2"/>
  <c r="AA133" i="2" s="1"/>
  <c r="AE149" i="2"/>
  <c r="AA149" i="2" s="1"/>
  <c r="AE165" i="2"/>
  <c r="AA165" i="2" s="1"/>
  <c r="AE181" i="2"/>
  <c r="AA181" i="2" s="1"/>
  <c r="AE197" i="2"/>
  <c r="AA197" i="2" s="1"/>
  <c r="AE213" i="2"/>
  <c r="AA213" i="2" s="1"/>
  <c r="AE229" i="2"/>
  <c r="AA229" i="2" s="1"/>
  <c r="AE245" i="2"/>
  <c r="AA245" i="2" s="1"/>
  <c r="AE261" i="2"/>
  <c r="AA261" i="2" s="1"/>
  <c r="AE277" i="2"/>
  <c r="AA277" i="2" s="1"/>
  <c r="AE688" i="2"/>
  <c r="AA688" i="2" s="1"/>
  <c r="AE295" i="2"/>
  <c r="AA295" i="2" s="1"/>
  <c r="AE724" i="2"/>
  <c r="AE752" i="2"/>
  <c r="AA752" i="2" s="1"/>
  <c r="AE782" i="2"/>
  <c r="AE809" i="2"/>
  <c r="AE857" i="2"/>
  <c r="AE5" i="2"/>
  <c r="AA5" i="2" s="1"/>
  <c r="AE879" i="2"/>
  <c r="AE22" i="2"/>
  <c r="AA22" i="2" s="1"/>
  <c r="AE38" i="2"/>
  <c r="AA38" i="2" s="1"/>
  <c r="AE54" i="2"/>
  <c r="AA54" i="2" s="1"/>
  <c r="AE70" i="2"/>
  <c r="AA70" i="2" s="1"/>
  <c r="AE86" i="2"/>
  <c r="AA86" i="2" s="1"/>
  <c r="AE102" i="2"/>
  <c r="AA102" i="2" s="1"/>
  <c r="AE118" i="2"/>
  <c r="AA118" i="2" s="1"/>
  <c r="AE134" i="2"/>
  <c r="AA134" i="2" s="1"/>
  <c r="AE150" i="2"/>
  <c r="AA150" i="2" s="1"/>
  <c r="AE166" i="2"/>
  <c r="AA166" i="2" s="1"/>
  <c r="AE182" i="2"/>
  <c r="AA182" i="2" s="1"/>
  <c r="AE198" i="2"/>
  <c r="AA198" i="2" s="1"/>
  <c r="AE214" i="2"/>
  <c r="AA214" i="2" s="1"/>
  <c r="AE230" i="2"/>
  <c r="AA230" i="2" s="1"/>
  <c r="AE246" i="2"/>
  <c r="AA246" i="2" s="1"/>
  <c r="AE262" i="2"/>
  <c r="AA262" i="2" s="1"/>
  <c r="AE278" i="2"/>
  <c r="AA278" i="2" s="1"/>
  <c r="AE689" i="2"/>
  <c r="AA689" i="2" s="1"/>
  <c r="AE296" i="2"/>
  <c r="AA296" i="2" s="1"/>
  <c r="AE727" i="2"/>
  <c r="AE753" i="2"/>
  <c r="AE783" i="2"/>
  <c r="AE813" i="2"/>
  <c r="AE861" i="2"/>
  <c r="AE878" i="2"/>
  <c r="AE23" i="2"/>
  <c r="AA23" i="2" s="1"/>
  <c r="AE39" i="2"/>
  <c r="AA39" i="2" s="1"/>
  <c r="AE55" i="2"/>
  <c r="AA55" i="2" s="1"/>
  <c r="AE71" i="2"/>
  <c r="AA71" i="2" s="1"/>
  <c r="AE87" i="2"/>
  <c r="AA87" i="2" s="1"/>
  <c r="AE103" i="2"/>
  <c r="AA103" i="2" s="1"/>
  <c r="AE119" i="2"/>
  <c r="AA119" i="2" s="1"/>
  <c r="AE135" i="2"/>
  <c r="AA135" i="2" s="1"/>
  <c r="AE151" i="2"/>
  <c r="AA151" i="2" s="1"/>
  <c r="AE167" i="2"/>
  <c r="AA167" i="2" s="1"/>
  <c r="AE183" i="2"/>
  <c r="AA183" i="2" s="1"/>
  <c r="AE199" i="2"/>
  <c r="AA199" i="2" s="1"/>
  <c r="AE215" i="2"/>
  <c r="AA215" i="2" s="1"/>
  <c r="AE231" i="2"/>
  <c r="AA231" i="2" s="1"/>
  <c r="AE247" i="2"/>
  <c r="AA247" i="2" s="1"/>
  <c r="AE263" i="2"/>
  <c r="AA263" i="2" s="1"/>
  <c r="AE279" i="2"/>
  <c r="AA279" i="2" s="1"/>
  <c r="AE690" i="2"/>
  <c r="AA690" i="2" s="1"/>
  <c r="AE297" i="2"/>
  <c r="AA297" i="2" s="1"/>
  <c r="AE729" i="2"/>
  <c r="AE754" i="2"/>
  <c r="AA754" i="2" s="1"/>
  <c r="AE784" i="2"/>
  <c r="AE814" i="2"/>
  <c r="AE865" i="2"/>
  <c r="AE877" i="2"/>
  <c r="AE24" i="2"/>
  <c r="AA24" i="2" s="1"/>
  <c r="AE40" i="2"/>
  <c r="AA40" i="2" s="1"/>
  <c r="AE56" i="2"/>
  <c r="AA56" i="2" s="1"/>
  <c r="AE72" i="2"/>
  <c r="AA72" i="2" s="1"/>
  <c r="AE88" i="2"/>
  <c r="AA88" i="2" s="1"/>
  <c r="AE104" i="2"/>
  <c r="AA104" i="2" s="1"/>
  <c r="AE120" i="2"/>
  <c r="AA120" i="2" s="1"/>
  <c r="AE136" i="2"/>
  <c r="AA136" i="2" s="1"/>
  <c r="AE152" i="2"/>
  <c r="AA152" i="2" s="1"/>
  <c r="AE168" i="2"/>
  <c r="AA168" i="2" s="1"/>
  <c r="AE184" i="2"/>
  <c r="AA184" i="2" s="1"/>
  <c r="AE200" i="2"/>
  <c r="AA200" i="2" s="1"/>
  <c r="AE216" i="2"/>
  <c r="AA216" i="2" s="1"/>
  <c r="AE232" i="2"/>
  <c r="AA232" i="2" s="1"/>
  <c r="AE248" i="2"/>
  <c r="AA248" i="2" s="1"/>
  <c r="AE264" i="2"/>
  <c r="AA264" i="2" s="1"/>
  <c r="AE280" i="2"/>
  <c r="AA280" i="2" s="1"/>
  <c r="AE694" i="2"/>
  <c r="AA694" i="2" s="1"/>
  <c r="AE298" i="2"/>
  <c r="AA298" i="2" s="1"/>
  <c r="AE733" i="2"/>
  <c r="AE755" i="2"/>
  <c r="AE785" i="2"/>
  <c r="AE815" i="2"/>
  <c r="AB815" i="2" s="1"/>
  <c r="AE871" i="2"/>
  <c r="AE884" i="2"/>
  <c r="AE684" i="2"/>
  <c r="AA684" i="2" s="1"/>
  <c r="AE25" i="2"/>
  <c r="AA25" i="2" s="1"/>
  <c r="AE41" i="2"/>
  <c r="AA41" i="2" s="1"/>
  <c r="AE57" i="2"/>
  <c r="AA57" i="2" s="1"/>
  <c r="AE73" i="2"/>
  <c r="AA73" i="2" s="1"/>
  <c r="AE89" i="2"/>
  <c r="AA89" i="2" s="1"/>
  <c r="AE105" i="2"/>
  <c r="AA105" i="2" s="1"/>
  <c r="AE121" i="2"/>
  <c r="AA121" i="2" s="1"/>
  <c r="AE137" i="2"/>
  <c r="AA137" i="2" s="1"/>
  <c r="AE153" i="2"/>
  <c r="AA153" i="2" s="1"/>
  <c r="AE169" i="2"/>
  <c r="AA169" i="2" s="1"/>
  <c r="AE185" i="2"/>
  <c r="AA185" i="2" s="1"/>
  <c r="AE201" i="2"/>
  <c r="AA201" i="2" s="1"/>
  <c r="AE217" i="2"/>
  <c r="AA217" i="2" s="1"/>
  <c r="AE233" i="2"/>
  <c r="AA233" i="2" s="1"/>
  <c r="AE249" i="2"/>
  <c r="AA249" i="2" s="1"/>
  <c r="AE265" i="2"/>
  <c r="AA265" i="2" s="1"/>
  <c r="AE699" i="2"/>
  <c r="AA699" i="2" s="1"/>
  <c r="AE695" i="2"/>
  <c r="AA695" i="2" s="1"/>
  <c r="AE299" i="2"/>
  <c r="AA299" i="2" s="1"/>
  <c r="AE734" i="2"/>
  <c r="AE759" i="2"/>
  <c r="AE786" i="2"/>
  <c r="AE817" i="2"/>
  <c r="AE873" i="2"/>
  <c r="AE885" i="2"/>
  <c r="AB885" i="2" s="1"/>
  <c r="AE874" i="2"/>
  <c r="AE26" i="2"/>
  <c r="AA26" i="2" s="1"/>
  <c r="AE42" i="2"/>
  <c r="AA42" i="2" s="1"/>
  <c r="AE58" i="2"/>
  <c r="AA58" i="2" s="1"/>
  <c r="AE74" i="2"/>
  <c r="AA74" i="2" s="1"/>
  <c r="AE90" i="2"/>
  <c r="AA90" i="2" s="1"/>
  <c r="AE106" i="2"/>
  <c r="AA106" i="2" s="1"/>
  <c r="AE122" i="2"/>
  <c r="AA122" i="2" s="1"/>
  <c r="AE138" i="2"/>
  <c r="AA138" i="2" s="1"/>
  <c r="AE154" i="2"/>
  <c r="AA154" i="2" s="1"/>
  <c r="AE170" i="2"/>
  <c r="AA170" i="2" s="1"/>
  <c r="AE186" i="2"/>
  <c r="AA186" i="2" s="1"/>
  <c r="AE202" i="2"/>
  <c r="AA202" i="2" s="1"/>
  <c r="AE218" i="2"/>
  <c r="AA218" i="2" s="1"/>
  <c r="AE234" i="2"/>
  <c r="AA234" i="2" s="1"/>
  <c r="AE250" i="2"/>
  <c r="AA250" i="2" s="1"/>
  <c r="AE266" i="2"/>
  <c r="AA266" i="2" s="1"/>
  <c r="AE702" i="2"/>
  <c r="AE696" i="2"/>
  <c r="AA696" i="2" s="1"/>
  <c r="AE300" i="2"/>
  <c r="AA300" i="2" s="1"/>
  <c r="AE735" i="2"/>
  <c r="AE761" i="2"/>
  <c r="AE787" i="2"/>
  <c r="AE818" i="2"/>
  <c r="AE306" i="2"/>
  <c r="AA306" i="2" s="1"/>
  <c r="AE886" i="2"/>
  <c r="AE875" i="2"/>
  <c r="AE27" i="2"/>
  <c r="AA27" i="2" s="1"/>
  <c r="AE43" i="2"/>
  <c r="AA43" i="2" s="1"/>
  <c r="AE59" i="2"/>
  <c r="AA59" i="2" s="1"/>
  <c r="AE75" i="2"/>
  <c r="AA75" i="2" s="1"/>
  <c r="AE91" i="2"/>
  <c r="AA91" i="2" s="1"/>
  <c r="AE107" i="2"/>
  <c r="AA107" i="2" s="1"/>
  <c r="AE123" i="2"/>
  <c r="AA123" i="2" s="1"/>
  <c r="AE139" i="2"/>
  <c r="AA139" i="2" s="1"/>
  <c r="AE155" i="2"/>
  <c r="AA155" i="2" s="1"/>
  <c r="AE171" i="2"/>
  <c r="AA171" i="2" s="1"/>
  <c r="AE187" i="2"/>
  <c r="AA187" i="2" s="1"/>
  <c r="AE203" i="2"/>
  <c r="AA203" i="2" s="1"/>
  <c r="AE219" i="2"/>
  <c r="AA219" i="2" s="1"/>
  <c r="AE235" i="2"/>
  <c r="AA235" i="2" s="1"/>
  <c r="AE251" i="2"/>
  <c r="AA251" i="2" s="1"/>
  <c r="AE267" i="2"/>
  <c r="AA267" i="2" s="1"/>
  <c r="AE703" i="2"/>
  <c r="AE697" i="2"/>
  <c r="AA697" i="2" s="1"/>
  <c r="AE301" i="2"/>
  <c r="AA301" i="2" s="1"/>
  <c r="AE736" i="2"/>
  <c r="AE765" i="2"/>
  <c r="AE791" i="2"/>
  <c r="AE823" i="2"/>
  <c r="AB823" i="2" s="1"/>
  <c r="AE310" i="2"/>
  <c r="AA310" i="2" s="1"/>
  <c r="AE876" i="2"/>
  <c r="AE28" i="2"/>
  <c r="AA28" i="2" s="1"/>
  <c r="AE44" i="2"/>
  <c r="AA44" i="2" s="1"/>
  <c r="AE60" i="2"/>
  <c r="AA60" i="2" s="1"/>
  <c r="AE76" i="2"/>
  <c r="AA76" i="2" s="1"/>
  <c r="AE92" i="2"/>
  <c r="AA92" i="2" s="1"/>
  <c r="AE108" i="2"/>
  <c r="AA108" i="2" s="1"/>
  <c r="AE124" i="2"/>
  <c r="AA124" i="2" s="1"/>
  <c r="AE140" i="2"/>
  <c r="AA140" i="2" s="1"/>
  <c r="AE156" i="2"/>
  <c r="AA156" i="2" s="1"/>
  <c r="AE172" i="2"/>
  <c r="AA172" i="2" s="1"/>
  <c r="AE188" i="2"/>
  <c r="AA188" i="2" s="1"/>
  <c r="AE204" i="2"/>
  <c r="AA204" i="2" s="1"/>
  <c r="AE220" i="2"/>
  <c r="AA220" i="2" s="1"/>
  <c r="AE236" i="2"/>
  <c r="AA236" i="2" s="1"/>
  <c r="AE252" i="2"/>
  <c r="AA252" i="2" s="1"/>
  <c r="AE268" i="2"/>
  <c r="AA268" i="2" s="1"/>
  <c r="AE704" i="2"/>
  <c r="AE281" i="2"/>
  <c r="AA281" i="2" s="1"/>
  <c r="AE711" i="2"/>
  <c r="AE737" i="2"/>
  <c r="AE766" i="2"/>
  <c r="AE793" i="2"/>
  <c r="AE825" i="2"/>
  <c r="AE668" i="2"/>
  <c r="AA668" i="2" s="1"/>
  <c r="AE883" i="2"/>
  <c r="AE13" i="2"/>
  <c r="AA13" i="2" s="1"/>
  <c r="AE29" i="2"/>
  <c r="AA29" i="2" s="1"/>
  <c r="AE45" i="2"/>
  <c r="AA45" i="2" s="1"/>
  <c r="AE61" i="2"/>
  <c r="AA61" i="2" s="1"/>
  <c r="AE77" i="2"/>
  <c r="AA77" i="2" s="1"/>
  <c r="AE93" i="2"/>
  <c r="AA93" i="2" s="1"/>
  <c r="AE109" i="2"/>
  <c r="AA109" i="2" s="1"/>
  <c r="AE125" i="2"/>
  <c r="AA125" i="2" s="1"/>
  <c r="AE141" i="2"/>
  <c r="AA141" i="2" s="1"/>
  <c r="AE157" i="2"/>
  <c r="AA157" i="2" s="1"/>
  <c r="AE173" i="2"/>
  <c r="AA173" i="2" s="1"/>
  <c r="AE189" i="2"/>
  <c r="AA189" i="2" s="1"/>
  <c r="AE205" i="2"/>
  <c r="AA205" i="2" s="1"/>
  <c r="AE221" i="2"/>
  <c r="AA221" i="2" s="1"/>
  <c r="AE237" i="2"/>
  <c r="AA237" i="2" s="1"/>
  <c r="AE253" i="2"/>
  <c r="AA253" i="2" s="1"/>
  <c r="AE269" i="2"/>
  <c r="AA269" i="2" s="1"/>
  <c r="AE705" i="2"/>
  <c r="AE282" i="2"/>
  <c r="AA282" i="2" s="1"/>
  <c r="AE713" i="2"/>
  <c r="AE738" i="2"/>
  <c r="AE767" i="2"/>
  <c r="AE797" i="2"/>
  <c r="AE829" i="2"/>
  <c r="AE670" i="2"/>
  <c r="AA670" i="2" s="1"/>
  <c r="AE14" i="2"/>
  <c r="AA14" i="2" s="1"/>
  <c r="AE30" i="2"/>
  <c r="AA30" i="2" s="1"/>
  <c r="AE46" i="2"/>
  <c r="AA46" i="2" s="1"/>
  <c r="AE62" i="2"/>
  <c r="AA62" i="2" s="1"/>
  <c r="AE78" i="2"/>
  <c r="AA78" i="2" s="1"/>
  <c r="AE94" i="2"/>
  <c r="AA94" i="2" s="1"/>
  <c r="AE110" i="2"/>
  <c r="AA110" i="2" s="1"/>
  <c r="AE126" i="2"/>
  <c r="AA126" i="2" s="1"/>
  <c r="AE142" i="2"/>
  <c r="AA142" i="2" s="1"/>
  <c r="AE158" i="2"/>
  <c r="AA158" i="2" s="1"/>
  <c r="AE174" i="2"/>
  <c r="AA174" i="2" s="1"/>
  <c r="AE190" i="2"/>
  <c r="AA190" i="2" s="1"/>
  <c r="AE206" i="2"/>
  <c r="AA206" i="2" s="1"/>
  <c r="AE222" i="2"/>
  <c r="AA222" i="2" s="1"/>
  <c r="AE238" i="2"/>
  <c r="AA238" i="2" s="1"/>
  <c r="AE254" i="2"/>
  <c r="AA254" i="2" s="1"/>
  <c r="AE270" i="2"/>
  <c r="AA270" i="2" s="1"/>
  <c r="AE706" i="2"/>
  <c r="AE283" i="2"/>
  <c r="AA283" i="2" s="1"/>
  <c r="AE717" i="2"/>
  <c r="AE739" i="2"/>
  <c r="AE768" i="2"/>
  <c r="AE798" i="2"/>
  <c r="AE831" i="2"/>
  <c r="AE674" i="2"/>
  <c r="AA674" i="2" s="1"/>
  <c r="AC852" i="2"/>
  <c r="AB849" i="2"/>
  <c r="AE4" i="2"/>
  <c r="AA4" i="2" s="1"/>
  <c r="AE6" i="2"/>
  <c r="AA6" i="2" s="1"/>
  <c r="AB888" i="2" l="1"/>
  <c r="AC888" i="2"/>
  <c r="AC896" i="2"/>
  <c r="AB896" i="2"/>
  <c r="AA896" i="2"/>
  <c r="AC892" i="2"/>
  <c r="AB892" i="2"/>
  <c r="AC890" i="2"/>
  <c r="AB890" i="2"/>
  <c r="AA890" i="2"/>
  <c r="AC895" i="2"/>
  <c r="AB895" i="2"/>
  <c r="AA849" i="2"/>
  <c r="AA886" i="2"/>
  <c r="AC886" i="2"/>
  <c r="AB886" i="2"/>
  <c r="AA887" i="2"/>
  <c r="AC887" i="2"/>
  <c r="AB752" i="2"/>
  <c r="AC837" i="2"/>
  <c r="AB837" i="2"/>
  <c r="AB746" i="2"/>
  <c r="AA746" i="2"/>
  <c r="AB745" i="2"/>
  <c r="AA745" i="2"/>
  <c r="AB751" i="2"/>
  <c r="AA751" i="2"/>
  <c r="AB755" i="2"/>
  <c r="AA755" i="2"/>
  <c r="AB749" i="2"/>
  <c r="AA749" i="2"/>
  <c r="AB750" i="2"/>
  <c r="AA750" i="2"/>
  <c r="AB734" i="2"/>
  <c r="AA734" i="2"/>
  <c r="AB753" i="2"/>
  <c r="AA753" i="2"/>
  <c r="AA885" i="2"/>
  <c r="AC885" i="2"/>
  <c r="AB883" i="2"/>
  <c r="AA883" i="2"/>
  <c r="AC883" i="2"/>
  <c r="AB730" i="2"/>
  <c r="AA730" i="2"/>
  <c r="AA860" i="2"/>
  <c r="AC860" i="2"/>
  <c r="AB860" i="2"/>
  <c r="AA846" i="2"/>
  <c r="AB846" i="2"/>
  <c r="AC846" i="2"/>
  <c r="AA708" i="2"/>
  <c r="AB708" i="2"/>
  <c r="AA869" i="2"/>
  <c r="AB869" i="2"/>
  <c r="AC869" i="2"/>
  <c r="AA714" i="2"/>
  <c r="AB714" i="2"/>
  <c r="AA777" i="2"/>
  <c r="AB777" i="2"/>
  <c r="AA768" i="2"/>
  <c r="AB768" i="2"/>
  <c r="AA703" i="2"/>
  <c r="AB703" i="2"/>
  <c r="AB759" i="2"/>
  <c r="AA759" i="2"/>
  <c r="AA865" i="2"/>
  <c r="AC865" i="2"/>
  <c r="AB865" i="2"/>
  <c r="AB723" i="2"/>
  <c r="AA723" i="2"/>
  <c r="AC806" i="2"/>
  <c r="AA806" i="2"/>
  <c r="AB806" i="2"/>
  <c r="AB792" i="2"/>
  <c r="AA739" i="2"/>
  <c r="AB739" i="2"/>
  <c r="AC825" i="2"/>
  <c r="AA825" i="2"/>
  <c r="AB825" i="2"/>
  <c r="AA875" i="2"/>
  <c r="AB875" i="2"/>
  <c r="AC875" i="2"/>
  <c r="AA814" i="2"/>
  <c r="AC814" i="2"/>
  <c r="AB814" i="2"/>
  <c r="AA879" i="2"/>
  <c r="AC879" i="2"/>
  <c r="AB879" i="2"/>
  <c r="AC822" i="2"/>
  <c r="AA822" i="2"/>
  <c r="AB822" i="2"/>
  <c r="AC862" i="2"/>
  <c r="AA862" i="2"/>
  <c r="AA819" i="2"/>
  <c r="AC819" i="2"/>
  <c r="AB819" i="2"/>
  <c r="AA722" i="2"/>
  <c r="AB722" i="2"/>
  <c r="AC841" i="2"/>
  <c r="AA841" i="2"/>
  <c r="AB717" i="2"/>
  <c r="AA717" i="2"/>
  <c r="AA838" i="2"/>
  <c r="AB838" i="2"/>
  <c r="AC838" i="2"/>
  <c r="AA762" i="2"/>
  <c r="AB762" i="2"/>
  <c r="AA835" i="2"/>
  <c r="AB835" i="2"/>
  <c r="AC835" i="2"/>
  <c r="AB801" i="2"/>
  <c r="AA801" i="2"/>
  <c r="AA882" i="2"/>
  <c r="AC882" i="2"/>
  <c r="AB882" i="2"/>
  <c r="AB766" i="2"/>
  <c r="AA766" i="2"/>
  <c r="AB754" i="2"/>
  <c r="AA857" i="2"/>
  <c r="AB857" i="2"/>
  <c r="AC857" i="2"/>
  <c r="AA854" i="2"/>
  <c r="AB854" i="2"/>
  <c r="AC854" i="2"/>
  <c r="AA778" i="2"/>
  <c r="AB778" i="2"/>
  <c r="AB715" i="2"/>
  <c r="AA715" i="2"/>
  <c r="AB851" i="2"/>
  <c r="AA851" i="2"/>
  <c r="AA771" i="2"/>
  <c r="AB771" i="2"/>
  <c r="AA793" i="2"/>
  <c r="AB793" i="2"/>
  <c r="AA784" i="2"/>
  <c r="AB784" i="2"/>
  <c r="AA706" i="2"/>
  <c r="AB706" i="2"/>
  <c r="AB737" i="2"/>
  <c r="AA737" i="2"/>
  <c r="AA818" i="2"/>
  <c r="AC818" i="2"/>
  <c r="AB818" i="2"/>
  <c r="AA729" i="2"/>
  <c r="AB729" i="2"/>
  <c r="AC809" i="2"/>
  <c r="AA809" i="2"/>
  <c r="AB809" i="2"/>
  <c r="AA881" i="2"/>
  <c r="AC881" i="2"/>
  <c r="AB881" i="2"/>
  <c r="AA870" i="2"/>
  <c r="AB870" i="2"/>
  <c r="AC870" i="2"/>
  <c r="AA712" i="2"/>
  <c r="AB712" i="2"/>
  <c r="AA794" i="2"/>
  <c r="AB794" i="2"/>
  <c r="AA731" i="2"/>
  <c r="AB731" i="2"/>
  <c r="AC832" i="2"/>
  <c r="AA832" i="2"/>
  <c r="AA867" i="2"/>
  <c r="AC867" i="2"/>
  <c r="AB867" i="2"/>
  <c r="AB833" i="2"/>
  <c r="AA833" i="2"/>
  <c r="AC833" i="2"/>
  <c r="AC877" i="2"/>
  <c r="AA877" i="2"/>
  <c r="AB877" i="2"/>
  <c r="AA787" i="2"/>
  <c r="AB787" i="2"/>
  <c r="AB782" i="2"/>
  <c r="AA782" i="2"/>
  <c r="AA728" i="2"/>
  <c r="AB728" i="2"/>
  <c r="AA810" i="2"/>
  <c r="AC810" i="2"/>
  <c r="AB810" i="2"/>
  <c r="AB747" i="2"/>
  <c r="AA848" i="2"/>
  <c r="AB848" i="2"/>
  <c r="AC848" i="2"/>
  <c r="AA816" i="2"/>
  <c r="AC816" i="2"/>
  <c r="AB816" i="2"/>
  <c r="AA720" i="2"/>
  <c r="AB720" i="2"/>
  <c r="AA799" i="2"/>
  <c r="AB799" i="2"/>
  <c r="AA798" i="2"/>
  <c r="AB798" i="2"/>
  <c r="AA761" i="2"/>
  <c r="AB761" i="2"/>
  <c r="AA756" i="2"/>
  <c r="AB756" i="2"/>
  <c r="AA725" i="2"/>
  <c r="AB725" i="2"/>
  <c r="AB744" i="2"/>
  <c r="AA744" i="2"/>
  <c r="AA826" i="2"/>
  <c r="AB826" i="2"/>
  <c r="AC826" i="2"/>
  <c r="AB763" i="2"/>
  <c r="AA763" i="2"/>
  <c r="AA864" i="2"/>
  <c r="AC864" i="2"/>
  <c r="AB864" i="2"/>
  <c r="AA834" i="2"/>
  <c r="AB834" i="2"/>
  <c r="AC834" i="2"/>
  <c r="AA769" i="2"/>
  <c r="AB769" i="2"/>
  <c r="AA711" i="2"/>
  <c r="AB711" i="2"/>
  <c r="AA884" i="2"/>
  <c r="AC884" i="2"/>
  <c r="AB884" i="2"/>
  <c r="AC829" i="2"/>
  <c r="AB829" i="2"/>
  <c r="AA829" i="2"/>
  <c r="AA704" i="2"/>
  <c r="AB704" i="2"/>
  <c r="AA735" i="2"/>
  <c r="AB735" i="2"/>
  <c r="AA871" i="2"/>
  <c r="AB871" i="2"/>
  <c r="AC871" i="2"/>
  <c r="AA724" i="2"/>
  <c r="AB724" i="2"/>
  <c r="AA772" i="2"/>
  <c r="AB772" i="2"/>
  <c r="AA740" i="2"/>
  <c r="AB740" i="2"/>
  <c r="AA760" i="2"/>
  <c r="AB760" i="2"/>
  <c r="AA842" i="2"/>
  <c r="AC842" i="2"/>
  <c r="AB842" i="2"/>
  <c r="AB779" i="2"/>
  <c r="AA779" i="2"/>
  <c r="AA716" i="2"/>
  <c r="AB716" i="2"/>
  <c r="AA850" i="2"/>
  <c r="AB850" i="2"/>
  <c r="AC850" i="2"/>
  <c r="AA845" i="2"/>
  <c r="AB845" i="2"/>
  <c r="AC845" i="2"/>
  <c r="AB709" i="2"/>
  <c r="AA709" i="2"/>
  <c r="AA741" i="2"/>
  <c r="AB741" i="2"/>
  <c r="AA786" i="2"/>
  <c r="AB786" i="2"/>
  <c r="AA876" i="2"/>
  <c r="AC876" i="2"/>
  <c r="AB876" i="2"/>
  <c r="AC815" i="2"/>
  <c r="AA815" i="2"/>
  <c r="AA878" i="2"/>
  <c r="AC878" i="2"/>
  <c r="AB878" i="2"/>
  <c r="AB788" i="2"/>
  <c r="AA788" i="2"/>
  <c r="AA757" i="2"/>
  <c r="AB757" i="2"/>
  <c r="AA776" i="2"/>
  <c r="AB776" i="2"/>
  <c r="AC858" i="2"/>
  <c r="AA858" i="2"/>
  <c r="AB858" i="2"/>
  <c r="AB795" i="2"/>
  <c r="AA795" i="2"/>
  <c r="AA732" i="2"/>
  <c r="AB732" i="2"/>
  <c r="AA866" i="2"/>
  <c r="AC866" i="2"/>
  <c r="AB866" i="2"/>
  <c r="AA802" i="2"/>
  <c r="AB802" i="2"/>
  <c r="AB718" i="2"/>
  <c r="AA718" i="2"/>
  <c r="AA830" i="2"/>
  <c r="AB830" i="2"/>
  <c r="AC830" i="2"/>
  <c r="AB767" i="2"/>
  <c r="AA767" i="2"/>
  <c r="AA785" i="2"/>
  <c r="AB785" i="2"/>
  <c r="AA861" i="2"/>
  <c r="AC861" i="2"/>
  <c r="AB861" i="2"/>
  <c r="AA804" i="2"/>
  <c r="AB804" i="2"/>
  <c r="AA773" i="2"/>
  <c r="AB773" i="2"/>
  <c r="AC811" i="2"/>
  <c r="AB811" i="2"/>
  <c r="AA811" i="2"/>
  <c r="AB748" i="2"/>
  <c r="AA775" i="2"/>
  <c r="AB775" i="2"/>
  <c r="AA738" i="2"/>
  <c r="AB738" i="2"/>
  <c r="AA702" i="2"/>
  <c r="AB702" i="2"/>
  <c r="AC813" i="2"/>
  <c r="AB813" i="2"/>
  <c r="AA813" i="2"/>
  <c r="AC820" i="2"/>
  <c r="AA820" i="2"/>
  <c r="AB820" i="2"/>
  <c r="AA789" i="2"/>
  <c r="AB789" i="2"/>
  <c r="AA808" i="2"/>
  <c r="AC808" i="2"/>
  <c r="AB808" i="2"/>
  <c r="AB827" i="2"/>
  <c r="AA827" i="2"/>
  <c r="AC827" i="2"/>
  <c r="AA764" i="2"/>
  <c r="AB764" i="2"/>
  <c r="AA847" i="2"/>
  <c r="AB847" i="2"/>
  <c r="AC847" i="2"/>
  <c r="AC839" i="2"/>
  <c r="AA839" i="2"/>
  <c r="AB839" i="2"/>
  <c r="AA707" i="2"/>
  <c r="AB707" i="2"/>
  <c r="AB797" i="2"/>
  <c r="AA797" i="2"/>
  <c r="AA874" i="2"/>
  <c r="AB874" i="2"/>
  <c r="AC874" i="2"/>
  <c r="AB733" i="2"/>
  <c r="AA733" i="2"/>
  <c r="AA783" i="2"/>
  <c r="AB783" i="2"/>
  <c r="AA880" i="2"/>
  <c r="AC880" i="2"/>
  <c r="AB880" i="2"/>
  <c r="AC836" i="2"/>
  <c r="AA836" i="2"/>
  <c r="AA805" i="2"/>
  <c r="AC805" i="2"/>
  <c r="AB805" i="2"/>
  <c r="AA726" i="2"/>
  <c r="AB726" i="2"/>
  <c r="AA824" i="2"/>
  <c r="AB824" i="2"/>
  <c r="AC824" i="2"/>
  <c r="AC843" i="2"/>
  <c r="AA843" i="2"/>
  <c r="AB843" i="2"/>
  <c r="AA780" i="2"/>
  <c r="AB780" i="2"/>
  <c r="AA863" i="2"/>
  <c r="AC863" i="2"/>
  <c r="AB863" i="2"/>
  <c r="AA721" i="2"/>
  <c r="AB721" i="2"/>
  <c r="AA800" i="2"/>
  <c r="AB800" i="2"/>
  <c r="AB791" i="2"/>
  <c r="AA791" i="2"/>
  <c r="AA765" i="2"/>
  <c r="AB765" i="2"/>
  <c r="AA855" i="2"/>
  <c r="AB855" i="2"/>
  <c r="AC855" i="2"/>
  <c r="AB852" i="2"/>
  <c r="AA852" i="2"/>
  <c r="AA821" i="2"/>
  <c r="AB821" i="2"/>
  <c r="AC821" i="2"/>
  <c r="AA742" i="2"/>
  <c r="AB742" i="2"/>
  <c r="AA840" i="2"/>
  <c r="AC840" i="2"/>
  <c r="AB840" i="2"/>
  <c r="AB701" i="2"/>
  <c r="AA701" i="2"/>
  <c r="AC859" i="2"/>
  <c r="AA859" i="2"/>
  <c r="AB859" i="2"/>
  <c r="AA796" i="2"/>
  <c r="AB796" i="2"/>
  <c r="AA770" i="2"/>
  <c r="AB770" i="2"/>
  <c r="AA727" i="2"/>
  <c r="AB727" i="2"/>
  <c r="AA807" i="2"/>
  <c r="AC807" i="2"/>
  <c r="AB807" i="2"/>
  <c r="AA868" i="2"/>
  <c r="AB868" i="2"/>
  <c r="AC868" i="2"/>
  <c r="AA758" i="2"/>
  <c r="AB758" i="2"/>
  <c r="AC856" i="2"/>
  <c r="AA856" i="2"/>
  <c r="AB856" i="2"/>
  <c r="AA812" i="2"/>
  <c r="AC812" i="2"/>
  <c r="AB812" i="2"/>
  <c r="AA710" i="2"/>
  <c r="AB710" i="2"/>
  <c r="AA743" i="2"/>
  <c r="AB743" i="2"/>
  <c r="AB790" i="2"/>
  <c r="AA790" i="2"/>
  <c r="AA844" i="2"/>
  <c r="AB844" i="2"/>
  <c r="AC823" i="2"/>
  <c r="AA823" i="2"/>
  <c r="AA713" i="2"/>
  <c r="AB713" i="2"/>
  <c r="AA705" i="2"/>
  <c r="AB705" i="2"/>
  <c r="AA736" i="2"/>
  <c r="AB736" i="2"/>
  <c r="AA873" i="2"/>
  <c r="AB873" i="2"/>
  <c r="AC873" i="2"/>
  <c r="AA831" i="2"/>
  <c r="AB831" i="2"/>
  <c r="AC817" i="2"/>
  <c r="AB817" i="2"/>
  <c r="AA817" i="2"/>
  <c r="AA781" i="2"/>
  <c r="AB781" i="2"/>
  <c r="AA853" i="2"/>
  <c r="AB853" i="2"/>
  <c r="AC853" i="2"/>
  <c r="AA774" i="2"/>
  <c r="AB774" i="2"/>
  <c r="AA872" i="2"/>
  <c r="AB872" i="2"/>
  <c r="AC872" i="2"/>
  <c r="AA828" i="2"/>
  <c r="AB828" i="2"/>
  <c r="AC828" i="2"/>
  <c r="AA803" i="2"/>
  <c r="AB803" i="2"/>
  <c r="AA719" i="2"/>
  <c r="AB719" i="2"/>
</calcChain>
</file>

<file path=xl/metadata.xml><?xml version="1.0" encoding="utf-8"?>
<metadata xmlns="http://purl.oclc.org/ooxml/spreadsheetml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<sst xmlns="http://purl.oclc.org/ooxml/spreadsheetml/main" count="3604" uniqueCount="1181">
  <si>
    <t>Battlefield</t>
  </si>
  <si>
    <t>Ghost Light</t>
  </si>
  <si>
    <t>The Curse of Fenric</t>
  </si>
  <si>
    <t>Survival</t>
  </si>
  <si>
    <t>Population</t>
  </si>
  <si>
    <t>Remembrance of the Daleks</t>
  </si>
  <si>
    <t>The Happiness Patrol</t>
  </si>
  <si>
    <t>Silver Nemesis</t>
  </si>
  <si>
    <t>The Greatest Show in the Galaxy</t>
  </si>
  <si>
    <t>Part One</t>
  </si>
  <si>
    <t>Part Two</t>
  </si>
  <si>
    <t>Part Three</t>
  </si>
  <si>
    <t>Part Four</t>
  </si>
  <si>
    <t>Season</t>
  </si>
  <si>
    <t>Time and the Rani</t>
  </si>
  <si>
    <t>Paradise Towers</t>
  </si>
  <si>
    <t>Delta and the Bannermen</t>
  </si>
  <si>
    <t>Dragonfire</t>
  </si>
  <si>
    <t>Sylvester McCoy</t>
  </si>
  <si>
    <t>Actor</t>
  </si>
  <si>
    <t>William Hartnell</t>
  </si>
  <si>
    <t>Year</t>
  </si>
  <si>
    <t>Rose</t>
  </si>
  <si>
    <t>The End of the World</t>
  </si>
  <si>
    <t>The Unquiet Dead</t>
  </si>
  <si>
    <t>Aliens of London</t>
  </si>
  <si>
    <t>World War Three</t>
  </si>
  <si>
    <t>Dalek</t>
  </si>
  <si>
    <t>The Long Game</t>
  </si>
  <si>
    <t>Father's Day</t>
  </si>
  <si>
    <t>The Empty Child</t>
  </si>
  <si>
    <t>The Doctor Dances</t>
  </si>
  <si>
    <t>Boom Town</t>
  </si>
  <si>
    <t>Bad Wolf</t>
  </si>
  <si>
    <t>The Parting of the Ways</t>
  </si>
  <si>
    <t>The Christmas Invasion</t>
  </si>
  <si>
    <t>Tooth and Claw</t>
  </si>
  <si>
    <t>School Reunion</t>
  </si>
  <si>
    <t>The Girl in the Fireplace</t>
  </si>
  <si>
    <t>Rise of the Cybermen</t>
  </si>
  <si>
    <t>The Age of Steel</t>
  </si>
  <si>
    <t>The Idiot's Lantern</t>
  </si>
  <si>
    <t>The Impossible Planet</t>
  </si>
  <si>
    <t>The Satan Pit</t>
  </si>
  <si>
    <t>Love &amp; Monsters</t>
  </si>
  <si>
    <t>Fear Her</t>
  </si>
  <si>
    <t>Army of Ghosts</t>
  </si>
  <si>
    <t>Doomsday</t>
  </si>
  <si>
    <t>New Earth</t>
  </si>
  <si>
    <t>The Runaway Bride</t>
  </si>
  <si>
    <t>Smith and Jones</t>
  </si>
  <si>
    <t>The Shakespeare Code</t>
  </si>
  <si>
    <t>Gridlock</t>
  </si>
  <si>
    <t>Daleks in Manhattan</t>
  </si>
  <si>
    <t>Evolution of the Daleks</t>
  </si>
  <si>
    <t>The Lazarus Experiment</t>
  </si>
  <si>
    <t>Human Nature</t>
  </si>
  <si>
    <t>The Family of Blood</t>
  </si>
  <si>
    <t>Blink</t>
  </si>
  <si>
    <t>Utopia</t>
  </si>
  <si>
    <t>The Sound of Drums</t>
  </si>
  <si>
    <t>Last of the Time Lords</t>
  </si>
  <si>
    <t>Voyage of the Damned</t>
  </si>
  <si>
    <t>Partners in Crime</t>
  </si>
  <si>
    <t>The Fires of Pompeii</t>
  </si>
  <si>
    <t>Planet of the Ood</t>
  </si>
  <si>
    <t>The Sontaran Stratagem</t>
  </si>
  <si>
    <t>The Poison Sky</t>
  </si>
  <si>
    <t>The Doctor's Daughter</t>
  </si>
  <si>
    <t>The Unicorn and the Wasp</t>
  </si>
  <si>
    <t>Silence in the Library</t>
  </si>
  <si>
    <t>Forest of the Dead</t>
  </si>
  <si>
    <t>Midnight</t>
  </si>
  <si>
    <t>Turn Left</t>
  </si>
  <si>
    <t>The Stolen Earth</t>
  </si>
  <si>
    <t>Journey's End</t>
  </si>
  <si>
    <t>Note</t>
  </si>
  <si>
    <t>Special</t>
  </si>
  <si>
    <t>The Next Doctor</t>
  </si>
  <si>
    <t>Planet of the Dead</t>
  </si>
  <si>
    <t>The Waters of Mars</t>
  </si>
  <si>
    <t>The End of Time</t>
  </si>
  <si>
    <t>The Eleventh Hour</t>
  </si>
  <si>
    <t>The Beast Below</t>
  </si>
  <si>
    <t>Victory of the Daleks</t>
  </si>
  <si>
    <t>The Time of Angels</t>
  </si>
  <si>
    <t>Flesh and Stone</t>
  </si>
  <si>
    <t>The Vampires of Venice</t>
  </si>
  <si>
    <t>Amy's Choice</t>
  </si>
  <si>
    <t>The Hungry Earth</t>
  </si>
  <si>
    <t>Cold Blood</t>
  </si>
  <si>
    <t>Vincent and the Doctor</t>
  </si>
  <si>
    <t>The Lodger</t>
  </si>
  <si>
    <t>The Pandorica Opens</t>
  </si>
  <si>
    <t>The Big Bang</t>
  </si>
  <si>
    <t>Series</t>
  </si>
  <si>
    <t>Patrick Troughton</t>
  </si>
  <si>
    <t>Jon Pertwee</t>
  </si>
  <si>
    <t>Tom Baker</t>
  </si>
  <si>
    <t>Peter Davison</t>
  </si>
  <si>
    <t>Colin Baker</t>
  </si>
  <si>
    <t>Christopher Eccleston</t>
  </si>
  <si>
    <t>David Tennant</t>
  </si>
  <si>
    <t>Matt Smith</t>
  </si>
  <si>
    <t>Peter Capaldi</t>
  </si>
  <si>
    <t>Jodie Whittaker</t>
  </si>
  <si>
    <t>Ncuti Gatwa</t>
  </si>
  <si>
    <t>Paul McGann</t>
  </si>
  <si>
    <t>A Christmas Carol</t>
  </si>
  <si>
    <t>The Impossible Astronaut</t>
  </si>
  <si>
    <t>Day of the Moon</t>
  </si>
  <si>
    <t>The Curse of the Black Spot</t>
  </si>
  <si>
    <t>The Doctor's Wife</t>
  </si>
  <si>
    <t>The Rebel Flesh</t>
  </si>
  <si>
    <t>The Almost People</t>
  </si>
  <si>
    <t>A Good Man Goes to War</t>
  </si>
  <si>
    <t>Let's Kill Hitler</t>
  </si>
  <si>
    <t>Night Terrors</t>
  </si>
  <si>
    <t>The Girl Who Waited</t>
  </si>
  <si>
    <t>The God Complex</t>
  </si>
  <si>
    <t>Closing Time</t>
  </si>
  <si>
    <t>The Wedding of River Song</t>
  </si>
  <si>
    <t>Part 2</t>
  </si>
  <si>
    <t>The Doctor, the Widow and the Wardrobe</t>
  </si>
  <si>
    <t>Asylum of the Daleks</t>
  </si>
  <si>
    <t>Dinosaurs on a Spaceship</t>
  </si>
  <si>
    <t>A Town Called Mercy</t>
  </si>
  <si>
    <t>The Power of Three</t>
  </si>
  <si>
    <t>The Angels Take Manhattan</t>
  </si>
  <si>
    <t>The Snowmen</t>
  </si>
  <si>
    <t>The Bells of Saint John</t>
  </si>
  <si>
    <t>The Rings of Akhaten</t>
  </si>
  <si>
    <t>Cold War</t>
  </si>
  <si>
    <t>Hide</t>
  </si>
  <si>
    <t>Journey to the Centre of the TARDIS</t>
  </si>
  <si>
    <t>The Crimson Horror</t>
  </si>
  <si>
    <t>Nightmare in Silver</t>
  </si>
  <si>
    <t>The Name of the Doctor</t>
  </si>
  <si>
    <t>The Day of the Doctor</t>
  </si>
  <si>
    <t>The Time of the Doctor</t>
  </si>
  <si>
    <t>Deep Breath</t>
  </si>
  <si>
    <t>Into the Dalek</t>
  </si>
  <si>
    <t>Robot of Sherwood</t>
  </si>
  <si>
    <t>Listen</t>
  </si>
  <si>
    <t>Time Heist</t>
  </si>
  <si>
    <t>The Caretaker</t>
  </si>
  <si>
    <t>Kill the Moon</t>
  </si>
  <si>
    <t>Mummy on the Orient Express</t>
  </si>
  <si>
    <t>Flatline</t>
  </si>
  <si>
    <t>In the Forest of the Night</t>
  </si>
  <si>
    <t>Dark Water</t>
  </si>
  <si>
    <t>Death in Heaven</t>
  </si>
  <si>
    <t>Last Christmas</t>
  </si>
  <si>
    <t>The Magician's Apprentice</t>
  </si>
  <si>
    <t>The Witch's Familiar</t>
  </si>
  <si>
    <t>Under the Lake</t>
  </si>
  <si>
    <t>Before the Flood</t>
  </si>
  <si>
    <t>The Girl Who Died</t>
  </si>
  <si>
    <t>The Woman Who Lived</t>
  </si>
  <si>
    <t>The Zygon Invasion</t>
  </si>
  <si>
    <t>The Zygon Inversion</t>
  </si>
  <si>
    <t>Sleep No More</t>
  </si>
  <si>
    <t>Face the Raven</t>
  </si>
  <si>
    <t>Heaven Sent</t>
  </si>
  <si>
    <t>Hell Bent</t>
  </si>
  <si>
    <t>The Husbands of River Song</t>
  </si>
  <si>
    <t>The Return of Doctor Mysterio</t>
  </si>
  <si>
    <t>The Pilot</t>
  </si>
  <si>
    <t>Smile</t>
  </si>
  <si>
    <t>Thin Ice</t>
  </si>
  <si>
    <t>Knock Knock</t>
  </si>
  <si>
    <t>Oxygen</t>
  </si>
  <si>
    <t>Extremis</t>
  </si>
  <si>
    <t>The Pyramid at the End of the World</t>
  </si>
  <si>
    <t>The Lie of the Land</t>
  </si>
  <si>
    <t>Empress of Mars</t>
  </si>
  <si>
    <t>The Eaters of Light</t>
  </si>
  <si>
    <t>World Enough and Time</t>
  </si>
  <si>
    <t>The Doctor Falls</t>
  </si>
  <si>
    <t>Twice Upon a Time</t>
  </si>
  <si>
    <t>The Woman Who Fell to Earth</t>
  </si>
  <si>
    <t>The Ghost Monument</t>
  </si>
  <si>
    <t>Rosa</t>
  </si>
  <si>
    <t>Arachnids in the UK</t>
  </si>
  <si>
    <t>The Tsuranga Conundrum</t>
  </si>
  <si>
    <t>Demons of the Punjab</t>
  </si>
  <si>
    <t>Kerblam!</t>
  </si>
  <si>
    <t>The Witchfinders</t>
  </si>
  <si>
    <t>It Takes You Away</t>
  </si>
  <si>
    <t>The Battle of Ranskoor Av Kolos</t>
  </si>
  <si>
    <t>Resolution</t>
  </si>
  <si>
    <t>Orphan 55</t>
  </si>
  <si>
    <t>Nikola Tesla's Night of Terror</t>
  </si>
  <si>
    <t>Fugitive of the Judoon</t>
  </si>
  <si>
    <t>Praxeus</t>
  </si>
  <si>
    <t>Can You Hear Me?</t>
  </si>
  <si>
    <t>The Haunting of Villa Diodati</t>
  </si>
  <si>
    <t>Ascension of the Cybermen</t>
  </si>
  <si>
    <t>The Timeless Children</t>
  </si>
  <si>
    <t>Revolution of the Daleks</t>
  </si>
  <si>
    <t>The Halloween Apocalypse</t>
  </si>
  <si>
    <t>War of the Sontarans</t>
  </si>
  <si>
    <t>Once, Upon Time</t>
  </si>
  <si>
    <t>Village of the Angels</t>
  </si>
  <si>
    <t>Survivors of the Flux</t>
  </si>
  <si>
    <t>The Vanquishers</t>
  </si>
  <si>
    <t>Eve of the Daleks</t>
  </si>
  <si>
    <t>Legend of the Sea Devils</t>
  </si>
  <si>
    <t>The Power of the Doctor</t>
  </si>
  <si>
    <t>The Star Beast</t>
  </si>
  <si>
    <t>Wild Blue Yonder</t>
  </si>
  <si>
    <t>The Giggle</t>
  </si>
  <si>
    <t>The Church on Ruby Road</t>
  </si>
  <si>
    <t>Space Babies</t>
  </si>
  <si>
    <t>The Devil's Chord</t>
  </si>
  <si>
    <t>Boom</t>
  </si>
  <si>
    <t>73 Yards</t>
  </si>
  <si>
    <t>Dot and Bubble</t>
  </si>
  <si>
    <t>Rogue</t>
  </si>
  <si>
    <t>The Legend of Ruby Sunday</t>
  </si>
  <si>
    <t>Empire of Death</t>
  </si>
  <si>
    <t>An Unearthly Child</t>
  </si>
  <si>
    <t>The Daleks</t>
  </si>
  <si>
    <t>The Edge of Destruction</t>
  </si>
  <si>
    <t>Marco Polo</t>
  </si>
  <si>
    <t>The Keys of Marinus</t>
  </si>
  <si>
    <t>The Aztecs</t>
  </si>
  <si>
    <t>The Sensorites</t>
  </si>
  <si>
    <t>The Reign of Terror</t>
  </si>
  <si>
    <t>Flux</t>
  </si>
  <si>
    <t>The Cave of Skulls</t>
  </si>
  <si>
    <t>The Forest of Fear</t>
  </si>
  <si>
    <t>The Firemaker</t>
  </si>
  <si>
    <t>The Dead Planet</t>
  </si>
  <si>
    <t>The Survivors</t>
  </si>
  <si>
    <t>The Escape</t>
  </si>
  <si>
    <t>The Ambush</t>
  </si>
  <si>
    <t>The Expedition</t>
  </si>
  <si>
    <t>The Ordeal</t>
  </si>
  <si>
    <t>The Rescue</t>
  </si>
  <si>
    <t>The Brink of Disaster</t>
  </si>
  <si>
    <t>The Sea of Death</t>
  </si>
  <si>
    <t>The Velvet Web</t>
  </si>
  <si>
    <t>The Screaming Jungle</t>
  </si>
  <si>
    <t>The Snows of Terror</t>
  </si>
  <si>
    <t>Sentence of Death</t>
  </si>
  <si>
    <t>The Temple of Evil</t>
  </si>
  <si>
    <t>The Warriors of Death</t>
  </si>
  <si>
    <t>The Bride of Sacrifice</t>
  </si>
  <si>
    <t>The Day of Darkness</t>
  </si>
  <si>
    <t>Strangers in Space</t>
  </si>
  <si>
    <t>The Unwilling Warriors</t>
  </si>
  <si>
    <t>Hidden Danger</t>
  </si>
  <si>
    <t>A Race Against Death</t>
  </si>
  <si>
    <t>Kidnap</t>
  </si>
  <si>
    <t>A Desperate Venture</t>
  </si>
  <si>
    <t>A Land of Fear</t>
  </si>
  <si>
    <t>Guests of Madame Guillotine</t>
  </si>
  <si>
    <t>A Change of Identity</t>
  </si>
  <si>
    <t>Prisoners of Conciergerie</t>
  </si>
  <si>
    <t>The Roof of the World</t>
  </si>
  <si>
    <t>The Singing Sands</t>
  </si>
  <si>
    <t>Five Hundred Eyes</t>
  </si>
  <si>
    <t>The Wall of Lies</t>
  </si>
  <si>
    <t>Rider from Shang-Tu</t>
  </si>
  <si>
    <t>Mighty Kublai Khan</t>
  </si>
  <si>
    <t>Assassin at Peking</t>
  </si>
  <si>
    <t>The Tyrant of France</t>
  </si>
  <si>
    <t>A Bargain of Necessity</t>
  </si>
  <si>
    <t>Planet of Giants</t>
  </si>
  <si>
    <t>The Dalek Invasion of Earth</t>
  </si>
  <si>
    <t>The Romans</t>
  </si>
  <si>
    <t>The Web Planet</t>
  </si>
  <si>
    <t>The Crusade</t>
  </si>
  <si>
    <t>The Space Museum</t>
  </si>
  <si>
    <t>The Chase</t>
  </si>
  <si>
    <t>The Time Meddler</t>
  </si>
  <si>
    <t>Dangerous Journey</t>
  </si>
  <si>
    <t>Crisis</t>
  </si>
  <si>
    <t>World's End</t>
  </si>
  <si>
    <t>Day of Reckoning</t>
  </si>
  <si>
    <t>The End of Tomorrow</t>
  </si>
  <si>
    <t>The Waking Ally</t>
  </si>
  <si>
    <t>Flashpoint</t>
  </si>
  <si>
    <t>The Powerful Enemy</t>
  </si>
  <si>
    <t>Desperate Measures</t>
  </si>
  <si>
    <t>The Slave Traders</t>
  </si>
  <si>
    <t>All Roads Lead to Rome</t>
  </si>
  <si>
    <t>Conspiracy</t>
  </si>
  <si>
    <t>Inferno</t>
  </si>
  <si>
    <t>The Zarbi</t>
  </si>
  <si>
    <t>Escape to Danger</t>
  </si>
  <si>
    <t>Crater of Needles</t>
  </si>
  <si>
    <t>Invasion</t>
  </si>
  <si>
    <t>The Centre</t>
  </si>
  <si>
    <t>The Lion</t>
  </si>
  <si>
    <t>The Wheel of Fortune</t>
  </si>
  <si>
    <t>The Dimensions of Time</t>
  </si>
  <si>
    <t>The Search</t>
  </si>
  <si>
    <t>The Final Phase</t>
  </si>
  <si>
    <t>The Executioners</t>
  </si>
  <si>
    <t>The Death of Time</t>
  </si>
  <si>
    <t>Flight Through Eternity</t>
  </si>
  <si>
    <t>Journey into Terror</t>
  </si>
  <si>
    <t>The Death of Doctor Who</t>
  </si>
  <si>
    <t>The Planet of Decision</t>
  </si>
  <si>
    <t>The Watcher</t>
  </si>
  <si>
    <t>The Meddling Monk</t>
  </si>
  <si>
    <t>A Battle of Wits</t>
  </si>
  <si>
    <t>Checkmate</t>
  </si>
  <si>
    <t>The Knight of Jaffa</t>
  </si>
  <si>
    <t>The Warlords</t>
  </si>
  <si>
    <t>Galaxy 4</t>
  </si>
  <si>
    <t>The Myth Makers</t>
  </si>
  <si>
    <t>The Daleks' Master Plan</t>
  </si>
  <si>
    <t>The Massacre</t>
  </si>
  <si>
    <t>The Ark</t>
  </si>
  <si>
    <t>The Celestial Toymaker</t>
  </si>
  <si>
    <t>The Gunfighters</t>
  </si>
  <si>
    <t>The Savages</t>
  </si>
  <si>
    <t>The War Machines</t>
  </si>
  <si>
    <t>Mission to the Unknown</t>
  </si>
  <si>
    <t>Doctor</t>
  </si>
  <si>
    <t>Story</t>
  </si>
  <si>
    <t>Four Hundred Dawns</t>
  </si>
  <si>
    <t>Trap of Steel</t>
  </si>
  <si>
    <t>Air Lock</t>
  </si>
  <si>
    <t>The Exploding Planet</t>
  </si>
  <si>
    <t>Temple of Secrets</t>
  </si>
  <si>
    <t>Small Prophet, Quick Return</t>
  </si>
  <si>
    <t>Death of a Spy</t>
  </si>
  <si>
    <t>Horse of Destruction</t>
  </si>
  <si>
    <t>The Nightmare Begins</t>
  </si>
  <si>
    <t>Day of Armageddon</t>
  </si>
  <si>
    <t>Devil's Planet</t>
  </si>
  <si>
    <t>The Traitors</t>
  </si>
  <si>
    <t>Counter Plot</t>
  </si>
  <si>
    <t>Coronas of the Sun</t>
  </si>
  <si>
    <t>The Feast of Steven</t>
  </si>
  <si>
    <t>Volcano</t>
  </si>
  <si>
    <t>Golden Death</t>
  </si>
  <si>
    <t>Escape Switch</t>
  </si>
  <si>
    <t>The Abandoned Planet</t>
  </si>
  <si>
    <t>Destruction of Time</t>
  </si>
  <si>
    <t>War of God</t>
  </si>
  <si>
    <t>The Sea Beggar</t>
  </si>
  <si>
    <t>Priest of Death</t>
  </si>
  <si>
    <t>Bell of Doom</t>
  </si>
  <si>
    <t>The Steel Sky</t>
  </si>
  <si>
    <t>The Plague</t>
  </si>
  <si>
    <t>The Return</t>
  </si>
  <si>
    <t>The Bomb</t>
  </si>
  <si>
    <t>The Celestial Toyroom</t>
  </si>
  <si>
    <t>The Hall of Dolls</t>
  </si>
  <si>
    <t>The Dancing Floor</t>
  </si>
  <si>
    <t>The Final Test</t>
  </si>
  <si>
    <t>A Holiday for the Doctor</t>
  </si>
  <si>
    <t>Don't Shoot the Pianist</t>
  </si>
  <si>
    <t>Johnny Ringo</t>
  </si>
  <si>
    <t>The O.K. Corral</t>
  </si>
  <si>
    <t>Episode 1</t>
  </si>
  <si>
    <t>Episode 2</t>
  </si>
  <si>
    <t>Episode 3</t>
  </si>
  <si>
    <t>Episode 4</t>
  </si>
  <si>
    <t>The Smugglers</t>
  </si>
  <si>
    <t>The Tenth Planet</t>
  </si>
  <si>
    <t>The Power of the Daleks</t>
  </si>
  <si>
    <t>The Highlanders</t>
  </si>
  <si>
    <t>The Underwater Menace</t>
  </si>
  <si>
    <t>The Moonbase</t>
  </si>
  <si>
    <t>The Macra Terror</t>
  </si>
  <si>
    <t>The Faceless Ones</t>
  </si>
  <si>
    <t>The Evil of the Daleks</t>
  </si>
  <si>
    <t>Episode One</t>
  </si>
  <si>
    <t>Episode Two</t>
  </si>
  <si>
    <t>Episode Three</t>
  </si>
  <si>
    <t>Episode Four</t>
  </si>
  <si>
    <t>Episode Five</t>
  </si>
  <si>
    <t>Episode Six</t>
  </si>
  <si>
    <t>Episode 5</t>
  </si>
  <si>
    <t>Episode 6</t>
  </si>
  <si>
    <t>Episode 7</t>
  </si>
  <si>
    <t>The Tomb of the Cybermen</t>
  </si>
  <si>
    <t>The Abominable Snowmen</t>
  </si>
  <si>
    <t>The Ice Warriors</t>
  </si>
  <si>
    <t>The Enemy of the World</t>
  </si>
  <si>
    <t>The Web of Fear</t>
  </si>
  <si>
    <t>Fury from the Deep</t>
  </si>
  <si>
    <t>The Wheel in Space</t>
  </si>
  <si>
    <t>One</t>
  </si>
  <si>
    <t>Two</t>
  </si>
  <si>
    <t>Three</t>
  </si>
  <si>
    <t>Four</t>
  </si>
  <si>
    <t>Five</t>
  </si>
  <si>
    <t>Six</t>
  </si>
  <si>
    <t>The Dominators</t>
  </si>
  <si>
    <t>The Mind Robber</t>
  </si>
  <si>
    <t>The Invasion</t>
  </si>
  <si>
    <t>The Krotons</t>
  </si>
  <si>
    <t>The Seeds of Death</t>
  </si>
  <si>
    <t>The Space Pirates</t>
  </si>
  <si>
    <t>The War Games</t>
  </si>
  <si>
    <t>Episode Seven</t>
  </si>
  <si>
    <t>Episode Eight</t>
  </si>
  <si>
    <t>Episode Nine</t>
  </si>
  <si>
    <t>Episode Ten</t>
  </si>
  <si>
    <t>Part 1</t>
  </si>
  <si>
    <t>Spyfall</t>
  </si>
  <si>
    <t>Spearhead from Space</t>
  </si>
  <si>
    <t>Doctor Who and the Silurians</t>
  </si>
  <si>
    <t>The Ambassadors of Death</t>
  </si>
  <si>
    <t>Terror of the Autons</t>
  </si>
  <si>
    <t>The Mind of Evil</t>
  </si>
  <si>
    <t>The Claws of Axos</t>
  </si>
  <si>
    <t>Colony in Space</t>
  </si>
  <si>
    <t>Day of the Daleks</t>
  </si>
  <si>
    <t>The Curse of Peladon</t>
  </si>
  <si>
    <t>The Sea Devils</t>
  </si>
  <si>
    <t>The Mutants</t>
  </si>
  <si>
    <t>The Time Monster</t>
  </si>
  <si>
    <t>The Three Doctors</t>
  </si>
  <si>
    <t>Carnival of Monsters</t>
  </si>
  <si>
    <t>Frontier in Space</t>
  </si>
  <si>
    <t>Planet of the Daleks</t>
  </si>
  <si>
    <t>The Green Death</t>
  </si>
  <si>
    <t>The Time Warrior</t>
  </si>
  <si>
    <t>Invasion of the Dinosaurs</t>
  </si>
  <si>
    <t>Death to the Daleks</t>
  </si>
  <si>
    <t>The Monster of Peladon</t>
  </si>
  <si>
    <t>Planet of the Spiders</t>
  </si>
  <si>
    <t>Part Five</t>
  </si>
  <si>
    <t>Part Six</t>
  </si>
  <si>
    <t>Robot</t>
  </si>
  <si>
    <t>The Ark in Space</t>
  </si>
  <si>
    <t>The Sontaran Experiment</t>
  </si>
  <si>
    <t>Genesis of the Daleks</t>
  </si>
  <si>
    <t>Revenge of the Cybermen</t>
  </si>
  <si>
    <t>Terror of the Zygons</t>
  </si>
  <si>
    <t>Planet of Evil</t>
  </si>
  <si>
    <t>Pyramids of Mars</t>
  </si>
  <si>
    <t>The Android Invasion</t>
  </si>
  <si>
    <t>The Brain of Morbius</t>
  </si>
  <si>
    <t>The Seeds of Doom</t>
  </si>
  <si>
    <t>The Masque of Mandragora</t>
  </si>
  <si>
    <t>The Hand of Fear</t>
  </si>
  <si>
    <t>The Deadly Assassin</t>
  </si>
  <si>
    <t>The Face of Evil</t>
  </si>
  <si>
    <t>The Robots of Death</t>
  </si>
  <si>
    <t>The Talons of Weng-Chiang</t>
  </si>
  <si>
    <t>The Daemons</t>
  </si>
  <si>
    <t>Horror of Fang Rock</t>
  </si>
  <si>
    <t>The Invisible Enemy</t>
  </si>
  <si>
    <t>Image of the Fendahl</t>
  </si>
  <si>
    <t>The Sun Makers</t>
  </si>
  <si>
    <t>Underworld</t>
  </si>
  <si>
    <t>The Invasion of Time</t>
  </si>
  <si>
    <t>The Ribos Operation</t>
  </si>
  <si>
    <t>The Pirate Planet</t>
  </si>
  <si>
    <t>The Stones of Blood</t>
  </si>
  <si>
    <t>The Androids of Tara</t>
  </si>
  <si>
    <t>The Power of Kroll</t>
  </si>
  <si>
    <t>The Armageddon Factor</t>
  </si>
  <si>
    <t>Destiny of the Daleks</t>
  </si>
  <si>
    <t>City of Death</t>
  </si>
  <si>
    <t>The Creature from the Pit</t>
  </si>
  <si>
    <t>Nightmare of Eden</t>
  </si>
  <si>
    <t>The Horns of Nimon</t>
  </si>
  <si>
    <t>The Leisure Hive</t>
  </si>
  <si>
    <t>Meglos</t>
  </si>
  <si>
    <t>Full Circle</t>
  </si>
  <si>
    <t>State of Decay</t>
  </si>
  <si>
    <t>Warriors' Gate</t>
  </si>
  <si>
    <t>The Keeper of Traken</t>
  </si>
  <si>
    <t>Logopolis</t>
  </si>
  <si>
    <t>Castrovalva</t>
  </si>
  <si>
    <t>Four to Doomsday</t>
  </si>
  <si>
    <t>Kinda</t>
  </si>
  <si>
    <t>The Visitation</t>
  </si>
  <si>
    <t>Black Orchid</t>
  </si>
  <si>
    <t>Earthshock</t>
  </si>
  <si>
    <t>Time-Flight</t>
  </si>
  <si>
    <t>Arc of Infinity</t>
  </si>
  <si>
    <t>Snakedance</t>
  </si>
  <si>
    <t>Mawdryn Undead</t>
  </si>
  <si>
    <t>Terminus</t>
  </si>
  <si>
    <t>Enlightenment</t>
  </si>
  <si>
    <t>The King's Demons</t>
  </si>
  <si>
    <t>The Five Doctors</t>
  </si>
  <si>
    <t>Warriors of the Deep</t>
  </si>
  <si>
    <t>The Awakening</t>
  </si>
  <si>
    <t>Frontios</t>
  </si>
  <si>
    <t>Resurrection of the Daleks</t>
  </si>
  <si>
    <t>Planet of Fire</t>
  </si>
  <si>
    <t>The Caves of Androzani</t>
  </si>
  <si>
    <t>The Twin Dilemma</t>
  </si>
  <si>
    <t>Attack of the Cybermen</t>
  </si>
  <si>
    <t>Vengeance on Varos</t>
  </si>
  <si>
    <t>The Mark of the Rani</t>
  </si>
  <si>
    <t>The Two Doctors</t>
  </si>
  <si>
    <t>Timelash</t>
  </si>
  <si>
    <t>Revelation of the Daleks</t>
  </si>
  <si>
    <t>The Mysterious Planet</t>
  </si>
  <si>
    <t>Mindwarp</t>
  </si>
  <si>
    <t>Terror of the Vervoids</t>
  </si>
  <si>
    <t>The Ultimate Foe</t>
  </si>
  <si>
    <t>The Trial of a Time Lord - Part One</t>
  </si>
  <si>
    <t>The Trial of a Time Lord - Part Two</t>
  </si>
  <si>
    <t>The Trial of a Time Lord - Part Three</t>
  </si>
  <si>
    <t>The Trial of a Time Lord - Part Four</t>
  </si>
  <si>
    <t>The Trial of a Time Lord - Part Five</t>
  </si>
  <si>
    <t>The Trial of a Time Lord - Part Six</t>
  </si>
  <si>
    <t>The Trial of a Time Lord - Part Seven</t>
  </si>
  <si>
    <t>The Trial of a Time Lord - Part Eight</t>
  </si>
  <si>
    <t>The Trial of a Time Lord - Part Nine</t>
  </si>
  <si>
    <t>The Trial of a Time Lord - Part Ten</t>
  </si>
  <si>
    <t>The Trial of a Time Lord - Part Eleven</t>
  </si>
  <si>
    <t>The Trial of a Time Lord - Part Twelve</t>
  </si>
  <si>
    <t>The Trial of a Time Lord - Part Fourteen</t>
  </si>
  <si>
    <t>The Trial of a Time Lord - Part Thirteen</t>
  </si>
  <si>
    <t>Overnight not available: Figure taken from www.doctorwhonews.net</t>
  </si>
  <si>
    <t>* Inconsistency: Listing vs Details (9.14m vs 9.1m)</t>
  </si>
  <si>
    <t>* Overnight not available: Estimate based on season average delta (0.52m) * Inconsistency: Listing vs Details (8.7m vs 8.71m)</t>
  </si>
  <si>
    <t>* Inconsistency: Listing vs Details (6.4m vs 5.4m)</t>
  </si>
  <si>
    <t>* Inconsistency: Listing vs Details (9.5m vs 8.5m)</t>
  </si>
  <si>
    <t>* Inconsistency: Listing vs Details (5.4m vs 5.5m)</t>
  </si>
  <si>
    <t>* Inconsistency: Listing vs Details (7.7m vs 7.1m)</t>
  </si>
  <si>
    <t>* Inconsistency: Listing vs Details (8.9m vs 8.8m)</t>
  </si>
  <si>
    <t>* Inconsistency: Listing vs Details (5.3m vs 5.2m)</t>
  </si>
  <si>
    <t>* Inconsistency: Listing vs Details (4.8m vs 4.9m)</t>
  </si>
  <si>
    <t>* Overnight not available: Estimate based on season average delta (0.65m)</t>
  </si>
  <si>
    <t>* Inconsistency: Listing vs Details (8.63m vs 8.4m)</t>
  </si>
  <si>
    <t>* Overnight not available: Estimate based on season average delta (0.51m)</t>
  </si>
  <si>
    <t>* Overnight not available: Estimate based on season average delta (0.51m) * Inconsistency: Listing vs Details (8.31m vs 8.3m)</t>
  </si>
  <si>
    <t>* Overnight not available: Estimate based on season average delta (0.52m) * Inconsistency: Listing vs Details (7.23m vs 7.2m)</t>
  </si>
  <si>
    <t>* Overnight not available: Estimate based on season average delta (0.52m)</t>
  </si>
  <si>
    <t>* Inconsistency: Listing vs Details (7.51m vs 7.57m)</t>
  </si>
  <si>
    <t>* Inconsistency: Listing vs Details (6.36m vs 6.35m)</t>
  </si>
  <si>
    <t>* Inconsistency: Listing vs Details (5.13m vs 5.10m)</t>
  </si>
  <si>
    <t>* Inconsistency: Listing vs Details (4.7m vs 4.67m)</t>
  </si>
  <si>
    <t>* Inconsistency: Listing vs Details (4.4m vs 4.39m)</t>
  </si>
  <si>
    <t>* Inconsistency: Listing vs Details (5.3m vs 5.295m)</t>
  </si>
  <si>
    <t>* Inconsistency: Listing vs Details (9.75m vs 9.54m)</t>
  </si>
  <si>
    <t>* Inconsistency: Listing vs Details (10.09m vs 10.08m)</t>
  </si>
  <si>
    <t>* Inconsistency: Listing vs Details (8.2m vs 8.21m)</t>
  </si>
  <si>
    <t>* Inconsistency: Listing vs Details (8.5m vs 8.495m)</t>
  </si>
  <si>
    <t>* Inconsistency: Listing vs Details (6.7m vs 6.696m)</t>
  </si>
  <si>
    <t>Movie</t>
  </si>
  <si>
    <t>Number</t>
  </si>
  <si>
    <t>StoryInSeason</t>
  </si>
  <si>
    <t>StoryTitle</t>
  </si>
  <si>
    <t>PartInStory</t>
  </si>
  <si>
    <t>PartTitle</t>
  </si>
  <si>
    <t>OriginalAirDate</t>
  </si>
  <si>
    <t>PopulationFactor</t>
  </si>
  <si>
    <t>CurrentPopulation</t>
  </si>
  <si>
    <t>Id</t>
  </si>
  <si>
    <t>EpisodeFormatId</t>
  </si>
  <si>
    <t>Description</t>
  </si>
  <si>
    <t>EpisodeFormatDescription</t>
  </si>
  <si>
    <t>SeasonFormatDescription</t>
  </si>
  <si>
    <t>SeasonFormatId</t>
  </si>
  <si>
    <t>* Overnight not available: Estimate based on season average delta (0.97m)</t>
  </si>
  <si>
    <t>OvernightRatings</t>
  </si>
  <si>
    <t>ConsolidatedRatings</t>
  </si>
  <si>
    <t>ExtendedRatings</t>
  </si>
  <si>
    <t>PopulationAdjustedOvernightRatings</t>
  </si>
  <si>
    <t>PopulationAdjustedConsolidatedRatings</t>
  </si>
  <si>
    <t>PopulationAdjustedExtendedRatings</t>
  </si>
  <si>
    <t>Projection only</t>
  </si>
  <si>
    <t>Runtime</t>
  </si>
  <si>
    <t>Classic</t>
  </si>
  <si>
    <t>New</t>
  </si>
  <si>
    <t>Movie/Universal</t>
  </si>
  <si>
    <t>New/Disney</t>
  </si>
  <si>
    <t>EraDescription</t>
  </si>
  <si>
    <t>EraId</t>
  </si>
  <si>
    <t>WikiUrl</t>
  </si>
  <si>
    <t>https://en.wikipedia.org/wiki/An_Unearthly_Child</t>
  </si>
  <si>
    <t>https://en.wikipedia.org/wiki/The_Daleks</t>
  </si>
  <si>
    <t>https://en.wikipedia.org/wiki/The_Edge_of_Destruction</t>
  </si>
  <si>
    <t>https://en.wikipedia.org/wiki/Marco_Polo_(Doctor_Who)</t>
  </si>
  <si>
    <t>https://en.wikipedia.org/wiki/The_Keys_of_Marinus</t>
  </si>
  <si>
    <t>https://en.wikipedia.org/wiki/The_Aztecs_(Doctor_Who)</t>
  </si>
  <si>
    <t>https://en.wikipedia.org/wiki/The_Sensorites</t>
  </si>
  <si>
    <t>https://en.wikipedia.org/wiki/The_Reign_of_Terror_(Doctor_Who)</t>
  </si>
  <si>
    <t>https://en.wikipedia.org/wiki/Planet_of_Giants</t>
  </si>
  <si>
    <t>https://en.wikipedia.org/wiki/The_Dalek_Invasion_of_Earth</t>
  </si>
  <si>
    <t>https://en.wikipedia.org/wiki/The_Rescue_(Doctor_Who)</t>
  </si>
  <si>
    <t>https://en.wikipedia.org/wiki/The_Romans_(Doctor_Who)</t>
  </si>
  <si>
    <t>https://en.wikipedia.org/wiki/The_Web_Planet</t>
  </si>
  <si>
    <t>https://en.wikipedia.org/wiki/The_Crusade_(Doctor_Who)</t>
  </si>
  <si>
    <t>https://en.wikipedia.org/wiki/The_Space_Museum</t>
  </si>
  <si>
    <t>https://en.wikipedia.org/wiki/The_Chase_(Doctor_Who)</t>
  </si>
  <si>
    <t>https://en.wikipedia.org/wiki/The_Time_Meddler</t>
  </si>
  <si>
    <t>https://en.wikipedia.org/wiki/Galaxy_4</t>
  </si>
  <si>
    <t>https://en.wikipedia.org/wiki/Mission_to_the_Unknown</t>
  </si>
  <si>
    <t>https://en.wikipedia.org/wiki/The_Myth_Makers</t>
  </si>
  <si>
    <t>https://en.wikipedia.org/wiki/The_Daleks%27_Master_Plan</t>
  </si>
  <si>
    <t>https://en.wikipedia.org/wiki/The_Massacre_(Doctor_Who)</t>
  </si>
  <si>
    <t>https://en.wikipedia.org/wiki/The_Ark_(Doctor_Who)</t>
  </si>
  <si>
    <t>https://en.wikipedia.org/wiki/The_Celestial_Toymaker</t>
  </si>
  <si>
    <t>https://en.wikipedia.org/wiki/The_Gunfighters</t>
  </si>
  <si>
    <t>https://en.wikipedia.org/wiki/The_Savages_(Doctor_Who)</t>
  </si>
  <si>
    <t>https://en.wikipedia.org/wiki/The_War_Machines</t>
  </si>
  <si>
    <t>https://en.wikipedia.org/wiki/The_Smugglers</t>
  </si>
  <si>
    <t>https://en.wikipedia.org/wiki/The_Tenth_Planet</t>
  </si>
  <si>
    <t>https://en.wikipedia.org/wiki/The_Power_of_the_Daleks</t>
  </si>
  <si>
    <t>https://en.wikipedia.org/wiki/The_Highlanders_(Doctor_Who)</t>
  </si>
  <si>
    <t>https://en.wikipedia.org/wiki/The_Underwater_Menace</t>
  </si>
  <si>
    <t>https://en.wikipedia.org/wiki/The_Moonbase</t>
  </si>
  <si>
    <t>https://en.wikipedia.org/wiki/The_Macra_Terror</t>
  </si>
  <si>
    <t>https://en.wikipedia.org/wiki/The_Faceless_Ones</t>
  </si>
  <si>
    <t>https://en.wikipedia.org/wiki/The_Evil_of_the_Daleks</t>
  </si>
  <si>
    <t>https://en.wikipedia.org/wiki/The_Tomb_of_the_Cybermen</t>
  </si>
  <si>
    <t>https://en.wikipedia.org/wiki/The_Abominable_Snowmen</t>
  </si>
  <si>
    <t>https://en.wikipedia.org/wiki/The_Ice_Warriors</t>
  </si>
  <si>
    <t>https://en.wikipedia.org/wiki/The_Enemy_of_the_World</t>
  </si>
  <si>
    <t>https://en.wikipedia.org/wiki/The_Web_of_Fear</t>
  </si>
  <si>
    <t>https://en.wikipedia.org/wiki/Fury_from_the_Deep</t>
  </si>
  <si>
    <t>https://en.wikipedia.org/wiki/The_Wheel_in_Space</t>
  </si>
  <si>
    <t>https://en.wikipedia.org/wiki/The_Dominators</t>
  </si>
  <si>
    <t>https://en.wikipedia.org/wiki/The_Mind_Robber</t>
  </si>
  <si>
    <t>https://en.wikipedia.org/wiki/The_Invasion_(Doctor_Who)</t>
  </si>
  <si>
    <t>https://en.wikipedia.org/wiki/The_Krotons</t>
  </si>
  <si>
    <t>https://en.wikipedia.org/wiki/The_Seeds_of_Death</t>
  </si>
  <si>
    <t>https://en.wikipedia.org/wiki/The_Space_Pirates</t>
  </si>
  <si>
    <t>https://en.wikipedia.org/wiki/The_War_Games</t>
  </si>
  <si>
    <t>https://en.wikipedia.org/wiki/Spearhead_from_Space</t>
  </si>
  <si>
    <t>https://en.wikipedia.org/wiki/Doctor_Who_and_the_Silurians</t>
  </si>
  <si>
    <t>https://en.wikipedia.org/wiki/The_Ambassadors_of_Death</t>
  </si>
  <si>
    <t>https://en.wikipedia.org/wiki/Inferno_(Doctor_Who)</t>
  </si>
  <si>
    <t>https://en.wikipedia.org/wiki/Terror_of_the_Autons</t>
  </si>
  <si>
    <t>https://en.wikipedia.org/wiki/The_Mind_of_Evil</t>
  </si>
  <si>
    <t>https://en.wikipedia.org/wiki/The_Claws_of_Axos</t>
  </si>
  <si>
    <t>https://en.wikipedia.org/wiki/Colony_in_Space</t>
  </si>
  <si>
    <t>https://en.wikipedia.org/wiki/The_D%C3%A6mons</t>
  </si>
  <si>
    <t>https://en.wikipedia.org/wiki/Day_of_the_Daleks</t>
  </si>
  <si>
    <t>https://en.wikipedia.org/wiki/The_Curse_of_Peladon</t>
  </si>
  <si>
    <t>https://en.wikipedia.org/wiki/The_Sea_Devils</t>
  </si>
  <si>
    <t>https://en.wikipedia.org/wiki/The_Mutants</t>
  </si>
  <si>
    <t>https://en.wikipedia.org/wiki/The_Time_Monster</t>
  </si>
  <si>
    <t>https://en.wikipedia.org/wiki/The_Three_Doctors_(Doctor_Who)</t>
  </si>
  <si>
    <t>https://en.wikipedia.org/wiki/Carnival_of_Monsters</t>
  </si>
  <si>
    <t>https://en.wikipedia.org/wiki/Frontier_in_Space</t>
  </si>
  <si>
    <t>https://en.wikipedia.org/wiki/Planet_of_the_Daleks</t>
  </si>
  <si>
    <t>https://en.wikipedia.org/wiki/The_Green_Death</t>
  </si>
  <si>
    <t>https://en.wikipedia.org/wiki/The_Time_Warrior</t>
  </si>
  <si>
    <t>https://en.wikipedia.org/wiki/Invasion_of_the_Dinosaurs</t>
  </si>
  <si>
    <t>https://en.wikipedia.org/wiki/Death_to_the_Daleks</t>
  </si>
  <si>
    <t>https://en.wikipedia.org/wiki/The_Monster_of_Peladon</t>
  </si>
  <si>
    <t>https://en.wikipedia.org/wiki/Planet_of_the_Spiders</t>
  </si>
  <si>
    <t>https://en.wikipedia.org/wiki/The_Church_on_Ruby_Road</t>
  </si>
  <si>
    <t>https://en.wikipedia.org/wiki/Space_Babies</t>
  </si>
  <si>
    <t>https://en.wikipedia.org/wiki/The_Devil%27s_Chord</t>
  </si>
  <si>
    <t>https://en.wikipedia.org/wiki/Boom_(Doctor_Who)</t>
  </si>
  <si>
    <t>https://en.wikipedia.org/wiki/73_Yards</t>
  </si>
  <si>
    <t>https://en.wikipedia.org/wiki/Dot_and_Bubble</t>
  </si>
  <si>
    <t>https://en.wikipedia.org/wiki/Rogue_(Doctor_Who)</t>
  </si>
  <si>
    <t>https://en.wikipedia.org/wiki/The_Legend_of_Ruby_Sunday</t>
  </si>
  <si>
    <t>https://en.wikipedia.org/wiki/Empire_of_Death_(Doctor_Who_episode)</t>
  </si>
  <si>
    <t>https://en.wikipedia.org/wiki/Robot_(Doctor_Who)</t>
  </si>
  <si>
    <t>https://en.wikipedia.org/wiki/The_Ark_in_Space</t>
  </si>
  <si>
    <t>https://en.wikipedia.org/wiki/The_Sontaran_Experiment</t>
  </si>
  <si>
    <t>https://en.wikipedia.org/wiki/Genesis_of_the_Daleks</t>
  </si>
  <si>
    <t>https://en.wikipedia.org/wiki/Revenge_of_the_Cybermen</t>
  </si>
  <si>
    <t>https://en.wikipedia.org/wiki/Terror_of_the_Zygons</t>
  </si>
  <si>
    <t>https://en.wikipedia.org/wiki/Planet_of_Evil</t>
  </si>
  <si>
    <t>https://en.wikipedia.org/wiki/Pyramids_of_Mars</t>
  </si>
  <si>
    <t>https://en.wikipedia.org/wiki/The_Android_Invasion</t>
  </si>
  <si>
    <t>https://en.wikipedia.org/wiki/The_Brain_of_Morbius</t>
  </si>
  <si>
    <t>https://en.wikipedia.org/wiki/The_Seeds_of_Doom</t>
  </si>
  <si>
    <t>https://en.wikipedia.org/wiki/The_Masque_of_Mandragora</t>
  </si>
  <si>
    <t>https://en.wikipedia.org/wiki/The_Hand_of_Fear</t>
  </si>
  <si>
    <t>https://en.wikipedia.org/wiki/The_Deadly_Assassin</t>
  </si>
  <si>
    <t>https://en.wikipedia.org/wiki/The_Face_of_Evil</t>
  </si>
  <si>
    <t>https://en.wikipedia.org/wiki/The_Robots_of_Death</t>
  </si>
  <si>
    <t>https://en.wikipedia.org/wiki/The_Talons_of_Weng-Chiang</t>
  </si>
  <si>
    <t>https://en.wikipedia.org/wiki/Horror_of_Fang_Rock</t>
  </si>
  <si>
    <t>https://en.wikipedia.org/wiki/The_Invisible_Enemy_(Doctor_Who)</t>
  </si>
  <si>
    <t>https://en.wikipedia.org/wiki/Image_of_the_Fendahl</t>
  </si>
  <si>
    <t>https://en.wikipedia.org/wiki/The_Sun_Makers</t>
  </si>
  <si>
    <t>https://en.wikipedia.org/wiki/Underworld_(Doctor_Who)</t>
  </si>
  <si>
    <t>https://en.wikipedia.org/wiki/The_Invasion_of_Time</t>
  </si>
  <si>
    <t>https://en.wikipedia.org/wiki/The_Ribos_Operation</t>
  </si>
  <si>
    <t>https://en.wikipedia.org/wiki/The_Pirate_Planet</t>
  </si>
  <si>
    <t>https://en.wikipedia.org/wiki/The_Stones_of_Blood</t>
  </si>
  <si>
    <t>https://en.wikipedia.org/wiki/The_Androids_of_Tara</t>
  </si>
  <si>
    <t>https://en.wikipedia.org/wiki/The_Power_of_Kroll</t>
  </si>
  <si>
    <t>https://en.wikipedia.org/wiki/The_Armageddon_Factor</t>
  </si>
  <si>
    <t>https://en.wikipedia.org/wiki/Destiny_of_the_Daleks</t>
  </si>
  <si>
    <t>https://en.wikipedia.org/wiki/City_of_Death</t>
  </si>
  <si>
    <t>https://en.wikipedia.org/wiki/The_Creature_from_the_Pit</t>
  </si>
  <si>
    <t>https://en.wikipedia.org/wiki/Nightmare_of_Eden</t>
  </si>
  <si>
    <t>https://en.wikipedia.org/wiki/The_Horns_of_Nimon</t>
  </si>
  <si>
    <t>https://en.wikipedia.org/wiki/The_Leisure_Hive</t>
  </si>
  <si>
    <t>https://en.wikipedia.org/wiki/Meglos</t>
  </si>
  <si>
    <t>https://en.wikipedia.org/wiki/Full_Circle_(Doctor_Who)</t>
  </si>
  <si>
    <t>https://en.wikipedia.org/wiki/State_of_Decay_(Doctor_Who)</t>
  </si>
  <si>
    <t>https://en.wikipedia.org/wiki/Warriors%27_Gate</t>
  </si>
  <si>
    <t>https://en.wikipedia.org/wiki/The_Keeper_of_Traken</t>
  </si>
  <si>
    <t>https://en.wikipedia.org/wiki/Logopolis</t>
  </si>
  <si>
    <t>https://en.wikipedia.org/wiki/Castrovalva_(Doctor_Who)</t>
  </si>
  <si>
    <t>https://en.wikipedia.org/wiki/Four_to_Doomsday</t>
  </si>
  <si>
    <t>https://en.wikipedia.org/wiki/Kinda_(Doctor_Who)</t>
  </si>
  <si>
    <t>https://en.wikipedia.org/wiki/The_Visitation_(Doctor_Who)</t>
  </si>
  <si>
    <t>https://en.wikipedia.org/wiki/Black_Orchid_(Doctor_Who)</t>
  </si>
  <si>
    <t>https://en.wikipedia.org/wiki/Earthshock</t>
  </si>
  <si>
    <t>https://en.wikipedia.org/wiki/Time-Flight</t>
  </si>
  <si>
    <t>https://en.wikipedia.org/wiki/Arc_of_Infinity</t>
  </si>
  <si>
    <t>https://en.wikipedia.org/wiki/Snakedance</t>
  </si>
  <si>
    <t>https://en.wikipedia.org/wiki/Mawdryn_Undead</t>
  </si>
  <si>
    <t>https://en.wikipedia.org/wiki/Terminus_(Doctor_Who)</t>
  </si>
  <si>
    <t>https://en.wikipedia.org/wiki/Enlightenment_(Doctor_Who)</t>
  </si>
  <si>
    <t>https://en.wikipedia.org/wiki/The_King%27s_Demons</t>
  </si>
  <si>
    <t>https://en.wikipedia.org/wiki/The_Five_Doctors</t>
  </si>
  <si>
    <t>https://en.wikipedia.org/wiki/Warriors_of_the_Deep</t>
  </si>
  <si>
    <t>https://en.wikipedia.org/wiki/The_Awakening_(Doctor_Who)</t>
  </si>
  <si>
    <t>https://en.wikipedia.org/wiki/Frontios</t>
  </si>
  <si>
    <t>https://en.wikipedia.org/wiki/Resurrection_of_the_Daleks</t>
  </si>
  <si>
    <t>https://en.wikipedia.org/wiki/Planet_of_Fire</t>
  </si>
  <si>
    <t>https://en.wikipedia.org/wiki/The_Caves_of_Androzani</t>
  </si>
  <si>
    <t>https://en.wikipedia.org/wiki/The_Twin_Dilemma</t>
  </si>
  <si>
    <t>https://en.wikipedia.org/wiki/Attack_of_the_Cybermen</t>
  </si>
  <si>
    <t>https://en.wikipedia.org/wiki/Vengeance_on_Varos</t>
  </si>
  <si>
    <t>https://en.wikipedia.org/wiki/The_Mark_of_the_Rani</t>
  </si>
  <si>
    <t>https://en.wikipedia.org/wiki/The_Two_Doctors</t>
  </si>
  <si>
    <t>https://en.wikipedia.org/wiki/Timelash</t>
  </si>
  <si>
    <t>https://en.wikipedia.org/wiki/Revelation_of_the_Daleks</t>
  </si>
  <si>
    <t>https://en.wikipedia.org/wiki/The_Mysterious_Planet</t>
  </si>
  <si>
    <t>https://en.wikipedia.org/wiki/Mindwarp</t>
  </si>
  <si>
    <t>https://en.wikipedia.org/wiki/Terror_of_the_Vervoids</t>
  </si>
  <si>
    <t>https://en.wikipedia.org/wiki/The_Ultimate_Foe</t>
  </si>
  <si>
    <t>https://en.wikipedia.org/wiki/Time_and_the_Rani</t>
  </si>
  <si>
    <t>https://en.wikipedia.org/wiki/Paradise_Towers</t>
  </si>
  <si>
    <t>https://en.wikipedia.org/wiki/Delta_and_the_Bannermen</t>
  </si>
  <si>
    <t>https://en.wikipedia.org/wiki/Dragonfire_(Doctor_Who)</t>
  </si>
  <si>
    <t>https://en.wikipedia.org/wiki/Remembrance_of_the_Daleks</t>
  </si>
  <si>
    <t>https://en.wikipedia.org/wiki/The_Happiness_Patrol</t>
  </si>
  <si>
    <t>https://en.wikipedia.org/wiki/Silver_Nemesis</t>
  </si>
  <si>
    <t>https://en.wikipedia.org/wiki/The_Greatest_Show_in_the_Galaxy</t>
  </si>
  <si>
    <t>https://en.wikipedia.org/wiki/Battlefield_(Doctor_Who)</t>
  </si>
  <si>
    <t>https://en.wikipedia.org/wiki/Ghost_Light_(Doctor_Who)</t>
  </si>
  <si>
    <t>https://en.wikipedia.org/wiki/The_Curse_of_Fenric</t>
  </si>
  <si>
    <t>https://en.wikipedia.org/wiki/Survival_(Doctor_Who)</t>
  </si>
  <si>
    <t>https://en.wikipedia.org/wiki/Doctor_Who_(film)</t>
  </si>
  <si>
    <t>https://en.wikipedia.org/wiki/Rose_(Doctor_Who_episode)</t>
  </si>
  <si>
    <t>https://en.wikipedia.org/wiki/The_End_of_the_World_(Doctor_Who)</t>
  </si>
  <si>
    <t>https://en.wikipedia.org/wiki/The_Unquiet_Dead</t>
  </si>
  <si>
    <t>https://en.wikipedia.org/wiki/Aliens_of_London</t>
  </si>
  <si>
    <t>https://en.wikipedia.org/wiki/World_War_Three_(Doctor_Who)</t>
  </si>
  <si>
    <t>https://en.wikipedia.org/wiki/Dalek_(Doctor_Who_episode)</t>
  </si>
  <si>
    <t>https://en.wikipedia.org/wiki/The_Long_Game</t>
  </si>
  <si>
    <t>https://en.wikipedia.org/wiki/Father%27s_Day_(Doctor_Who)</t>
  </si>
  <si>
    <t>https://en.wikipedia.org/wiki/The_Empty_Child</t>
  </si>
  <si>
    <t>https://en.wikipedia.org/wiki/The_Doctor_Dances</t>
  </si>
  <si>
    <t>https://en.wikipedia.org/wiki/Boom_Town_(Doctor_Who)</t>
  </si>
  <si>
    <t>https://en.wikipedia.org/wiki/Bad_Wolf</t>
  </si>
  <si>
    <t>https://en.wikipedia.org/wiki/The_Parting_of_the_Ways</t>
  </si>
  <si>
    <t>https://en.wikipedia.org/wiki/The_Christmas_Invasion</t>
  </si>
  <si>
    <t>https://en.wikipedia.org/wiki/New_Earth_(Doctor_Who)</t>
  </si>
  <si>
    <t>https://en.wikipedia.org/wiki/Tooth_and_Claw_(Doctor_Who)</t>
  </si>
  <si>
    <t>https://en.wikipedia.org/wiki/School_Reunion_(Doctor_Who)</t>
  </si>
  <si>
    <t>https://en.wikipedia.org/wiki/The_Girl_in_the_Fireplace</t>
  </si>
  <si>
    <t>https://en.wikipedia.org/wiki/Rise_of_the_Cybermen</t>
  </si>
  <si>
    <t>https://en.wikipedia.org/wiki/The_Age_of_Steel</t>
  </si>
  <si>
    <t>https://en.wikipedia.org/wiki/The_Idiot%27s_Lantern</t>
  </si>
  <si>
    <t>https://en.wikipedia.org/wiki/The_Impossible_Planet</t>
  </si>
  <si>
    <t>https://en.wikipedia.org/wiki/The_Satan_Pit</t>
  </si>
  <si>
    <t>https://en.wikipedia.org/wiki/Love_%26_Monsters_(Doctor_Who)</t>
  </si>
  <si>
    <t>https://en.wikipedia.org/wiki/Fear_Her</t>
  </si>
  <si>
    <t>https://en.wikipedia.org/wiki/Army_of_Ghosts</t>
  </si>
  <si>
    <t>https://en.wikipedia.org/wiki/Doomsday_(Doctor_Who)</t>
  </si>
  <si>
    <t>https://en.wikipedia.org/wiki/The_Runaway_Bride_(Doctor_Who)</t>
  </si>
  <si>
    <t>https://en.wikipedia.org/wiki/Smith_and_Jones_(Doctor_Who)</t>
  </si>
  <si>
    <t>https://en.wikipedia.org/wiki/The_Shakespeare_Code</t>
  </si>
  <si>
    <t>https://en.wikipedia.org/wiki/Gridlock_(Doctor_Who)</t>
  </si>
  <si>
    <t>https://en.wikipedia.org/wiki/Daleks_in_Manhattan</t>
  </si>
  <si>
    <t>https://en.wikipedia.org/wiki/Evolution_of_the_Daleks</t>
  </si>
  <si>
    <t>https://en.wikipedia.org/wiki/The_Lazarus_Experiment</t>
  </si>
  <si>
    <t>https://en.wikipedia.org/wiki/42_(Doctor_Who)</t>
  </si>
  <si>
    <t>https://en.wikipedia.org/wiki/Human_Nature_(Doctor_Who)</t>
  </si>
  <si>
    <t>https://en.wikipedia.org/wiki/The_Family_of_Blood</t>
  </si>
  <si>
    <t>https://en.wikipedia.org/wiki/Blink_(Doctor_Who)</t>
  </si>
  <si>
    <t>https://en.wikipedia.org/wiki/Utopia_(Doctor_Who)</t>
  </si>
  <si>
    <t>https://en.wikipedia.org/wiki/The_Sound_of_Drums</t>
  </si>
  <si>
    <t>https://en.wikipedia.org/wiki/Last_of_the_Time_Lords</t>
  </si>
  <si>
    <t>https://en.wikipedia.org/wiki/Voyage_of_the_Damned_(Doctor_Who)</t>
  </si>
  <si>
    <t>https://en.wikipedia.org/wiki/Partners_in_Crime_(Doctor_Who)</t>
  </si>
  <si>
    <t>https://en.wikipedia.org/wiki/The_Fires_of_Pompeii</t>
  </si>
  <si>
    <t>https://en.wikipedia.org/wiki/Planet_of_the_Ood</t>
  </si>
  <si>
    <t>https://en.wikipedia.org/wiki/The_Sontaran_Stratagem</t>
  </si>
  <si>
    <t>https://en.wikipedia.org/wiki/The_Poison_Sky</t>
  </si>
  <si>
    <t>https://en.wikipedia.org/wiki/The_Doctor%27s_Daughter</t>
  </si>
  <si>
    <t>https://en.wikipedia.org/wiki/The_Unicorn_and_the_Wasp</t>
  </si>
  <si>
    <t>https://en.wikipedia.org/wiki/Silence_in_the_Library</t>
  </si>
  <si>
    <t>https://en.wikipedia.org/wiki/Forest_of_the_Dead</t>
  </si>
  <si>
    <t>https://en.wikipedia.org/wiki/Midnight_(Doctor_Who)</t>
  </si>
  <si>
    <t>https://en.wikipedia.org/wiki/Turn_Left</t>
  </si>
  <si>
    <t>https://en.wikipedia.org/wiki/The_Stolen_Earth</t>
  </si>
  <si>
    <t>https://en.wikipedia.org/wiki/Journey%27s_End_(Doctor_Who)</t>
  </si>
  <si>
    <t>https://en.wikipedia.org/wiki/The_Next_Doctor</t>
  </si>
  <si>
    <t>https://en.wikipedia.org/wiki/Planet_of_the_Dead</t>
  </si>
  <si>
    <t>https://en.wikipedia.org/wiki/The_Waters_of_Mars</t>
  </si>
  <si>
    <t>https://en.wikipedia.org/wiki/The_End_of_Time_(Doctor_Who)</t>
  </si>
  <si>
    <t>https://en.wikipedia.org/wiki/The_Eleventh_Hour_(Doctor_Who)</t>
  </si>
  <si>
    <t>https://en.wikipedia.org/wiki/The_Beast_Below</t>
  </si>
  <si>
    <t>https://en.wikipedia.org/wiki/Victory_of_the_Daleks</t>
  </si>
  <si>
    <t>https://en.wikipedia.org/wiki/The_Time_of_Angels</t>
  </si>
  <si>
    <t>https://en.wikipedia.org/wiki/Flesh_and_Stone</t>
  </si>
  <si>
    <t>https://en.wikipedia.org/wiki/The_Vampires_of_Venice</t>
  </si>
  <si>
    <t>https://en.wikipedia.org/wiki/Amy%27s_Choice</t>
  </si>
  <si>
    <t>https://en.wikipedia.org/wiki/The_Hungry_Earth</t>
  </si>
  <si>
    <t>https://en.wikipedia.org/wiki/Cold_Blood_(Doctor_Who)</t>
  </si>
  <si>
    <t>https://en.wikipedia.org/wiki/Vincent_and_the_Doctor</t>
  </si>
  <si>
    <t>https://en.wikipedia.org/wiki/The_Lodger_(Doctor_Who)</t>
  </si>
  <si>
    <t>https://en.wikipedia.org/wiki/The_Pandorica_Opens</t>
  </si>
  <si>
    <t>https://en.wikipedia.org/wiki/The_Big_Bang_(Doctor_Who)</t>
  </si>
  <si>
    <t>https://en.wikipedia.org/wiki/A_Christmas_Carol_(Doctor_Who)</t>
  </si>
  <si>
    <t>https://en.wikipedia.org/wiki/The_Impossible_Astronaut</t>
  </si>
  <si>
    <t>https://en.wikipedia.org/wiki/Day_of_the_Moon</t>
  </si>
  <si>
    <t>https://en.wikipedia.org/wiki/The_Curse_of_the_Black_Spot</t>
  </si>
  <si>
    <t>https://en.wikipedia.org/wiki/The_Doctor%27s_Wife</t>
  </si>
  <si>
    <t>https://en.wikipedia.org/wiki/The_Rebel_Flesh</t>
  </si>
  <si>
    <t>https://en.wikipedia.org/wiki/The_Almost_People</t>
  </si>
  <si>
    <t>https://en.wikipedia.org/wiki/A_Good_Man_Goes_to_War</t>
  </si>
  <si>
    <t>https://en.wikipedia.org/wiki/Let%27s_Kill_Hitler</t>
  </si>
  <si>
    <t>https://en.wikipedia.org/wiki/Night_Terrors_(Doctor_Who)</t>
  </si>
  <si>
    <t>https://en.wikipedia.org/wiki/The_Girl_Who_Waited</t>
  </si>
  <si>
    <t>https://en.wikipedia.org/wiki/The_God_Complex</t>
  </si>
  <si>
    <t>https://en.wikipedia.org/wiki/Closing_Time_(Doctor_Who)</t>
  </si>
  <si>
    <t>https://en.wikipedia.org/wiki/The_Wedding_of_River_Song</t>
  </si>
  <si>
    <t>https://en.wikipedia.org/wiki/The_Doctor,_the_Widow_and_the_Wardrobe</t>
  </si>
  <si>
    <t>https://en.wikipedia.org/wiki/Asylum_of_the_Daleks</t>
  </si>
  <si>
    <t>https://en.wikipedia.org/wiki/Dinosaurs_on_a_Spaceship</t>
  </si>
  <si>
    <t>https://en.wikipedia.org/wiki/A_Town_Called_Mercy</t>
  </si>
  <si>
    <t>https://en.wikipedia.org/wiki/The_Power_of_Three_(Doctor_Who)</t>
  </si>
  <si>
    <t>https://en.wikipedia.org/wiki/The_Angels_Take_Manhattan</t>
  </si>
  <si>
    <t>https://en.wikipedia.org/wiki/The_Snowmen</t>
  </si>
  <si>
    <t>https://en.wikipedia.org/wiki/The_Bells_of_Saint_John</t>
  </si>
  <si>
    <t>https://en.wikipedia.org/wiki/The_Rings_of_Akhaten</t>
  </si>
  <si>
    <t>https://en.wikipedia.org/wiki/Cold_War_(Doctor_Who)</t>
  </si>
  <si>
    <t>https://en.wikipedia.org/wiki/Hide_(Doctor_Who)</t>
  </si>
  <si>
    <t>https://en.wikipedia.org/wiki/Journey_to_the_Centre_of_the_TARDIS</t>
  </si>
  <si>
    <t>https://en.wikipedia.org/wiki/The_Crimson_Horror</t>
  </si>
  <si>
    <t>https://en.wikipedia.org/wiki/Nightmare_in_Silver</t>
  </si>
  <si>
    <t>https://en.wikipedia.org/wiki/The_Name_of_the_Doctor</t>
  </si>
  <si>
    <t>https://en.wikipedia.org/wiki/The_Day_of_the_Doctor</t>
  </si>
  <si>
    <t>https://en.wikipedia.org/wiki/The_Time_of_the_Doctor</t>
  </si>
  <si>
    <t>https://en.wikipedia.org/wiki/Deep_Breath_(Doctor_Who)</t>
  </si>
  <si>
    <t>https://en.wikipedia.org/wiki/Into_the_Dalek</t>
  </si>
  <si>
    <t>https://en.wikipedia.org/wiki/Robot_of_Sherwood</t>
  </si>
  <si>
    <t>https://en.wikipedia.org/wiki/Listen_(Doctor_Who)</t>
  </si>
  <si>
    <t>https://en.wikipedia.org/wiki/Time_Heist</t>
  </si>
  <si>
    <t>https://en.wikipedia.org/wiki/The_Caretaker_(Doctor_Who)</t>
  </si>
  <si>
    <t>https://en.wikipedia.org/wiki/Kill_the_Moon</t>
  </si>
  <si>
    <t>https://en.wikipedia.org/wiki/Mummy_on_the_Orient_Express</t>
  </si>
  <si>
    <t>https://en.wikipedia.org/wiki/Flatline_(Doctor_Who)</t>
  </si>
  <si>
    <t>https://en.wikipedia.org/wiki/In_the_Forest_of_the_Night</t>
  </si>
  <si>
    <t>https://en.wikipedia.org/wiki/Dark_Water_(Doctor_Who)</t>
  </si>
  <si>
    <t>https://en.wikipedia.org/wiki/Death_in_Heaven</t>
  </si>
  <si>
    <t>https://en.wikipedia.org/wiki/Last_Christmas_(Doctor_Who)</t>
  </si>
  <si>
    <t>https://en.wikipedia.org/wiki/The_Magician%27s_Apprentice_(Doctor_Who)</t>
  </si>
  <si>
    <t>https://en.wikipedia.org/wiki/The_Witch%27s_Familiar</t>
  </si>
  <si>
    <t>https://en.wikipedia.org/wiki/Under_the_Lake</t>
  </si>
  <si>
    <t>https://en.wikipedia.org/wiki/Before_the_Flood_(Doctor_Who)</t>
  </si>
  <si>
    <t>https://en.wikipedia.org/wiki/The_Girl_Who_Died</t>
  </si>
  <si>
    <t>https://en.wikipedia.org/wiki/The_Woman_Who_Lived</t>
  </si>
  <si>
    <t>https://en.wikipedia.org/wiki/The_Zygon_Invasion</t>
  </si>
  <si>
    <t>https://en.wikipedia.org/wiki/The_Zygon_Inversion</t>
  </si>
  <si>
    <t>https://en.wikipedia.org/wiki/Sleep_No_More_(Doctor_Who)</t>
  </si>
  <si>
    <t>https://en.wikipedia.org/wiki/Face_the_Raven</t>
  </si>
  <si>
    <t>https://en.wikipedia.org/wiki/Heaven_Sent_(Doctor_Who)</t>
  </si>
  <si>
    <t>https://en.wikipedia.org/wiki/Hell_Bent_(Doctor_Who)</t>
  </si>
  <si>
    <t>https://en.wikipedia.org/wiki/The_Husbands_of_River_Song</t>
  </si>
  <si>
    <t>https://en.wikipedia.org/wiki/The_Return_of_Doctor_Mysterio</t>
  </si>
  <si>
    <t>https://en.wikipedia.org/wiki/The_Pilot_(Doctor_Who)</t>
  </si>
  <si>
    <t>https://en.wikipedia.org/wiki/Smile_(Doctor_Who)</t>
  </si>
  <si>
    <t>https://en.wikipedia.org/wiki/Thin_Ice_(Doctor_Who_episode)</t>
  </si>
  <si>
    <t>https://en.wikipedia.org/wiki/Knock_Knock_(Doctor_Who)</t>
  </si>
  <si>
    <t>https://en.wikipedia.org/wiki/Oxygen_(Doctor_Who)</t>
  </si>
  <si>
    <t>https://en.wikipedia.org/wiki/Extremis_(Doctor_Who)</t>
  </si>
  <si>
    <t>https://en.wikipedia.org/wiki/The_Pyramid_at_the_End_of_the_World</t>
  </si>
  <si>
    <t>https://en.wikipedia.org/wiki/The_Lie_of_the_Land</t>
  </si>
  <si>
    <t>https://en.wikipedia.org/wiki/Empress_of_Mars</t>
  </si>
  <si>
    <t>https://en.wikipedia.org/wiki/The_Eaters_of_Light</t>
  </si>
  <si>
    <t>https://en.wikipedia.org/wiki/World_Enough_and_Time_(Doctor_Who)</t>
  </si>
  <si>
    <t>https://en.wikipedia.org/wiki/The_Doctor_Falls</t>
  </si>
  <si>
    <t>https://en.wikipedia.org/wiki/Twice_Upon_a_Time_(Doctor_Who)</t>
  </si>
  <si>
    <t>https://en.wikipedia.org/wiki/The_Woman_Who_Fell_to_Earth</t>
  </si>
  <si>
    <t>https://en.wikipedia.org/wiki/The_Ghost_Monument</t>
  </si>
  <si>
    <t>https://en.wikipedia.org/wiki/Rosa_(Doctor_Who)</t>
  </si>
  <si>
    <t>https://en.wikipedia.org/wiki/Arachnids_in_the_UK</t>
  </si>
  <si>
    <t>https://en.wikipedia.org/wiki/The_Tsuranga_Conundrum</t>
  </si>
  <si>
    <t>https://en.wikipedia.org/wiki/Demons_of_the_Punjab</t>
  </si>
  <si>
    <t>https://en.wikipedia.org/wiki/Kerblam!</t>
  </si>
  <si>
    <t>https://en.wikipedia.org/wiki/The_Witchfinders</t>
  </si>
  <si>
    <t>https://en.wikipedia.org/wiki/It_Takes_You_Away</t>
  </si>
  <si>
    <t>https://en.wikipedia.org/wiki/The_Battle_of_Ranskoor_Av_Kolos</t>
  </si>
  <si>
    <t>https://en.wikipedia.org/wiki/Resolution_(Doctor_Who)</t>
  </si>
  <si>
    <t>https://en.wikipedia.org/wiki/Revolution_of_the_Daleks</t>
  </si>
  <si>
    <t>https://en.wikipedia.org/wiki/Spyfall_(Doctor_Who)</t>
  </si>
  <si>
    <t>https://en.wikipedia.org/wiki/Orphan_55</t>
  </si>
  <si>
    <t>https://en.wikipedia.org/wiki/Nikola_Tesla%27s_Night_of_Terror</t>
  </si>
  <si>
    <t>https://en.wikipedia.org/wiki/Fugitive_of_the_Judoon</t>
  </si>
  <si>
    <t>https://en.wikipedia.org/wiki/Praxeus</t>
  </si>
  <si>
    <t>https://en.wikipedia.org/wiki/Can_You_Hear_Me%3F_(Doctor_Who)</t>
  </si>
  <si>
    <t>https://en.wikipedia.org/wiki/The_Haunting_of_Villa_Diodati</t>
  </si>
  <si>
    <t>https://en.wikipedia.org/wiki/Ascension_of_the_Cybermen</t>
  </si>
  <si>
    <t>https://en.wikipedia.org/wiki/The_Timeless_Children</t>
  </si>
  <si>
    <t>https://en.wikipedia.org/wiki/The_Halloween_Apocalypse</t>
  </si>
  <si>
    <t>https://en.wikipedia.org/wiki/War_of_the_Sontarans</t>
  </si>
  <si>
    <t>https://en.wikipedia.org/wiki/Once,_Upon_Time</t>
  </si>
  <si>
    <t>https://en.wikipedia.org/wiki/Village_of_the_Angels</t>
  </si>
  <si>
    <t>https://en.wikipedia.org/wiki/Survivors_of_the_Flux</t>
  </si>
  <si>
    <t>https://en.wikipedia.org/wiki/The_Vanquishers</t>
  </si>
  <si>
    <t>https://en.wikipedia.org/wiki/Eve_of_the_Daleks</t>
  </si>
  <si>
    <t>https://en.wikipedia.org/wiki/Legend_of_the_Sea_Devils</t>
  </si>
  <si>
    <t>https://en.wikipedia.org/wiki/The_Power_of_the_Doctor</t>
  </si>
  <si>
    <t>https://en.wikipedia.org/wiki/The_Star_Beast_(Doctor_Who_episode)</t>
  </si>
  <si>
    <t>https://en.wikipedia.org/wiki/Wild_Blue_Yonder_(Doctor_Who)</t>
  </si>
  <si>
    <t>https://en.wikipedia.org/wiki/The_Giggle</t>
  </si>
  <si>
    <t>Episode</t>
  </si>
  <si>
    <t>WikiFormatId</t>
  </si>
  <si>
    <t>Doctor Who: The Movie</t>
  </si>
  <si>
    <t>WikiFormatDescription</t>
  </si>
  <si>
    <t>Joy to the World</t>
  </si>
  <si>
    <t>https://en.wikipedia.org/wiki/Joy_to_the_World_(Doctor_Who)</t>
  </si>
  <si>
    <t>EpisodeInSeason</t>
  </si>
  <si>
    <t>https://en.wikipedia.org/wiki/The_Robot_Revolution</t>
  </si>
  <si>
    <t>The Robot Revolution</t>
  </si>
  <si>
    <t>Lux</t>
  </si>
  <si>
    <t>https://en.wikipedia.org/wiki/Lux_(Doctor_Who)</t>
  </si>
  <si>
    <t>The Well</t>
  </si>
  <si>
    <t>https://en.wikipedia.org/wiki/The_Well_(Doctor_Who)</t>
  </si>
  <si>
    <t>https://en.wikipedia.org/wiki/Lucky_Day_(Doctor_Who)</t>
  </si>
  <si>
    <t>Lucky Day</t>
  </si>
  <si>
    <t>https://en.wikipedia.org/wiki/The_Story_%26_the_Engine</t>
  </si>
  <si>
    <t>The Story and the Engine</t>
  </si>
  <si>
    <t>The Interstellar Song Contest</t>
  </si>
  <si>
    <t>https://en.wikipedia.org/wiki/The_Interstellar_Song_Contest</t>
  </si>
  <si>
    <t>Wish World</t>
  </si>
  <si>
    <t>https://en.wikipedia.org/wiki/Wish_World</t>
  </si>
  <si>
    <t>The Reality War</t>
  </si>
  <si>
    <t>https://en.wikipedia.org/wiki/The_Reality_War</t>
  </si>
  <si>
    <t>IsMissing</t>
  </si>
  <si>
    <t>Ben Aaronovitch</t>
  </si>
  <si>
    <t>Douglas Adams</t>
  </si>
  <si>
    <t>David Agnew</t>
  </si>
  <si>
    <t>Maxine Alderton</t>
  </si>
  <si>
    <t>Sharma Angel-Walfall</t>
  </si>
  <si>
    <t>Christopher Bailey</t>
  </si>
  <si>
    <t>Bob Baker</t>
  </si>
  <si>
    <t>Pip and Jane Baker</t>
  </si>
  <si>
    <t>Mike Bartlett</t>
  </si>
  <si>
    <t>Christopher H. Bidmead</t>
  </si>
  <si>
    <t>Ian Stuart Black</t>
  </si>
  <si>
    <t>Malorie Blackman</t>
  </si>
  <si>
    <t>Chris Boucher</t>
  </si>
  <si>
    <t>Ian Briggs</t>
  </si>
  <si>
    <t>Johnny Byrne</t>
  </si>
  <si>
    <t>Chris Chibnall</t>
  </si>
  <si>
    <t>Kevin Clarke</t>
  </si>
  <si>
    <t>Barbara Clegg</t>
  </si>
  <si>
    <t>Anthony Coburn</t>
  </si>
  <si>
    <t>Paul Cornell</t>
  </si>
  <si>
    <t>Donald Cotton</t>
  </si>
  <si>
    <t>Frank Cottrell-Boyce</t>
  </si>
  <si>
    <t>Neil Cross</t>
  </si>
  <si>
    <t>Graeme Curry</t>
  </si>
  <si>
    <t>Richard Curtis</t>
  </si>
  <si>
    <t>Russell T Davies</t>
  </si>
  <si>
    <t>Gerry Davis</t>
  </si>
  <si>
    <t>Juno Dawson</t>
  </si>
  <si>
    <t>Terrance Dicks</t>
  </si>
  <si>
    <t>Sarah Dollard</t>
  </si>
  <si>
    <t>Terence Dudley</t>
  </si>
  <si>
    <t>Inua Ellams</t>
  </si>
  <si>
    <t>David Ellis</t>
  </si>
  <si>
    <t>William Emms</t>
  </si>
  <si>
    <t>Paul Erickson</t>
  </si>
  <si>
    <t>David Fisher</t>
  </si>
  <si>
    <t>John Flanagan</t>
  </si>
  <si>
    <t>Phil Ford</t>
  </si>
  <si>
    <t>Neil Gaiman</t>
  </si>
  <si>
    <t>Stephen Gallagher</t>
  </si>
  <si>
    <t>Mark Gatiss</t>
  </si>
  <si>
    <t>Matthew Graham</t>
  </si>
  <si>
    <t>Stephen Greenhorn</t>
  </si>
  <si>
    <t>Peter Grimwade</t>
  </si>
  <si>
    <t>Mervyn Haisman</t>
  </si>
  <si>
    <t>Peter Harness</t>
  </si>
  <si>
    <t>Brian Hayles</t>
  </si>
  <si>
    <t>Kate Herron</t>
  </si>
  <si>
    <t>Ed Hime</t>
  </si>
  <si>
    <t>Robert Holmes</t>
  </si>
  <si>
    <t>Don Houghton</t>
  </si>
  <si>
    <t>Malcolm Hulke</t>
  </si>
  <si>
    <t>Matthew Jacobs</t>
  </si>
  <si>
    <t>Charlene James</t>
  </si>
  <si>
    <t>Elwyn Jones</t>
  </si>
  <si>
    <t>Glyn Jones</t>
  </si>
  <si>
    <t>Matt Jones</t>
  </si>
  <si>
    <t>Malcolm Kohll</t>
  </si>
  <si>
    <t>Henry Lincoln</t>
  </si>
  <si>
    <t>Peter Ling</t>
  </si>
  <si>
    <t>John Lucarotti</t>
  </si>
  <si>
    <t>Tom MacRae</t>
  </si>
  <si>
    <t>Louis Marks</t>
  </si>
  <si>
    <t>Dave Martin</t>
  </si>
  <si>
    <t>Philip Martin</t>
  </si>
  <si>
    <t>Jamie Mathieson</t>
  </si>
  <si>
    <t>Glen McCoy</t>
  </si>
  <si>
    <t>Andrew McCulloch</t>
  </si>
  <si>
    <t>Pete McTighe</t>
  </si>
  <si>
    <t>Nina Metivier</t>
  </si>
  <si>
    <t>Steven Moffat</t>
  </si>
  <si>
    <t>Paula Moore</t>
  </si>
  <si>
    <t>James Moran</t>
  </si>
  <si>
    <t>Rona Munro</t>
  </si>
  <si>
    <t>Terry Nation</t>
  </si>
  <si>
    <t>Peter R. Newman</t>
  </si>
  <si>
    <t>Simon Nye</t>
  </si>
  <si>
    <t>Geoffrey Orme</t>
  </si>
  <si>
    <t>Vinay Patel</t>
  </si>
  <si>
    <t>Kit Pedler</t>
  </si>
  <si>
    <t>Victor Pemberton</t>
  </si>
  <si>
    <t>Marc Platt</t>
  </si>
  <si>
    <t>Eric Pringle</t>
  </si>
  <si>
    <t>Helen Raynor</t>
  </si>
  <si>
    <t>Anthony Read</t>
  </si>
  <si>
    <t>Briony Redman</t>
  </si>
  <si>
    <t>Ella Road</t>
  </si>
  <si>
    <t>Gareth Roberts</t>
  </si>
  <si>
    <t>Eric Saward</t>
  </si>
  <si>
    <t>Lesley Scott</t>
  </si>
  <si>
    <t>Robert Shearman</t>
  </si>
  <si>
    <t>Robert Sloman</t>
  </si>
  <si>
    <t>Andrew Smith</t>
  </si>
  <si>
    <t>Dennis Spooner</t>
  </si>
  <si>
    <t>Anthony Steven</t>
  </si>
  <si>
    <t>Robert Banks Stewart</t>
  </si>
  <si>
    <t>Bill Strutton</t>
  </si>
  <si>
    <t>Keith Temple</t>
  </si>
  <si>
    <t>Steve Thompson</t>
  </si>
  <si>
    <t>Donald Tosh</t>
  </si>
  <si>
    <t>Catherine Tregenna</t>
  </si>
  <si>
    <t>Toby Whithouse</t>
  </si>
  <si>
    <t>Joy Wilkinson</t>
  </si>
  <si>
    <t>Stephen Wyatt</t>
  </si>
  <si>
    <t>David Whitaker</t>
  </si>
  <si>
    <t>Graham Williams</t>
  </si>
  <si>
    <t>Lewis Greifer</t>
  </si>
  <si>
    <t>Derrick Sherwin</t>
  </si>
  <si>
    <t>Barry Letts</t>
  </si>
  <si>
    <t>Norman Ashby</t>
  </si>
  <si>
    <t>Robin Bland</t>
  </si>
  <si>
    <t>Stephen Harris</t>
  </si>
  <si>
    <t>Guy Leopold</t>
  </si>
  <si>
    <t>IsAlias</t>
  </si>
  <si>
    <t>WriterIds</t>
  </si>
  <si>
    <t>Writers</t>
  </si>
  <si>
    <t>WriterAlias</t>
  </si>
  <si>
    <t>48,65</t>
  </si>
  <si>
    <t>(Graham Williams and Anthony Read), (Douglas Adams and Graham Williams, from a story by David Fisher)</t>
  </si>
  <si>
    <t>(Mervyn Haisman and Henry Lincoln)</t>
  </si>
  <si>
    <t>(Terrance Dicks and Robert Holmes)</t>
  </si>
  <si>
    <t>(Lewis Greifer and Robert Holmes)</t>
  </si>
  <si>
    <t>(Barry Letts and Robert Sloman)</t>
  </si>
  <si>
    <t>2,112</t>
  </si>
  <si>
    <t>91,112</t>
  </si>
  <si>
    <t>4</t>
  </si>
  <si>
    <t>4,18</t>
  </si>
  <si>
    <t>5,28</t>
  </si>
  <si>
    <t>7</t>
  </si>
  <si>
    <t>8</t>
  </si>
  <si>
    <t>9</t>
  </si>
  <si>
    <t>8,70</t>
  </si>
  <si>
    <t>10</t>
  </si>
  <si>
    <t>11</t>
  </si>
  <si>
    <t>12</t>
  </si>
  <si>
    <t>31,54</t>
  </si>
  <si>
    <t>15</t>
  </si>
  <si>
    <t>16</t>
  </si>
  <si>
    <t>17</t>
  </si>
  <si>
    <t>18</t>
  </si>
  <si>
    <t>13,18</t>
  </si>
  <si>
    <t>18,85</t>
  </si>
  <si>
    <t>18,75</t>
  </si>
  <si>
    <t>18,58</t>
  </si>
  <si>
    <t>18,93</t>
  </si>
  <si>
    <t>20</t>
  </si>
  <si>
    <t>21</t>
  </si>
  <si>
    <t>32</t>
  </si>
  <si>
    <t>25</t>
  </si>
  <si>
    <t>22</t>
  </si>
  <si>
    <t>23</t>
  </si>
  <si>
    <t>24</t>
  </si>
  <si>
    <t>27</t>
  </si>
  <si>
    <t>28</t>
  </si>
  <si>
    <t>28,40</t>
  </si>
  <si>
    <t>29</t>
  </si>
  <si>
    <t>30</t>
  </si>
  <si>
    <t>41</t>
  </si>
  <si>
    <t>29,86</t>
  </si>
  <si>
    <t>29,59</t>
  </si>
  <si>
    <t>31</t>
  </si>
  <si>
    <t>51</t>
  </si>
  <si>
    <t>33</t>
  </si>
  <si>
    <t>44</t>
  </si>
  <si>
    <t>34</t>
  </si>
  <si>
    <t>36</t>
  </si>
  <si>
    <t>38</t>
  </si>
  <si>
    <t>35,56</t>
  </si>
  <si>
    <t>47</t>
  </si>
  <si>
    <t>49</t>
  </si>
  <si>
    <t>42</t>
  </si>
  <si>
    <t>40,77</t>
  </si>
  <si>
    <t>43</t>
  </si>
  <si>
    <t>45</t>
  </si>
  <si>
    <t>49,77</t>
  </si>
  <si>
    <t>46,54</t>
  </si>
  <si>
    <t>53</t>
  </si>
  <si>
    <t>54</t>
  </si>
  <si>
    <t>56</t>
  </si>
  <si>
    <t>31,56</t>
  </si>
  <si>
    <t>66</t>
  </si>
  <si>
    <t>76</t>
  </si>
  <si>
    <t>86</t>
  </si>
  <si>
    <t>106</t>
  </si>
  <si>
    <t>55</t>
  </si>
  <si>
    <t>60</t>
  </si>
  <si>
    <t>80</t>
  </si>
  <si>
    <t>81</t>
  </si>
  <si>
    <t>91</t>
  </si>
  <si>
    <t>61</t>
  </si>
  <si>
    <t>62</t>
  </si>
  <si>
    <t>64,99</t>
  </si>
  <si>
    <t>67</t>
  </si>
  <si>
    <t>68</t>
  </si>
  <si>
    <t>69</t>
  </si>
  <si>
    <t>71</t>
  </si>
  <si>
    <t>72</t>
  </si>
  <si>
    <t>73</t>
  </si>
  <si>
    <t>75</t>
  </si>
  <si>
    <t>87</t>
  </si>
  <si>
    <t>88</t>
  </si>
  <si>
    <t>89</t>
  </si>
  <si>
    <t>82</t>
  </si>
  <si>
    <t>94</t>
  </si>
  <si>
    <t>95</t>
  </si>
  <si>
    <t>67,107</t>
  </si>
  <si>
    <t>72,77</t>
  </si>
  <si>
    <t>39,74</t>
  </si>
  <si>
    <t>77</t>
  </si>
  <si>
    <t>77,106</t>
  </si>
  <si>
    <t>77,94</t>
  </si>
  <si>
    <t>78</t>
  </si>
  <si>
    <t>98</t>
  </si>
  <si>
    <t>79</t>
  </si>
  <si>
    <t>83</t>
  </si>
  <si>
    <t>84</t>
  </si>
  <si>
    <t>85</t>
  </si>
  <si>
    <t>101</t>
  </si>
  <si>
    <t>97</t>
  </si>
  <si>
    <t>90</t>
  </si>
  <si>
    <t>52,92</t>
  </si>
  <si>
    <t>28,94</t>
  </si>
  <si>
    <t>37,96</t>
  </si>
  <si>
    <t>99</t>
  </si>
  <si>
    <t>100</t>
  </si>
  <si>
    <t>102</t>
  </si>
  <si>
    <t>103</t>
  </si>
  <si>
    <t>104</t>
  </si>
  <si>
    <t>105</t>
  </si>
  <si>
    <t>108</t>
  </si>
  <si>
    <t>109</t>
  </si>
  <si>
    <t>113</t>
  </si>
  <si>
    <t>110</t>
  </si>
  <si>
    <t>111</t>
  </si>
  <si>
    <t>Name</t>
  </si>
  <si>
    <t>WriterAliasId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</si>
</sst>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ABE338"/>
      <name val="Consolas"/>
      <family val="3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3" borderId="0" xfId="0" applyFill="1"/>
    <xf numFmtId="49" fontId="0" fillId="3" borderId="0" xfId="0" applyNumberFormat="1" applyFill="1"/>
    <xf numFmtId="164" fontId="1" fillId="2" borderId="0" xfId="0" applyNumberFormat="1" applyFont="1" applyFill="1"/>
    <xf numFmtId="164" fontId="0" fillId="0" borderId="0" xfId="0" applyNumberFormat="1"/>
    <xf numFmtId="164" fontId="0" fillId="3" borderId="0" xfId="0" applyNumberFormat="1" applyFill="1"/>
    <xf numFmtId="0" fontId="1" fillId="3" borderId="0" xfId="0" applyFont="1" applyFill="1"/>
    <xf numFmtId="0" fontId="0" fillId="4" borderId="0" xfId="0" applyFill="1"/>
    <xf numFmtId="164" fontId="0" fillId="4" borderId="0" xfId="0" applyNumberFormat="1" applyFill="1"/>
    <xf numFmtId="164" fontId="1" fillId="0" borderId="0" xfId="0" applyNumberFormat="1" applyFont="1"/>
    <xf numFmtId="0" fontId="2" fillId="0" borderId="0" xfId="0" applyFont="1" applyAlignment="1">
      <alignment horizontal="left" vertical="center" indent="1"/>
    </xf>
    <xf numFmtId="49" fontId="1" fillId="2" borderId="0" xfId="0" applyNumberFormat="1" applyFont="1" applyFill="1"/>
    <xf numFmtId="49" fontId="1" fillId="0" borderId="0" xfId="0" applyNumberFormat="1" applyFont="1"/>
    <xf numFmtId="49" fontId="0" fillId="0" borderId="0" xfId="0" applyNumberFormat="1"/>
    <xf numFmtId="49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sheetMetadata" Target="metadata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tyles" Target="styles.xml"/><Relationship Id="rId5" Type="http://purl.oclc.org/ooxml/officeDocument/relationships/worksheet" Target="worksheets/sheet5.xml"/><Relationship Id="rId10" Type="http://purl.oclc.org/ooxml/officeDocument/relationships/theme" Target="theme/theme1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calcChain" Target="calcChain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1EB88-18DF-4495-9368-D4C1B5B3A750}">
  <dimension ref="A1:AI896"/>
  <sheetViews>
    <sheetView tabSelected="1" topLeftCell="O1" workbookViewId="0">
      <pane ySplit="1" topLeftCell="A86" activePane="bottomLeft" state="frozen"/>
      <selection pane="bottomLeft" activeCell="S95" sqref="S95"/>
    </sheetView>
  </sheetViews>
  <sheetFormatPr defaultRowHeight="14.4" x14ac:dyDescent="0.55000000000000004"/>
  <cols>
    <col min="1" max="1" width="3.68359375" bestFit="1" customWidth="1"/>
    <col min="2" max="2" width="5.578125" bestFit="1" customWidth="1"/>
    <col min="3" max="3" width="15" bestFit="1" customWidth="1"/>
    <col min="4" max="4" width="16.41796875" bestFit="1" customWidth="1"/>
    <col min="5" max="5" width="25.68359375" bestFit="1" customWidth="1"/>
    <col min="6" max="6" width="7.15625" bestFit="1" customWidth="1"/>
    <col min="7" max="7" width="18" bestFit="1" customWidth="1"/>
    <col min="8" max="8" width="7.578125" bestFit="1" customWidth="1"/>
    <col min="9" max="9" width="15.68359375" bestFit="1" customWidth="1"/>
    <col min="10" max="10" width="24.83984375" bestFit="1" customWidth="1"/>
    <col min="11" max="11" width="5.68359375" bestFit="1" customWidth="1"/>
    <col min="12" max="12" width="14.15625" bestFit="1" customWidth="1"/>
    <col min="13" max="13" width="32.68359375" bestFit="1" customWidth="1"/>
    <col min="14" max="14" width="11" bestFit="1" customWidth="1"/>
    <col min="15" max="15" width="30.26171875" bestFit="1" customWidth="1"/>
    <col min="16" max="16" width="16.68359375" bestFit="1" customWidth="1"/>
    <col min="17" max="17" width="12.83984375" style="6" bestFit="1" customWidth="1"/>
    <col min="18" max="18" width="12.83984375" customWidth="1"/>
    <col min="19" max="19" width="9.41796875" bestFit="1" customWidth="1"/>
    <col min="20" max="20" width="9.41796875" style="15" bestFit="1" customWidth="1"/>
    <col min="21" max="21" width="35.68359375" bestFit="1" customWidth="1"/>
    <col min="22" max="22" width="12.68359375" bestFit="1" customWidth="1"/>
    <col min="23" max="23" width="14.15625" bestFit="1" customWidth="1"/>
    <col min="24" max="24" width="16.68359375" bestFit="1" customWidth="1"/>
    <col min="25" max="25" width="20.15625" bestFit="1" customWidth="1"/>
    <col min="26" max="26" width="16.41796875" bestFit="1" customWidth="1"/>
    <col min="27" max="27" width="35.15625" bestFit="1" customWidth="1"/>
    <col min="28" max="28" width="38.578125" bestFit="1" customWidth="1"/>
    <col min="29" max="29" width="34.83984375" bestFit="1" customWidth="1"/>
    <col min="30" max="30" width="10.68359375" bestFit="1" customWidth="1"/>
    <col min="31" max="31" width="16.41796875" bestFit="1" customWidth="1"/>
    <col min="32" max="32" width="98.68359375" customWidth="1"/>
    <col min="33" max="33" width="13.15625" bestFit="1" customWidth="1"/>
    <col min="34" max="34" width="22.26171875" bestFit="1" customWidth="1"/>
    <col min="35" max="35" width="56" bestFit="1" customWidth="1"/>
  </cols>
  <sheetData>
    <row r="1" spans="1:35" s="2" customFormat="1" x14ac:dyDescent="0.55000000000000004">
      <c r="A1" s="1" t="s">
        <v>555</v>
      </c>
      <c r="B1" s="1" t="s">
        <v>575</v>
      </c>
      <c r="C1" s="1" t="s">
        <v>574</v>
      </c>
      <c r="D1" s="1" t="s">
        <v>556</v>
      </c>
      <c r="E1" s="1" t="s">
        <v>558</v>
      </c>
      <c r="F1" s="1" t="s">
        <v>322</v>
      </c>
      <c r="G1" s="1" t="s">
        <v>19</v>
      </c>
      <c r="H1" s="1" t="s">
        <v>13</v>
      </c>
      <c r="I1" s="1" t="s">
        <v>560</v>
      </c>
      <c r="J1" s="1" t="s">
        <v>559</v>
      </c>
      <c r="K1" s="1" t="s">
        <v>323</v>
      </c>
      <c r="L1" s="1" t="s">
        <v>548</v>
      </c>
      <c r="M1" s="1" t="s">
        <v>549</v>
      </c>
      <c r="N1" s="1" t="s">
        <v>550</v>
      </c>
      <c r="O1" s="1" t="s">
        <v>551</v>
      </c>
      <c r="P1" s="1" t="s">
        <v>927</v>
      </c>
      <c r="Q1" s="5" t="s">
        <v>552</v>
      </c>
      <c r="R1" s="1" t="s">
        <v>569</v>
      </c>
      <c r="S1" s="1" t="s">
        <v>944</v>
      </c>
      <c r="T1" s="13" t="s">
        <v>1059</v>
      </c>
      <c r="U1" s="1" t="s">
        <v>1060</v>
      </c>
      <c r="V1" s="1" t="s">
        <v>1180</v>
      </c>
      <c r="W1" s="1" t="s">
        <v>1061</v>
      </c>
      <c r="X1" s="1" t="s">
        <v>562</v>
      </c>
      <c r="Y1" s="1" t="s">
        <v>563</v>
      </c>
      <c r="Z1" s="1" t="s">
        <v>564</v>
      </c>
      <c r="AA1" s="1" t="s">
        <v>565</v>
      </c>
      <c r="AB1" s="1" t="s">
        <v>566</v>
      </c>
      <c r="AC1" s="1" t="s">
        <v>567</v>
      </c>
      <c r="AD1" s="1" t="s">
        <v>4</v>
      </c>
      <c r="AE1" s="1" t="s">
        <v>553</v>
      </c>
      <c r="AF1" s="1" t="s">
        <v>76</v>
      </c>
      <c r="AG1" s="1" t="s">
        <v>922</v>
      </c>
      <c r="AH1" s="1" t="s">
        <v>924</v>
      </c>
      <c r="AI1" s="1" t="s">
        <v>576</v>
      </c>
    </row>
    <row r="2" spans="1:35" s="2" customFormat="1" x14ac:dyDescent="0.55000000000000004">
      <c r="Q2" s="11"/>
      <c r="T2" s="14"/>
      <c r="AI2"/>
    </row>
    <row r="3" spans="1:35" s="8" customFormat="1" x14ac:dyDescent="0.55000000000000004">
      <c r="A3" s="3">
        <v>1</v>
      </c>
      <c r="B3" s="3">
        <v>1</v>
      </c>
      <c r="C3" s="3" t="str">
        <f>VLOOKUP(B3,Eras!$A$3:$B$999,2,0)</f>
        <v>Classic</v>
      </c>
      <c r="D3" s="3">
        <v>1</v>
      </c>
      <c r="E3" s="3" t="str">
        <f>VLOOKUP(D3,EpisodeFormats!$A$3:$B$999,2,0)</f>
        <v>Series</v>
      </c>
      <c r="F3" s="3">
        <v>1</v>
      </c>
      <c r="G3" s="3" t="str">
        <f>VLOOKUP(F3,Doctors!$A$3:$B$999,2,0)</f>
        <v>William Hartnell</v>
      </c>
      <c r="H3" s="3">
        <v>1</v>
      </c>
      <c r="I3" s="3">
        <v>1</v>
      </c>
      <c r="J3" s="3" t="str">
        <f>VLOOKUP(I3,SeasonFormats!$A$3:$B$999,2,0)</f>
        <v>Season</v>
      </c>
      <c r="K3" s="3">
        <v>1</v>
      </c>
      <c r="L3" s="3">
        <v>1</v>
      </c>
      <c r="M3" s="3" t="s">
        <v>221</v>
      </c>
      <c r="N3" s="3">
        <v>1</v>
      </c>
      <c r="O3" s="3" t="s">
        <v>221</v>
      </c>
      <c r="P3" s="3">
        <v>1</v>
      </c>
      <c r="Q3" s="7" t="d">
        <v>1963-11-23</v>
      </c>
      <c r="R3" s="3">
        <v>-25</v>
      </c>
      <c r="S3" s="3"/>
      <c r="T3" s="4" t="s">
        <v>1091</v>
      </c>
      <c r="U3" s="3" t="str" cm="1">
        <f t="array" ref="U3">_xlfn.TEXTJOIN(",",TRUE,_xlfn.XLOOKUP(_xlfn.FILTERXML("&lt;t&gt;&lt;s&gt;" &amp; SUBSTITUTE(T3,",","&lt;/s&gt;&lt;s&gt;") &amp; "&lt;/s&gt;&lt;/t&gt;", "//s"),Writers!$A$3:$A$999,Writers!$B$3:$B$999,""))</f>
        <v>Anthony Coburn</v>
      </c>
      <c r="V3" s="3"/>
      <c r="W3" s="3" t="str">
        <f>IF(V3="","",_xlfn.XLOOKUP(V3,Writers!$A$3:$A$999,Writers!$B$3:$B$999,""))</f>
        <v/>
      </c>
      <c r="X3" s="3">
        <v>4.4000000000000004</v>
      </c>
      <c r="Y3" s="3"/>
      <c r="Z3" s="3"/>
      <c r="AA3" s="3">
        <f>IF(ISBLANK(X3),"",ROUND(X3*AE3,2))</f>
        <v>5.6</v>
      </c>
      <c r="AB3" s="3" t="str">
        <f>IF(ISBLANK(Y3),"",ROUND(Y3*AE3,2))</f>
        <v/>
      </c>
      <c r="AC3" s="3" t="str">
        <f>IF(ISBLANK(Z3),"",ROUND(Z3*AE3,2))</f>
        <v/>
      </c>
      <c r="AD3" s="3">
        <f>VLOOKUP(YEAR(Q3),Populations!$A$3:$B$999,2,0)</f>
        <v>53624900</v>
      </c>
      <c r="AE3" s="3">
        <f>(Calculations!B1/AD3)</f>
        <v>1.2737540209865199</v>
      </c>
      <c r="AF3" s="3"/>
      <c r="AG3" s="3">
        <v>1</v>
      </c>
      <c r="AH3" s="3" t="str">
        <f>VLOOKUP(AG3,WikiFormats!$A$3:$B$999,2,0)</f>
        <v>Story</v>
      </c>
      <c r="AI3" s="3" t="s">
        <v>577</v>
      </c>
    </row>
    <row r="4" spans="1:35" s="8" customFormat="1" x14ac:dyDescent="0.55000000000000004">
      <c r="A4" s="3">
        <v>2</v>
      </c>
      <c r="B4" s="3">
        <v>1</v>
      </c>
      <c r="C4" s="3" t="str">
        <f>VLOOKUP(B4,Eras!$A$3:$B$999,2,0)</f>
        <v>Classic</v>
      </c>
      <c r="D4" s="3">
        <v>1</v>
      </c>
      <c r="E4" s="3" t="str">
        <f>VLOOKUP(D4,EpisodeFormats!$A$3:$B$999,2,0)</f>
        <v>Series</v>
      </c>
      <c r="F4" s="3">
        <v>1</v>
      </c>
      <c r="G4" s="3" t="str">
        <f>VLOOKUP(F4,Doctors!$A$3:$B$999,2,0)</f>
        <v>William Hartnell</v>
      </c>
      <c r="H4" s="3">
        <v>1</v>
      </c>
      <c r="I4" s="3">
        <v>1</v>
      </c>
      <c r="J4" s="3" t="str">
        <f>VLOOKUP(I4,SeasonFormats!$A$3:$B$999,2,0)</f>
        <v>Season</v>
      </c>
      <c r="K4" s="3">
        <v>1</v>
      </c>
      <c r="L4" s="3">
        <v>1</v>
      </c>
      <c r="M4" s="3" t="s">
        <v>221</v>
      </c>
      <c r="N4" s="3">
        <v>2</v>
      </c>
      <c r="O4" s="3" t="s">
        <v>230</v>
      </c>
      <c r="P4" s="3">
        <v>2</v>
      </c>
      <c r="Q4" s="7" t="d">
        <v>1963-11-30</v>
      </c>
      <c r="R4" s="3">
        <v>-25</v>
      </c>
      <c r="S4" s="3"/>
      <c r="T4" s="4" t="s">
        <v>1091</v>
      </c>
      <c r="U4" s="3" t="str" cm="1">
        <f t="array" ref="U4">_xlfn.TEXTJOIN(",",TRUE,_xlfn.XLOOKUP(_xlfn.FILTERXML("&lt;t&gt;&lt;s&gt;" &amp; SUBSTITUTE(T4,",","&lt;/s&gt;&lt;s&gt;") &amp; "&lt;/s&gt;&lt;/t&gt;", "//s"),Writers!$A$3:$A$999,Writers!$B$3:$B$999,""))</f>
        <v>Anthony Coburn</v>
      </c>
      <c r="V4" s="3"/>
      <c r="W4" s="3" t="str">
        <f>IF(V4="","",_xlfn.XLOOKUP(V4,Writers!$A$3:$A$999,Writers!$B$3:$B$999,""))</f>
        <v/>
      </c>
      <c r="X4" s="3">
        <v>5.9</v>
      </c>
      <c r="Y4" s="3"/>
      <c r="Z4" s="3"/>
      <c r="AA4" s="3">
        <f t="shared" ref="AA4:AA67" si="0">IF(ISBLANK(X4),"",ROUND(X4*AE4,2))</f>
        <v>7.52</v>
      </c>
      <c r="AB4" s="3" t="str">
        <f t="shared" ref="AB4:AB67" si="1">IF(ISBLANK(Y4),"",ROUND(Y4*AE4,2))</f>
        <v/>
      </c>
      <c r="AC4" s="3" t="str">
        <f t="shared" ref="AC4:AC67" si="2">IF(ISBLANK(Z4),"",ROUND(Z4*AE4,2))</f>
        <v/>
      </c>
      <c r="AD4" s="3">
        <f>VLOOKUP(YEAR(Q4),Populations!$A$3:$B$999,2,0)</f>
        <v>53624900</v>
      </c>
      <c r="AE4" s="3">
        <f>(Calculations!B1/AD4)</f>
        <v>1.2737540209865199</v>
      </c>
      <c r="AF4" s="3"/>
      <c r="AG4" s="3">
        <v>1</v>
      </c>
      <c r="AH4" s="3" t="str">
        <f>VLOOKUP(AG4,WikiFormats!$A$3:$B$999,2,0)</f>
        <v>Story</v>
      </c>
      <c r="AI4" s="3" t="s">
        <v>577</v>
      </c>
    </row>
    <row r="5" spans="1:35" s="8" customFormat="1" x14ac:dyDescent="0.55000000000000004">
      <c r="A5" s="3">
        <v>3</v>
      </c>
      <c r="B5" s="3">
        <v>1</v>
      </c>
      <c r="C5" s="3" t="str">
        <f>VLOOKUP(B5,Eras!$A$3:$B$999,2,0)</f>
        <v>Classic</v>
      </c>
      <c r="D5" s="3">
        <v>1</v>
      </c>
      <c r="E5" s="3" t="str">
        <f>VLOOKUP(D5,EpisodeFormats!$A$3:$B$999,2,0)</f>
        <v>Series</v>
      </c>
      <c r="F5" s="3">
        <v>1</v>
      </c>
      <c r="G5" s="3" t="str">
        <f>VLOOKUP(F5,Doctors!$A$3:$B$999,2,0)</f>
        <v>William Hartnell</v>
      </c>
      <c r="H5" s="3">
        <v>1</v>
      </c>
      <c r="I5" s="3">
        <v>1</v>
      </c>
      <c r="J5" s="3" t="str">
        <f>VLOOKUP(I5,SeasonFormats!$A$3:$B$999,2,0)</f>
        <v>Season</v>
      </c>
      <c r="K5" s="3">
        <v>1</v>
      </c>
      <c r="L5" s="3">
        <v>1</v>
      </c>
      <c r="M5" s="3" t="s">
        <v>221</v>
      </c>
      <c r="N5" s="3">
        <v>3</v>
      </c>
      <c r="O5" s="3" t="s">
        <v>231</v>
      </c>
      <c r="P5" s="3">
        <v>3</v>
      </c>
      <c r="Q5" s="7" t="d">
        <v>1963-12-07</v>
      </c>
      <c r="R5" s="3">
        <v>-25</v>
      </c>
      <c r="S5" s="3"/>
      <c r="T5" s="4" t="s">
        <v>1091</v>
      </c>
      <c r="U5" s="3" t="str" cm="1">
        <f t="array" ref="U5">_xlfn.TEXTJOIN(",",TRUE,_xlfn.XLOOKUP(_xlfn.FILTERXML("&lt;t&gt;&lt;s&gt;" &amp; SUBSTITUTE(T5,",","&lt;/s&gt;&lt;s&gt;") &amp; "&lt;/s&gt;&lt;/t&gt;", "//s"),Writers!$A$3:$A$999,Writers!$B$3:$B$999,""))</f>
        <v>Anthony Coburn</v>
      </c>
      <c r="V5" s="3"/>
      <c r="W5" s="3" t="str">
        <f>IF(V5="","",_xlfn.XLOOKUP(V5,Writers!$A$3:$A$999,Writers!$B$3:$B$999,""))</f>
        <v/>
      </c>
      <c r="X5" s="3">
        <v>6.9</v>
      </c>
      <c r="Y5" s="3"/>
      <c r="Z5" s="3"/>
      <c r="AA5" s="3">
        <f t="shared" si="0"/>
        <v>8.7899999999999991</v>
      </c>
      <c r="AB5" s="3" t="str">
        <f t="shared" si="1"/>
        <v/>
      </c>
      <c r="AC5" s="3" t="str">
        <f t="shared" si="2"/>
        <v/>
      </c>
      <c r="AD5" s="3">
        <f>VLOOKUP(YEAR(Q5),Populations!$A$3:$B$999,2,0)</f>
        <v>53624900</v>
      </c>
      <c r="AE5" s="3">
        <f>(Calculations!B1/AD5)</f>
        <v>1.2737540209865199</v>
      </c>
      <c r="AF5" s="3"/>
      <c r="AG5" s="3">
        <v>1</v>
      </c>
      <c r="AH5" s="3" t="str">
        <f>VLOOKUP(AG5,WikiFormats!$A$3:$B$999,2,0)</f>
        <v>Story</v>
      </c>
      <c r="AI5" s="3" t="s">
        <v>577</v>
      </c>
    </row>
    <row r="6" spans="1:35" s="8" customFormat="1" x14ac:dyDescent="0.55000000000000004">
      <c r="A6" s="3">
        <v>4</v>
      </c>
      <c r="B6" s="3">
        <v>1</v>
      </c>
      <c r="C6" s="3" t="str">
        <f>VLOOKUP(B6,Eras!$A$3:$B$999,2,0)</f>
        <v>Classic</v>
      </c>
      <c r="D6" s="3">
        <v>1</v>
      </c>
      <c r="E6" s="3" t="str">
        <f>VLOOKUP(D6,EpisodeFormats!$A$3:$B$999,2,0)</f>
        <v>Series</v>
      </c>
      <c r="F6" s="3">
        <v>1</v>
      </c>
      <c r="G6" s="3" t="str">
        <f>VLOOKUP(F6,Doctors!$A$3:$B$999,2,0)</f>
        <v>William Hartnell</v>
      </c>
      <c r="H6" s="3">
        <v>1</v>
      </c>
      <c r="I6" s="3">
        <v>1</v>
      </c>
      <c r="J6" s="3" t="str">
        <f>VLOOKUP(I6,SeasonFormats!$A$3:$B$999,2,0)</f>
        <v>Season</v>
      </c>
      <c r="K6" s="3">
        <v>1</v>
      </c>
      <c r="L6" s="3">
        <v>1</v>
      </c>
      <c r="M6" s="3" t="s">
        <v>221</v>
      </c>
      <c r="N6" s="3">
        <v>4</v>
      </c>
      <c r="O6" s="3" t="s">
        <v>232</v>
      </c>
      <c r="P6" s="3">
        <v>4</v>
      </c>
      <c r="Q6" s="7" t="d">
        <v>1963-12-14</v>
      </c>
      <c r="R6" s="3">
        <v>-25</v>
      </c>
      <c r="S6" s="3"/>
      <c r="T6" s="4" t="s">
        <v>1091</v>
      </c>
      <c r="U6" s="3" t="str" cm="1">
        <f t="array" ref="U6">_xlfn.TEXTJOIN(",",TRUE,_xlfn.XLOOKUP(_xlfn.FILTERXML("&lt;t&gt;&lt;s&gt;" &amp; SUBSTITUTE(T6,",","&lt;/s&gt;&lt;s&gt;") &amp; "&lt;/s&gt;&lt;/t&gt;", "//s"),Writers!$A$3:$A$999,Writers!$B$3:$B$999,""))</f>
        <v>Anthony Coburn</v>
      </c>
      <c r="V6" s="3"/>
      <c r="W6" s="3" t="str">
        <f>IF(V6="","",_xlfn.XLOOKUP(V6,Writers!$A$3:$A$999,Writers!$B$3:$B$999,""))</f>
        <v/>
      </c>
      <c r="X6" s="3">
        <v>6.4</v>
      </c>
      <c r="Y6" s="3"/>
      <c r="Z6" s="3"/>
      <c r="AA6" s="3">
        <f t="shared" si="0"/>
        <v>8.15</v>
      </c>
      <c r="AB6" s="3" t="str">
        <f t="shared" si="1"/>
        <v/>
      </c>
      <c r="AC6" s="3" t="str">
        <f t="shared" si="2"/>
        <v/>
      </c>
      <c r="AD6" s="3">
        <f>VLOOKUP(YEAR(Q6),Populations!$A$3:$B$999,2,0)</f>
        <v>53624900</v>
      </c>
      <c r="AE6" s="3">
        <f>(Calculations!B1/AD6)</f>
        <v>1.2737540209865199</v>
      </c>
      <c r="AF6" s="3"/>
      <c r="AG6" s="3">
        <v>1</v>
      </c>
      <c r="AH6" s="3" t="str">
        <f>VLOOKUP(AG6,WikiFormats!$A$3:$B$999,2,0)</f>
        <v>Story</v>
      </c>
      <c r="AI6" s="3" t="s">
        <v>577</v>
      </c>
    </row>
    <row r="7" spans="1:35" s="2" customFormat="1" x14ac:dyDescent="0.55000000000000004">
      <c r="A7">
        <v>5</v>
      </c>
      <c r="B7">
        <v>1</v>
      </c>
      <c r="C7" t="str">
        <f>VLOOKUP(B7,Eras!$A$3:$B$999,2,0)</f>
        <v>Classic</v>
      </c>
      <c r="D7">
        <v>1</v>
      </c>
      <c r="E7" t="str">
        <f>VLOOKUP(D7,EpisodeFormats!$A$3:$B$999,2,0)</f>
        <v>Series</v>
      </c>
      <c r="F7">
        <v>1</v>
      </c>
      <c r="G7" t="str">
        <f>VLOOKUP(F7,Doctors!$A$3:$B$999,2,0)</f>
        <v>William Hartnell</v>
      </c>
      <c r="H7">
        <v>1</v>
      </c>
      <c r="I7">
        <v>1</v>
      </c>
      <c r="J7" t="str">
        <f>VLOOKUP(I7,SeasonFormats!$A$3:$B$999,2,0)</f>
        <v>Season</v>
      </c>
      <c r="K7">
        <v>2</v>
      </c>
      <c r="L7">
        <v>2</v>
      </c>
      <c r="M7" t="s">
        <v>222</v>
      </c>
      <c r="N7">
        <v>1</v>
      </c>
      <c r="O7" t="s">
        <v>233</v>
      </c>
      <c r="P7">
        <v>5</v>
      </c>
      <c r="Q7" s="6" t="d">
        <v>1963-12-21</v>
      </c>
      <c r="R7">
        <v>24</v>
      </c>
      <c r="S7"/>
      <c r="T7" s="15" t="s">
        <v>1132</v>
      </c>
      <c r="U7" t="str" cm="1">
        <f t="array" ref="U7">_xlfn.TEXTJOIN(",",TRUE,_xlfn.XLOOKUP(_xlfn.FILTERXML("&lt;t&gt;&lt;s&gt;" &amp; SUBSTITUTE(T7,",","&lt;/s&gt;&lt;s&gt;") &amp; "&lt;/s&gt;&lt;/t&gt;", "//s"),Writers!$A$3:$A$999,Writers!$B$3:$B$999,""))</f>
        <v>Terry Nation</v>
      </c>
      <c r="V7"/>
      <c r="W7" t="str">
        <f>IF(V7="","",_xlfn.XLOOKUP(V7,Writers!$A$3:$A$999,Writers!$B$3:$B$999,""))</f>
        <v/>
      </c>
      <c r="X7">
        <v>6.9</v>
      </c>
      <c r="Y7"/>
      <c r="Z7"/>
      <c r="AA7">
        <f t="shared" si="0"/>
        <v>8.7899999999999991</v>
      </c>
      <c r="AB7" t="str">
        <f t="shared" si="1"/>
        <v/>
      </c>
      <c r="AC7" t="str">
        <f t="shared" si="2"/>
        <v/>
      </c>
      <c r="AD7">
        <f>VLOOKUP(YEAR(Q7),Populations!$A$3:$B$999,2,0)</f>
        <v>53624900</v>
      </c>
      <c r="AE7">
        <f>(Calculations!B1/AD7)</f>
        <v>1.2737540209865199</v>
      </c>
      <c r="AF7"/>
      <c r="AG7">
        <v>1</v>
      </c>
      <c r="AH7" t="str">
        <f>VLOOKUP(AG7,WikiFormats!$A$3:$B$999,2,0)</f>
        <v>Story</v>
      </c>
      <c r="AI7" t="s">
        <v>578</v>
      </c>
    </row>
    <row r="8" spans="1:35" s="2" customFormat="1" x14ac:dyDescent="0.55000000000000004">
      <c r="A8">
        <v>6</v>
      </c>
      <c r="B8">
        <v>1</v>
      </c>
      <c r="C8" t="str">
        <f>VLOOKUP(B8,Eras!$A$3:$B$999,2,0)</f>
        <v>Classic</v>
      </c>
      <c r="D8">
        <v>1</v>
      </c>
      <c r="E8" t="str">
        <f>VLOOKUP(D8,EpisodeFormats!$A$3:$B$999,2,0)</f>
        <v>Series</v>
      </c>
      <c r="F8">
        <v>1</v>
      </c>
      <c r="G8" t="str">
        <f>VLOOKUP(F8,Doctors!$A$3:$B$999,2,0)</f>
        <v>William Hartnell</v>
      </c>
      <c r="H8">
        <v>1</v>
      </c>
      <c r="I8">
        <v>1</v>
      </c>
      <c r="J8" t="str">
        <f>VLOOKUP(I8,SeasonFormats!$A$3:$B$999,2,0)</f>
        <v>Season</v>
      </c>
      <c r="K8">
        <v>2</v>
      </c>
      <c r="L8">
        <v>2</v>
      </c>
      <c r="M8" t="s">
        <v>222</v>
      </c>
      <c r="N8">
        <v>2</v>
      </c>
      <c r="O8" t="s">
        <v>234</v>
      </c>
      <c r="P8">
        <v>6</v>
      </c>
      <c r="Q8" s="6" t="d">
        <v>1963-12-28</v>
      </c>
      <c r="R8">
        <v>24</v>
      </c>
      <c r="S8"/>
      <c r="T8" s="15" t="s">
        <v>1132</v>
      </c>
      <c r="U8" t="str" cm="1">
        <f t="array" ref="U8">_xlfn.TEXTJOIN(",",TRUE,_xlfn.XLOOKUP(_xlfn.FILTERXML("&lt;t&gt;&lt;s&gt;" &amp; SUBSTITUTE(T8,",","&lt;/s&gt;&lt;s&gt;") &amp; "&lt;/s&gt;&lt;/t&gt;", "//s"),Writers!$A$3:$A$999,Writers!$B$3:$B$999,""))</f>
        <v>Terry Nation</v>
      </c>
      <c r="V8"/>
      <c r="W8" t="str">
        <f>IF(V8="","",_xlfn.XLOOKUP(V8,Writers!$A$3:$A$999,Writers!$B$3:$B$999,""))</f>
        <v/>
      </c>
      <c r="X8">
        <v>6.4</v>
      </c>
      <c r="Y8"/>
      <c r="Z8"/>
      <c r="AA8">
        <f t="shared" si="0"/>
        <v>8.15</v>
      </c>
      <c r="AB8" t="str">
        <f t="shared" si="1"/>
        <v/>
      </c>
      <c r="AC8" t="str">
        <f t="shared" si="2"/>
        <v/>
      </c>
      <c r="AD8">
        <f>VLOOKUP(YEAR(Q8),Populations!$A$3:$B$999,2,0)</f>
        <v>53624900</v>
      </c>
      <c r="AE8">
        <f>(Calculations!B1/AD8)</f>
        <v>1.2737540209865199</v>
      </c>
      <c r="AF8"/>
      <c r="AG8">
        <v>1</v>
      </c>
      <c r="AH8" t="str">
        <f>VLOOKUP(AG8,WikiFormats!$A$3:$B$999,2,0)</f>
        <v>Story</v>
      </c>
      <c r="AI8" t="s">
        <v>578</v>
      </c>
    </row>
    <row r="9" spans="1:35" s="2" customFormat="1" x14ac:dyDescent="0.55000000000000004">
      <c r="A9">
        <v>7</v>
      </c>
      <c r="B9">
        <v>1</v>
      </c>
      <c r="C9" t="str">
        <f>VLOOKUP(B9,Eras!$A$3:$B$999,2,0)</f>
        <v>Classic</v>
      </c>
      <c r="D9">
        <v>1</v>
      </c>
      <c r="E9" t="str">
        <f>VLOOKUP(D9,EpisodeFormats!$A$3:$B$999,2,0)</f>
        <v>Series</v>
      </c>
      <c r="F9">
        <v>1</v>
      </c>
      <c r="G9" t="str">
        <f>VLOOKUP(F9,Doctors!$A$3:$B$999,2,0)</f>
        <v>William Hartnell</v>
      </c>
      <c r="H9">
        <v>1</v>
      </c>
      <c r="I9">
        <v>1</v>
      </c>
      <c r="J9" t="str">
        <f>VLOOKUP(I9,SeasonFormats!$A$3:$B$999,2,0)</f>
        <v>Season</v>
      </c>
      <c r="K9">
        <v>2</v>
      </c>
      <c r="L9">
        <v>2</v>
      </c>
      <c r="M9" t="s">
        <v>222</v>
      </c>
      <c r="N9">
        <v>3</v>
      </c>
      <c r="O9" t="s">
        <v>235</v>
      </c>
      <c r="P9">
        <v>7</v>
      </c>
      <c r="Q9" s="6" t="d">
        <v>1964-01-04</v>
      </c>
      <c r="R9">
        <v>25</v>
      </c>
      <c r="S9"/>
      <c r="T9" s="15" t="s">
        <v>1132</v>
      </c>
      <c r="U9" t="str" cm="1">
        <f t="array" ref="U9">_xlfn.TEXTJOIN(",",TRUE,_xlfn.XLOOKUP(_xlfn.FILTERXML("&lt;t&gt;&lt;s&gt;" &amp; SUBSTITUTE(T9,",","&lt;/s&gt;&lt;s&gt;") &amp; "&lt;/s&gt;&lt;/t&gt;", "//s"),Writers!$A$3:$A$999,Writers!$B$3:$B$999,""))</f>
        <v>Terry Nation</v>
      </c>
      <c r="V9"/>
      <c r="W9" t="str">
        <f>IF(V9="","",_xlfn.XLOOKUP(V9,Writers!$A$3:$A$999,Writers!$B$3:$B$999,""))</f>
        <v/>
      </c>
      <c r="X9">
        <v>8.9</v>
      </c>
      <c r="Y9"/>
      <c r="Z9"/>
      <c r="AA9">
        <f t="shared" si="0"/>
        <v>11.26</v>
      </c>
      <c r="AB9" t="str">
        <f t="shared" si="1"/>
        <v/>
      </c>
      <c r="AC9" t="str">
        <f t="shared" si="2"/>
        <v/>
      </c>
      <c r="AD9">
        <f>VLOOKUP(YEAR(Q9),Populations!$A$3:$B$999,2,0)</f>
        <v>53990800</v>
      </c>
      <c r="AE9">
        <f>(Calculations!B1/AD9)</f>
        <v>1.26512168739859</v>
      </c>
      <c r="AF9"/>
      <c r="AG9">
        <v>1</v>
      </c>
      <c r="AH9" t="str">
        <f>VLOOKUP(AG9,WikiFormats!$A$3:$B$999,2,0)</f>
        <v>Story</v>
      </c>
      <c r="AI9" t="s">
        <v>578</v>
      </c>
    </row>
    <row r="10" spans="1:35" s="2" customFormat="1" x14ac:dyDescent="0.55000000000000004">
      <c r="A10">
        <v>8</v>
      </c>
      <c r="B10">
        <v>1</v>
      </c>
      <c r="C10" t="str">
        <f>VLOOKUP(B10,Eras!$A$3:$B$999,2,0)</f>
        <v>Classic</v>
      </c>
      <c r="D10">
        <v>1</v>
      </c>
      <c r="E10" t="str">
        <f>VLOOKUP(D10,EpisodeFormats!$A$3:$B$999,2,0)</f>
        <v>Series</v>
      </c>
      <c r="F10">
        <v>1</v>
      </c>
      <c r="G10" t="str">
        <f>VLOOKUP(F10,Doctors!$A$3:$B$999,2,0)</f>
        <v>William Hartnell</v>
      </c>
      <c r="H10">
        <v>1</v>
      </c>
      <c r="I10">
        <v>1</v>
      </c>
      <c r="J10" t="str">
        <f>VLOOKUP(I10,SeasonFormats!$A$3:$B$999,2,0)</f>
        <v>Season</v>
      </c>
      <c r="K10">
        <v>2</v>
      </c>
      <c r="L10">
        <v>2</v>
      </c>
      <c r="M10" t="s">
        <v>222</v>
      </c>
      <c r="N10">
        <v>4</v>
      </c>
      <c r="O10" t="s">
        <v>236</v>
      </c>
      <c r="P10">
        <v>8</v>
      </c>
      <c r="Q10" s="6" t="d">
        <v>1964-01-11</v>
      </c>
      <c r="R10">
        <v>24</v>
      </c>
      <c r="S10"/>
      <c r="T10" s="15" t="s">
        <v>1132</v>
      </c>
      <c r="U10" t="str" cm="1">
        <f t="array" ref="U10">_xlfn.TEXTJOIN(",",TRUE,_xlfn.XLOOKUP(_xlfn.FILTERXML("&lt;t&gt;&lt;s&gt;" &amp; SUBSTITUTE(T10,",","&lt;/s&gt;&lt;s&gt;") &amp; "&lt;/s&gt;&lt;/t&gt;", "//s"),Writers!$A$3:$A$999,Writers!$B$3:$B$999,""))</f>
        <v>Terry Nation</v>
      </c>
      <c r="V10"/>
      <c r="W10" t="str">
        <f>IF(V10="","",_xlfn.XLOOKUP(V10,Writers!$A$3:$A$999,Writers!$B$3:$B$999,""))</f>
        <v/>
      </c>
      <c r="X10">
        <v>9.9</v>
      </c>
      <c r="Y10"/>
      <c r="Z10"/>
      <c r="AA10">
        <f t="shared" si="0"/>
        <v>12.52</v>
      </c>
      <c r="AB10" t="str">
        <f t="shared" si="1"/>
        <v/>
      </c>
      <c r="AC10" t="str">
        <f t="shared" si="2"/>
        <v/>
      </c>
      <c r="AD10">
        <f>VLOOKUP(YEAR(Q10),Populations!$A$3:$B$999,2,0)</f>
        <v>53990800</v>
      </c>
      <c r="AE10">
        <f>(Calculations!B1/AD10)</f>
        <v>1.26512168739859</v>
      </c>
      <c r="AF10"/>
      <c r="AG10">
        <v>1</v>
      </c>
      <c r="AH10" t="str">
        <f>VLOOKUP(AG10,WikiFormats!$A$3:$B$999,2,0)</f>
        <v>Story</v>
      </c>
      <c r="AI10" t="s">
        <v>578</v>
      </c>
    </row>
    <row r="11" spans="1:35" s="2" customFormat="1" x14ac:dyDescent="0.55000000000000004">
      <c r="A11">
        <v>9</v>
      </c>
      <c r="B11">
        <v>1</v>
      </c>
      <c r="C11" t="str">
        <f>VLOOKUP(B11,Eras!$A$3:$B$999,2,0)</f>
        <v>Classic</v>
      </c>
      <c r="D11">
        <v>1</v>
      </c>
      <c r="E11" t="str">
        <f>VLOOKUP(D11,EpisodeFormats!$A$3:$B$999,2,0)</f>
        <v>Series</v>
      </c>
      <c r="F11">
        <v>1</v>
      </c>
      <c r="G11" t="str">
        <f>VLOOKUP(F11,Doctors!$A$3:$B$999,2,0)</f>
        <v>William Hartnell</v>
      </c>
      <c r="H11">
        <v>1</v>
      </c>
      <c r="I11">
        <v>1</v>
      </c>
      <c r="J11" t="str">
        <f>VLOOKUP(I11,SeasonFormats!$A$3:$B$999,2,0)</f>
        <v>Season</v>
      </c>
      <c r="K11">
        <v>2</v>
      </c>
      <c r="L11">
        <v>2</v>
      </c>
      <c r="M11" t="s">
        <v>222</v>
      </c>
      <c r="N11">
        <v>5</v>
      </c>
      <c r="O11" t="s">
        <v>237</v>
      </c>
      <c r="P11">
        <v>9</v>
      </c>
      <c r="Q11" s="6" t="d">
        <v>1964-01-18</v>
      </c>
      <c r="R11">
        <v>24</v>
      </c>
      <c r="S11"/>
      <c r="T11" s="15" t="s">
        <v>1132</v>
      </c>
      <c r="U11" t="str" cm="1">
        <f t="array" ref="U11">_xlfn.TEXTJOIN(",",TRUE,_xlfn.XLOOKUP(_xlfn.FILTERXML("&lt;t&gt;&lt;s&gt;" &amp; SUBSTITUTE(T11,",","&lt;/s&gt;&lt;s&gt;") &amp; "&lt;/s&gt;&lt;/t&gt;", "//s"),Writers!$A$3:$A$999,Writers!$B$3:$B$999,""))</f>
        <v>Terry Nation</v>
      </c>
      <c r="V11"/>
      <c r="W11" t="str">
        <f>IF(V11="","",_xlfn.XLOOKUP(V11,Writers!$A$3:$A$999,Writers!$B$3:$B$999,""))</f>
        <v/>
      </c>
      <c r="X11">
        <v>9.9</v>
      </c>
      <c r="Y11"/>
      <c r="Z11"/>
      <c r="AA11">
        <f t="shared" si="0"/>
        <v>12.52</v>
      </c>
      <c r="AB11" t="str">
        <f t="shared" si="1"/>
        <v/>
      </c>
      <c r="AC11" t="str">
        <f t="shared" si="2"/>
        <v/>
      </c>
      <c r="AD11">
        <f>VLOOKUP(YEAR(Q11),Populations!$A$3:$B$999,2,0)</f>
        <v>53990800</v>
      </c>
      <c r="AE11">
        <f>(Calculations!B1/AD11)</f>
        <v>1.26512168739859</v>
      </c>
      <c r="AF11"/>
      <c r="AG11">
        <v>1</v>
      </c>
      <c r="AH11" t="str">
        <f>VLOOKUP(AG11,WikiFormats!$A$3:$B$999,2,0)</f>
        <v>Story</v>
      </c>
      <c r="AI11" t="s">
        <v>578</v>
      </c>
    </row>
    <row r="12" spans="1:35" s="2" customFormat="1" x14ac:dyDescent="0.55000000000000004">
      <c r="A12">
        <v>10</v>
      </c>
      <c r="B12">
        <v>1</v>
      </c>
      <c r="C12" t="str">
        <f>VLOOKUP(B12,Eras!$A$3:$B$999,2,0)</f>
        <v>Classic</v>
      </c>
      <c r="D12">
        <v>1</v>
      </c>
      <c r="E12" t="str">
        <f>VLOOKUP(D12,EpisodeFormats!$A$3:$B$999,2,0)</f>
        <v>Series</v>
      </c>
      <c r="F12">
        <v>1</v>
      </c>
      <c r="G12" t="str">
        <f>VLOOKUP(F12,Doctors!$A$3:$B$999,2,0)</f>
        <v>William Hartnell</v>
      </c>
      <c r="H12">
        <v>1</v>
      </c>
      <c r="I12">
        <v>1</v>
      </c>
      <c r="J12" t="str">
        <f>VLOOKUP(I12,SeasonFormats!$A$3:$B$999,2,0)</f>
        <v>Season</v>
      </c>
      <c r="K12">
        <v>2</v>
      </c>
      <c r="L12">
        <v>2</v>
      </c>
      <c r="M12" t="s">
        <v>222</v>
      </c>
      <c r="N12">
        <v>6</v>
      </c>
      <c r="O12" t="s">
        <v>238</v>
      </c>
      <c r="P12">
        <v>10</v>
      </c>
      <c r="Q12" s="6" t="d">
        <v>1964-01-25</v>
      </c>
      <c r="R12">
        <v>26</v>
      </c>
      <c r="S12"/>
      <c r="T12" s="15" t="s">
        <v>1132</v>
      </c>
      <c r="U12" t="str" cm="1">
        <f t="array" ref="U12">_xlfn.TEXTJOIN(",",TRUE,_xlfn.XLOOKUP(_xlfn.FILTERXML("&lt;t&gt;&lt;s&gt;" &amp; SUBSTITUTE(T12,",","&lt;/s&gt;&lt;s&gt;") &amp; "&lt;/s&gt;&lt;/t&gt;", "//s"),Writers!$A$3:$A$999,Writers!$B$3:$B$999,""))</f>
        <v>Terry Nation</v>
      </c>
      <c r="V12"/>
      <c r="W12" t="str">
        <f>IF(V12="","",_xlfn.XLOOKUP(V12,Writers!$A$3:$A$999,Writers!$B$3:$B$999,""))</f>
        <v/>
      </c>
      <c r="X12">
        <v>10.4</v>
      </c>
      <c r="Y12"/>
      <c r="Z12"/>
      <c r="AA12">
        <f t="shared" si="0"/>
        <v>13.16</v>
      </c>
      <c r="AB12" t="str">
        <f t="shared" si="1"/>
        <v/>
      </c>
      <c r="AC12" t="str">
        <f t="shared" si="2"/>
        <v/>
      </c>
      <c r="AD12">
        <f>VLOOKUP(YEAR(Q12),Populations!$A$3:$B$999,2,0)</f>
        <v>53990800</v>
      </c>
      <c r="AE12">
        <f>(Calculations!B1/AD12)</f>
        <v>1.26512168739859</v>
      </c>
      <c r="AF12"/>
      <c r="AG12">
        <v>1</v>
      </c>
      <c r="AH12" t="str">
        <f>VLOOKUP(AG12,WikiFormats!$A$3:$B$999,2,0)</f>
        <v>Story</v>
      </c>
      <c r="AI12" t="s">
        <v>578</v>
      </c>
    </row>
    <row r="13" spans="1:35" s="2" customFormat="1" x14ac:dyDescent="0.55000000000000004">
      <c r="A13">
        <v>11</v>
      </c>
      <c r="B13">
        <v>1</v>
      </c>
      <c r="C13" t="str">
        <f>VLOOKUP(B13,Eras!$A$3:$B$999,2,0)</f>
        <v>Classic</v>
      </c>
      <c r="D13">
        <v>1</v>
      </c>
      <c r="E13" t="str">
        <f>VLOOKUP(D13,EpisodeFormats!$A$3:$B$999,2,0)</f>
        <v>Series</v>
      </c>
      <c r="F13">
        <v>1</v>
      </c>
      <c r="G13" t="str">
        <f>VLOOKUP(F13,Doctors!$A$3:$B$999,2,0)</f>
        <v>William Hartnell</v>
      </c>
      <c r="H13">
        <v>1</v>
      </c>
      <c r="I13">
        <v>1</v>
      </c>
      <c r="J13" t="str">
        <f>VLOOKUP(I13,SeasonFormats!$A$3:$B$999,2,0)</f>
        <v>Season</v>
      </c>
      <c r="K13">
        <v>2</v>
      </c>
      <c r="L13">
        <v>2</v>
      </c>
      <c r="M13" t="s">
        <v>222</v>
      </c>
      <c r="N13">
        <v>7</v>
      </c>
      <c r="O13" t="s">
        <v>239</v>
      </c>
      <c r="P13">
        <v>11</v>
      </c>
      <c r="Q13" s="6" t="d">
        <v>1964-02-01</v>
      </c>
      <c r="R13">
        <v>22</v>
      </c>
      <c r="S13"/>
      <c r="T13" s="15" t="s">
        <v>1132</v>
      </c>
      <c r="U13" t="str" cm="1">
        <f t="array" ref="U13">_xlfn.TEXTJOIN(",",TRUE,_xlfn.XLOOKUP(_xlfn.FILTERXML("&lt;t&gt;&lt;s&gt;" &amp; SUBSTITUTE(T13,",","&lt;/s&gt;&lt;s&gt;") &amp; "&lt;/s&gt;&lt;/t&gt;", "//s"),Writers!$A$3:$A$999,Writers!$B$3:$B$999,""))</f>
        <v>Terry Nation</v>
      </c>
      <c r="V13"/>
      <c r="W13" t="str">
        <f>IF(V13="","",_xlfn.XLOOKUP(V13,Writers!$A$3:$A$999,Writers!$B$3:$B$999,""))</f>
        <v/>
      </c>
      <c r="X13">
        <v>10.4</v>
      </c>
      <c r="Y13"/>
      <c r="Z13"/>
      <c r="AA13">
        <f t="shared" si="0"/>
        <v>13.16</v>
      </c>
      <c r="AB13" t="str">
        <f t="shared" si="1"/>
        <v/>
      </c>
      <c r="AC13" t="str">
        <f t="shared" si="2"/>
        <v/>
      </c>
      <c r="AD13">
        <f>VLOOKUP(YEAR(Q13),Populations!$A$3:$B$999,2,0)</f>
        <v>53990800</v>
      </c>
      <c r="AE13">
        <f>(Calculations!B1/AD13)</f>
        <v>1.26512168739859</v>
      </c>
      <c r="AF13"/>
      <c r="AG13">
        <v>1</v>
      </c>
      <c r="AH13" t="str">
        <f>VLOOKUP(AG13,WikiFormats!$A$3:$B$999,2,0)</f>
        <v>Story</v>
      </c>
      <c r="AI13" t="s">
        <v>578</v>
      </c>
    </row>
    <row r="14" spans="1:35" s="8" customFormat="1" x14ac:dyDescent="0.55000000000000004">
      <c r="A14" s="3">
        <v>12</v>
      </c>
      <c r="B14" s="3">
        <v>1</v>
      </c>
      <c r="C14" s="3" t="str">
        <f>VLOOKUP(B14,Eras!$A$3:$B$999,2,0)</f>
        <v>Classic</v>
      </c>
      <c r="D14" s="3">
        <v>1</v>
      </c>
      <c r="E14" s="3" t="str">
        <f>VLOOKUP(D14,EpisodeFormats!$A$3:$B$999,2,0)</f>
        <v>Series</v>
      </c>
      <c r="F14" s="3">
        <v>1</v>
      </c>
      <c r="G14" s="3" t="str">
        <f>VLOOKUP(F14,Doctors!$A$3:$B$999,2,0)</f>
        <v>William Hartnell</v>
      </c>
      <c r="H14" s="3">
        <v>1</v>
      </c>
      <c r="I14" s="3">
        <v>1</v>
      </c>
      <c r="J14" s="3" t="str">
        <f>VLOOKUP(I14,SeasonFormats!$A$3:$B$999,2,0)</f>
        <v>Season</v>
      </c>
      <c r="K14" s="3">
        <v>3</v>
      </c>
      <c r="L14" s="3">
        <v>3</v>
      </c>
      <c r="M14" s="3" t="s">
        <v>223</v>
      </c>
      <c r="N14" s="3">
        <v>1</v>
      </c>
      <c r="O14" s="3" t="s">
        <v>223</v>
      </c>
      <c r="P14" s="3">
        <v>12</v>
      </c>
      <c r="Q14" s="7" t="d">
        <v>1964-02-08</v>
      </c>
      <c r="R14" s="3">
        <v>25</v>
      </c>
      <c r="S14" s="3"/>
      <c r="T14" s="4" t="s">
        <v>1175</v>
      </c>
      <c r="U14" s="3" t="str" cm="1">
        <f t="array" ref="U14">_xlfn.TEXTJOIN(",",TRUE,_xlfn.XLOOKUP(_xlfn.FILTERXML("&lt;t&gt;&lt;s&gt;" &amp; SUBSTITUTE(T14,",","&lt;/s&gt;&lt;s&gt;") &amp; "&lt;/s&gt;&lt;/t&gt;", "//s"),Writers!$A$3:$A$999,Writers!$B$3:$B$999,""))</f>
        <v>David Whitaker</v>
      </c>
      <c r="V14" s="3"/>
      <c r="W14" s="3" t="str">
        <f>IF(V14="","",_xlfn.XLOOKUP(V14,Writers!$A$3:$A$999,Writers!$B$3:$B$999,""))</f>
        <v/>
      </c>
      <c r="X14" s="3">
        <v>10.4</v>
      </c>
      <c r="Y14" s="3"/>
      <c r="Z14" s="3"/>
      <c r="AA14" s="3">
        <f t="shared" si="0"/>
        <v>13.16</v>
      </c>
      <c r="AB14" s="3" t="str">
        <f t="shared" si="1"/>
        <v/>
      </c>
      <c r="AC14" s="3" t="str">
        <f t="shared" si="2"/>
        <v/>
      </c>
      <c r="AD14" s="3">
        <f>VLOOKUP(YEAR(Q14),Populations!$A$3:$B$999,2,0)</f>
        <v>53990800</v>
      </c>
      <c r="AE14" s="3">
        <f>(Calculations!B1/AD14)</f>
        <v>1.26512168739859</v>
      </c>
      <c r="AF14" s="3"/>
      <c r="AG14" s="3">
        <v>1</v>
      </c>
      <c r="AH14" s="3" t="str">
        <f>VLOOKUP(AG14,WikiFormats!$A$3:$B$999,2,0)</f>
        <v>Story</v>
      </c>
      <c r="AI14" s="3" t="s">
        <v>579</v>
      </c>
    </row>
    <row r="15" spans="1:35" s="8" customFormat="1" x14ac:dyDescent="0.55000000000000004">
      <c r="A15" s="3">
        <v>13</v>
      </c>
      <c r="B15" s="3">
        <v>1</v>
      </c>
      <c r="C15" s="3" t="str">
        <f>VLOOKUP(B15,Eras!$A$3:$B$999,2,0)</f>
        <v>Classic</v>
      </c>
      <c r="D15" s="3">
        <v>1</v>
      </c>
      <c r="E15" s="3" t="str">
        <f>VLOOKUP(D15,EpisodeFormats!$A$3:$B$999,2,0)</f>
        <v>Series</v>
      </c>
      <c r="F15" s="3">
        <v>1</v>
      </c>
      <c r="G15" s="3" t="str">
        <f>VLOOKUP(F15,Doctors!$A$3:$B$999,2,0)</f>
        <v>William Hartnell</v>
      </c>
      <c r="H15" s="3">
        <v>1</v>
      </c>
      <c r="I15" s="3">
        <v>1</v>
      </c>
      <c r="J15" s="3" t="str">
        <f>VLOOKUP(I15,SeasonFormats!$A$3:$B$999,2,0)</f>
        <v>Season</v>
      </c>
      <c r="K15" s="3">
        <v>3</v>
      </c>
      <c r="L15" s="3">
        <v>3</v>
      </c>
      <c r="M15" s="3" t="s">
        <v>223</v>
      </c>
      <c r="N15" s="3">
        <v>2</v>
      </c>
      <c r="O15" s="3" t="s">
        <v>240</v>
      </c>
      <c r="P15" s="3">
        <v>13</v>
      </c>
      <c r="Q15" s="7" t="d">
        <v>1964-02-15</v>
      </c>
      <c r="R15" s="3">
        <v>22</v>
      </c>
      <c r="S15" s="3"/>
      <c r="T15" s="4" t="s">
        <v>1175</v>
      </c>
      <c r="U15" s="3" t="str" cm="1">
        <f t="array" ref="U15">_xlfn.TEXTJOIN(",",TRUE,_xlfn.XLOOKUP(_xlfn.FILTERXML("&lt;t&gt;&lt;s&gt;" &amp; SUBSTITUTE(T15,",","&lt;/s&gt;&lt;s&gt;") &amp; "&lt;/s&gt;&lt;/t&gt;", "//s"),Writers!$A$3:$A$999,Writers!$B$3:$B$999,""))</f>
        <v>David Whitaker</v>
      </c>
      <c r="V15" s="3"/>
      <c r="W15" s="3" t="str">
        <f>IF(V15="","",_xlfn.XLOOKUP(V15,Writers!$A$3:$A$999,Writers!$B$3:$B$999,""))</f>
        <v/>
      </c>
      <c r="X15" s="3">
        <v>9.9</v>
      </c>
      <c r="Y15" s="3"/>
      <c r="Z15" s="3"/>
      <c r="AA15" s="3">
        <f t="shared" si="0"/>
        <v>12.52</v>
      </c>
      <c r="AB15" s="3" t="str">
        <f t="shared" si="1"/>
        <v/>
      </c>
      <c r="AC15" s="3" t="str">
        <f t="shared" si="2"/>
        <v/>
      </c>
      <c r="AD15" s="3">
        <f>VLOOKUP(YEAR(Q15),Populations!$A$3:$B$999,2,0)</f>
        <v>53990800</v>
      </c>
      <c r="AE15" s="3">
        <f>(Calculations!B1/AD15)</f>
        <v>1.26512168739859</v>
      </c>
      <c r="AF15" s="3"/>
      <c r="AG15" s="3">
        <v>1</v>
      </c>
      <c r="AH15" s="3" t="str">
        <f>VLOOKUP(AG15,WikiFormats!$A$3:$B$999,2,0)</f>
        <v>Story</v>
      </c>
      <c r="AI15" s="3" t="s">
        <v>579</v>
      </c>
    </row>
    <row r="16" spans="1:35" s="2" customFormat="1" x14ac:dyDescent="0.55000000000000004">
      <c r="A16">
        <v>14</v>
      </c>
      <c r="B16">
        <v>1</v>
      </c>
      <c r="C16" t="str">
        <f>VLOOKUP(B16,Eras!$A$3:$B$999,2,0)</f>
        <v>Classic</v>
      </c>
      <c r="D16">
        <v>1</v>
      </c>
      <c r="E16" t="str">
        <f>VLOOKUP(D16,EpisodeFormats!$A$3:$B$999,2,0)</f>
        <v>Series</v>
      </c>
      <c r="F16">
        <v>1</v>
      </c>
      <c r="G16" t="str">
        <f>VLOOKUP(F16,Doctors!$A$3:$B$999,2,0)</f>
        <v>William Hartnell</v>
      </c>
      <c r="H16">
        <v>1</v>
      </c>
      <c r="I16">
        <v>1</v>
      </c>
      <c r="J16" t="str">
        <f>VLOOKUP(I16,SeasonFormats!$A$3:$B$999,2,0)</f>
        <v>Season</v>
      </c>
      <c r="K16">
        <v>4</v>
      </c>
      <c r="L16">
        <v>4</v>
      </c>
      <c r="M16" t="s">
        <v>224</v>
      </c>
      <c r="N16">
        <v>1</v>
      </c>
      <c r="O16" t="s">
        <v>260</v>
      </c>
      <c r="P16">
        <v>14</v>
      </c>
      <c r="Q16" s="6" t="d">
        <v>1964-02-22</v>
      </c>
      <c r="R16">
        <v>-25</v>
      </c>
      <c r="S16">
        <v>1</v>
      </c>
      <c r="T16" s="15" t="s">
        <v>1137</v>
      </c>
      <c r="U16" t="str" cm="1">
        <f t="array" ref="U16">_xlfn.TEXTJOIN(",",TRUE,_xlfn.XLOOKUP(_xlfn.FILTERXML("&lt;t&gt;&lt;s&gt;" &amp; SUBSTITUTE(T16,",","&lt;/s&gt;&lt;s&gt;") &amp; "&lt;/s&gt;&lt;/t&gt;", "//s"),Writers!$A$3:$A$999,Writers!$B$3:$B$999,""))</f>
        <v>John Lucarotti</v>
      </c>
      <c r="V16"/>
      <c r="W16" t="str">
        <f>IF(V16="","",_xlfn.XLOOKUP(V16,Writers!$A$3:$A$999,Writers!$B$3:$B$999,""))</f>
        <v/>
      </c>
      <c r="X16">
        <v>9.4</v>
      </c>
      <c r="Y16"/>
      <c r="Z16"/>
      <c r="AA16">
        <f t="shared" si="0"/>
        <v>11.89</v>
      </c>
      <c r="AB16" t="str">
        <f t="shared" si="1"/>
        <v/>
      </c>
      <c r="AC16" t="str">
        <f t="shared" si="2"/>
        <v/>
      </c>
      <c r="AD16">
        <f>VLOOKUP(YEAR(Q16),Populations!$A$3:$B$999,2,0)</f>
        <v>53990800</v>
      </c>
      <c r="AE16">
        <f>(Calculations!B1/AD16)</f>
        <v>1.26512168739859</v>
      </c>
      <c r="AF16"/>
      <c r="AG16">
        <v>1</v>
      </c>
      <c r="AH16" t="str">
        <f>VLOOKUP(AG16,WikiFormats!$A$3:$B$999,2,0)</f>
        <v>Story</v>
      </c>
      <c r="AI16" t="s">
        <v>580</v>
      </c>
    </row>
    <row r="17" spans="1:35" s="2" customFormat="1" x14ac:dyDescent="0.55000000000000004">
      <c r="A17">
        <v>15</v>
      </c>
      <c r="B17">
        <v>1</v>
      </c>
      <c r="C17" t="str">
        <f>VLOOKUP(B17,Eras!$A$3:$B$999,2,0)</f>
        <v>Classic</v>
      </c>
      <c r="D17">
        <v>1</v>
      </c>
      <c r="E17" t="str">
        <f>VLOOKUP(D17,EpisodeFormats!$A$3:$B$999,2,0)</f>
        <v>Series</v>
      </c>
      <c r="F17">
        <v>1</v>
      </c>
      <c r="G17" t="str">
        <f>VLOOKUP(F17,Doctors!$A$3:$B$999,2,0)</f>
        <v>William Hartnell</v>
      </c>
      <c r="H17">
        <v>1</v>
      </c>
      <c r="I17">
        <v>1</v>
      </c>
      <c r="J17" t="str">
        <f>VLOOKUP(I17,SeasonFormats!$A$3:$B$999,2,0)</f>
        <v>Season</v>
      </c>
      <c r="K17">
        <v>4</v>
      </c>
      <c r="L17">
        <v>4</v>
      </c>
      <c r="M17" t="s">
        <v>224</v>
      </c>
      <c r="N17">
        <v>2</v>
      </c>
      <c r="O17" t="s">
        <v>261</v>
      </c>
      <c r="P17">
        <v>15</v>
      </c>
      <c r="Q17" s="6" t="d">
        <v>1964-02-29</v>
      </c>
      <c r="R17">
        <v>-25</v>
      </c>
      <c r="S17">
        <v>1</v>
      </c>
      <c r="T17" s="15" t="s">
        <v>1137</v>
      </c>
      <c r="U17" t="str" cm="1">
        <f t="array" ref="U17">_xlfn.TEXTJOIN(",",TRUE,_xlfn.XLOOKUP(_xlfn.FILTERXML("&lt;t&gt;&lt;s&gt;" &amp; SUBSTITUTE(T17,",","&lt;/s&gt;&lt;s&gt;") &amp; "&lt;/s&gt;&lt;/t&gt;", "//s"),Writers!$A$3:$A$999,Writers!$B$3:$B$999,""))</f>
        <v>John Lucarotti</v>
      </c>
      <c r="V17"/>
      <c r="W17" t="str">
        <f>IF(V17="","",_xlfn.XLOOKUP(V17,Writers!$A$3:$A$999,Writers!$B$3:$B$999,""))</f>
        <v/>
      </c>
      <c r="X17">
        <v>9.4</v>
      </c>
      <c r="Y17"/>
      <c r="Z17"/>
      <c r="AA17">
        <f t="shared" si="0"/>
        <v>11.89</v>
      </c>
      <c r="AB17" t="str">
        <f t="shared" si="1"/>
        <v/>
      </c>
      <c r="AC17" t="str">
        <f t="shared" si="2"/>
        <v/>
      </c>
      <c r="AD17">
        <f>VLOOKUP(YEAR(Q17),Populations!$A$3:$B$999,2,0)</f>
        <v>53990800</v>
      </c>
      <c r="AE17">
        <f>(Calculations!B1/AD17)</f>
        <v>1.26512168739859</v>
      </c>
      <c r="AF17"/>
      <c r="AG17">
        <v>1</v>
      </c>
      <c r="AH17" t="str">
        <f>VLOOKUP(AG17,WikiFormats!$A$3:$B$999,2,0)</f>
        <v>Story</v>
      </c>
      <c r="AI17" t="s">
        <v>580</v>
      </c>
    </row>
    <row r="18" spans="1:35" s="2" customFormat="1" x14ac:dyDescent="0.55000000000000004">
      <c r="A18">
        <v>16</v>
      </c>
      <c r="B18">
        <v>1</v>
      </c>
      <c r="C18" t="str">
        <f>VLOOKUP(B18,Eras!$A$3:$B$999,2,0)</f>
        <v>Classic</v>
      </c>
      <c r="D18">
        <v>1</v>
      </c>
      <c r="E18" t="str">
        <f>VLOOKUP(D18,EpisodeFormats!$A$3:$B$999,2,0)</f>
        <v>Series</v>
      </c>
      <c r="F18">
        <v>1</v>
      </c>
      <c r="G18" t="str">
        <f>VLOOKUP(F18,Doctors!$A$3:$B$999,2,0)</f>
        <v>William Hartnell</v>
      </c>
      <c r="H18">
        <v>1</v>
      </c>
      <c r="I18">
        <v>1</v>
      </c>
      <c r="J18" t="str">
        <f>VLOOKUP(I18,SeasonFormats!$A$3:$B$999,2,0)</f>
        <v>Season</v>
      </c>
      <c r="K18">
        <v>4</v>
      </c>
      <c r="L18">
        <v>4</v>
      </c>
      <c r="M18" t="s">
        <v>224</v>
      </c>
      <c r="N18">
        <v>3</v>
      </c>
      <c r="O18" t="s">
        <v>262</v>
      </c>
      <c r="P18">
        <v>16</v>
      </c>
      <c r="Q18" s="6" t="d">
        <v>1964-03-07</v>
      </c>
      <c r="R18">
        <v>-25</v>
      </c>
      <c r="S18">
        <v>1</v>
      </c>
      <c r="T18" s="15" t="s">
        <v>1137</v>
      </c>
      <c r="U18" t="str" cm="1">
        <f t="array" ref="U18">_xlfn.TEXTJOIN(",",TRUE,_xlfn.XLOOKUP(_xlfn.FILTERXML("&lt;t&gt;&lt;s&gt;" &amp; SUBSTITUTE(T18,",","&lt;/s&gt;&lt;s&gt;") &amp; "&lt;/s&gt;&lt;/t&gt;", "//s"),Writers!$A$3:$A$999,Writers!$B$3:$B$999,""))</f>
        <v>John Lucarotti</v>
      </c>
      <c r="V18"/>
      <c r="W18" t="str">
        <f>IF(V18="","",_xlfn.XLOOKUP(V18,Writers!$A$3:$A$999,Writers!$B$3:$B$999,""))</f>
        <v/>
      </c>
      <c r="X18">
        <v>9.4</v>
      </c>
      <c r="Y18"/>
      <c r="Z18"/>
      <c r="AA18">
        <f t="shared" si="0"/>
        <v>11.89</v>
      </c>
      <c r="AB18" t="str">
        <f t="shared" si="1"/>
        <v/>
      </c>
      <c r="AC18" t="str">
        <f t="shared" si="2"/>
        <v/>
      </c>
      <c r="AD18">
        <f>VLOOKUP(YEAR(Q18),Populations!$A$3:$B$999,2,0)</f>
        <v>53990800</v>
      </c>
      <c r="AE18">
        <f>(Calculations!B1/AD18)</f>
        <v>1.26512168739859</v>
      </c>
      <c r="AF18"/>
      <c r="AG18">
        <v>1</v>
      </c>
      <c r="AH18" t="str">
        <f>VLOOKUP(AG18,WikiFormats!$A$3:$B$999,2,0)</f>
        <v>Story</v>
      </c>
      <c r="AI18" t="s">
        <v>580</v>
      </c>
    </row>
    <row r="19" spans="1:35" s="2" customFormat="1" x14ac:dyDescent="0.55000000000000004">
      <c r="A19">
        <v>17</v>
      </c>
      <c r="B19">
        <v>1</v>
      </c>
      <c r="C19" t="str">
        <f>VLOOKUP(B19,Eras!$A$3:$B$999,2,0)</f>
        <v>Classic</v>
      </c>
      <c r="D19">
        <v>1</v>
      </c>
      <c r="E19" t="str">
        <f>VLOOKUP(D19,EpisodeFormats!$A$3:$B$999,2,0)</f>
        <v>Series</v>
      </c>
      <c r="F19">
        <v>1</v>
      </c>
      <c r="G19" t="str">
        <f>VLOOKUP(F19,Doctors!$A$3:$B$999,2,0)</f>
        <v>William Hartnell</v>
      </c>
      <c r="H19">
        <v>1</v>
      </c>
      <c r="I19">
        <v>1</v>
      </c>
      <c r="J19" t="str">
        <f>VLOOKUP(I19,SeasonFormats!$A$3:$B$999,2,0)</f>
        <v>Season</v>
      </c>
      <c r="K19">
        <v>4</v>
      </c>
      <c r="L19">
        <v>4</v>
      </c>
      <c r="M19" t="s">
        <v>224</v>
      </c>
      <c r="N19">
        <v>4</v>
      </c>
      <c r="O19" t="s">
        <v>263</v>
      </c>
      <c r="P19">
        <v>17</v>
      </c>
      <c r="Q19" s="6" t="d">
        <v>1964-03-14</v>
      </c>
      <c r="R19">
        <v>-25</v>
      </c>
      <c r="S19">
        <v>1</v>
      </c>
      <c r="T19" s="15" t="s">
        <v>1137</v>
      </c>
      <c r="U19" t="str" cm="1">
        <f t="array" ref="U19">_xlfn.TEXTJOIN(",",TRUE,_xlfn.XLOOKUP(_xlfn.FILTERXML("&lt;t&gt;&lt;s&gt;" &amp; SUBSTITUTE(T19,",","&lt;/s&gt;&lt;s&gt;") &amp; "&lt;/s&gt;&lt;/t&gt;", "//s"),Writers!$A$3:$A$999,Writers!$B$3:$B$999,""))</f>
        <v>John Lucarotti</v>
      </c>
      <c r="V19"/>
      <c r="W19" t="str">
        <f>IF(V19="","",_xlfn.XLOOKUP(V19,Writers!$A$3:$A$999,Writers!$B$3:$B$999,""))</f>
        <v/>
      </c>
      <c r="X19">
        <v>9.9</v>
      </c>
      <c r="Y19"/>
      <c r="Z19"/>
      <c r="AA19">
        <f t="shared" si="0"/>
        <v>12.52</v>
      </c>
      <c r="AB19" t="str">
        <f t="shared" si="1"/>
        <v/>
      </c>
      <c r="AC19" t="str">
        <f t="shared" si="2"/>
        <v/>
      </c>
      <c r="AD19">
        <f>VLOOKUP(YEAR(Q19),Populations!$A$3:$B$999,2,0)</f>
        <v>53990800</v>
      </c>
      <c r="AE19">
        <f>(Calculations!B1/AD19)</f>
        <v>1.26512168739859</v>
      </c>
      <c r="AF19"/>
      <c r="AG19">
        <v>1</v>
      </c>
      <c r="AH19" t="str">
        <f>VLOOKUP(AG19,WikiFormats!$A$3:$B$999,2,0)</f>
        <v>Story</v>
      </c>
      <c r="AI19" t="s">
        <v>580</v>
      </c>
    </row>
    <row r="20" spans="1:35" s="2" customFormat="1" x14ac:dyDescent="0.55000000000000004">
      <c r="A20">
        <v>18</v>
      </c>
      <c r="B20">
        <v>1</v>
      </c>
      <c r="C20" t="str">
        <f>VLOOKUP(B20,Eras!$A$3:$B$999,2,0)</f>
        <v>Classic</v>
      </c>
      <c r="D20">
        <v>1</v>
      </c>
      <c r="E20" t="str">
        <f>VLOOKUP(D20,EpisodeFormats!$A$3:$B$999,2,0)</f>
        <v>Series</v>
      </c>
      <c r="F20">
        <v>1</v>
      </c>
      <c r="G20" t="str">
        <f>VLOOKUP(F20,Doctors!$A$3:$B$999,2,0)</f>
        <v>William Hartnell</v>
      </c>
      <c r="H20">
        <v>1</v>
      </c>
      <c r="I20">
        <v>1</v>
      </c>
      <c r="J20" t="str">
        <f>VLOOKUP(I20,SeasonFormats!$A$3:$B$999,2,0)</f>
        <v>Season</v>
      </c>
      <c r="K20">
        <v>4</v>
      </c>
      <c r="L20">
        <v>4</v>
      </c>
      <c r="M20" t="s">
        <v>224</v>
      </c>
      <c r="N20">
        <v>5</v>
      </c>
      <c r="O20" t="s">
        <v>264</v>
      </c>
      <c r="P20">
        <v>18</v>
      </c>
      <c r="Q20" s="6" t="d">
        <v>1964-03-21</v>
      </c>
      <c r="R20">
        <v>-25</v>
      </c>
      <c r="S20">
        <v>1</v>
      </c>
      <c r="T20" s="15" t="s">
        <v>1137</v>
      </c>
      <c r="U20" t="str" cm="1">
        <f t="array" ref="U20">_xlfn.TEXTJOIN(",",TRUE,_xlfn.XLOOKUP(_xlfn.FILTERXML("&lt;t&gt;&lt;s&gt;" &amp; SUBSTITUTE(T20,",","&lt;/s&gt;&lt;s&gt;") &amp; "&lt;/s&gt;&lt;/t&gt;", "//s"),Writers!$A$3:$A$999,Writers!$B$3:$B$999,""))</f>
        <v>John Lucarotti</v>
      </c>
      <c r="V20"/>
      <c r="W20" t="str">
        <f>IF(V20="","",_xlfn.XLOOKUP(V20,Writers!$A$3:$A$999,Writers!$B$3:$B$999,""))</f>
        <v/>
      </c>
      <c r="X20">
        <v>9.4</v>
      </c>
      <c r="Y20"/>
      <c r="Z20"/>
      <c r="AA20">
        <f t="shared" si="0"/>
        <v>11.89</v>
      </c>
      <c r="AB20" t="str">
        <f t="shared" si="1"/>
        <v/>
      </c>
      <c r="AC20" t="str">
        <f t="shared" si="2"/>
        <v/>
      </c>
      <c r="AD20">
        <f>VLOOKUP(YEAR(Q20),Populations!$A$3:$B$999,2,0)</f>
        <v>53990800</v>
      </c>
      <c r="AE20">
        <f>(Calculations!B1/AD20)</f>
        <v>1.26512168739859</v>
      </c>
      <c r="AF20"/>
      <c r="AG20">
        <v>1</v>
      </c>
      <c r="AH20" t="str">
        <f>VLOOKUP(AG20,WikiFormats!$A$3:$B$999,2,0)</f>
        <v>Story</v>
      </c>
      <c r="AI20" t="s">
        <v>580</v>
      </c>
    </row>
    <row r="21" spans="1:35" s="2" customFormat="1" x14ac:dyDescent="0.55000000000000004">
      <c r="A21">
        <v>19</v>
      </c>
      <c r="B21">
        <v>1</v>
      </c>
      <c r="C21" t="str">
        <f>VLOOKUP(B21,Eras!$A$3:$B$999,2,0)</f>
        <v>Classic</v>
      </c>
      <c r="D21">
        <v>1</v>
      </c>
      <c r="E21" t="str">
        <f>VLOOKUP(D21,EpisodeFormats!$A$3:$B$999,2,0)</f>
        <v>Series</v>
      </c>
      <c r="F21">
        <v>1</v>
      </c>
      <c r="G21" t="str">
        <f>VLOOKUP(F21,Doctors!$A$3:$B$999,2,0)</f>
        <v>William Hartnell</v>
      </c>
      <c r="H21">
        <v>1</v>
      </c>
      <c r="I21">
        <v>1</v>
      </c>
      <c r="J21" t="str">
        <f>VLOOKUP(I21,SeasonFormats!$A$3:$B$999,2,0)</f>
        <v>Season</v>
      </c>
      <c r="K21">
        <v>4</v>
      </c>
      <c r="L21">
        <v>4</v>
      </c>
      <c r="M21" t="s">
        <v>224</v>
      </c>
      <c r="N21">
        <v>6</v>
      </c>
      <c r="O21" t="s">
        <v>265</v>
      </c>
      <c r="P21">
        <v>19</v>
      </c>
      <c r="Q21" s="6" t="d">
        <v>1964-03-28</v>
      </c>
      <c r="R21">
        <v>-25</v>
      </c>
      <c r="S21">
        <v>1</v>
      </c>
      <c r="T21" s="15" t="s">
        <v>1137</v>
      </c>
      <c r="U21" t="str" cm="1">
        <f t="array" ref="U21">_xlfn.TEXTJOIN(",",TRUE,_xlfn.XLOOKUP(_xlfn.FILTERXML("&lt;t&gt;&lt;s&gt;" &amp; SUBSTITUTE(T21,",","&lt;/s&gt;&lt;s&gt;") &amp; "&lt;/s&gt;&lt;/t&gt;", "//s"),Writers!$A$3:$A$999,Writers!$B$3:$B$999,""))</f>
        <v>John Lucarotti</v>
      </c>
      <c r="V21"/>
      <c r="W21" t="str">
        <f>IF(V21="","",_xlfn.XLOOKUP(V21,Writers!$A$3:$A$999,Writers!$B$3:$B$999,""))</f>
        <v/>
      </c>
      <c r="X21">
        <v>8.4</v>
      </c>
      <c r="Y21"/>
      <c r="Z21"/>
      <c r="AA21">
        <f t="shared" si="0"/>
        <v>10.63</v>
      </c>
      <c r="AB21" t="str">
        <f t="shared" si="1"/>
        <v/>
      </c>
      <c r="AC21" t="str">
        <f t="shared" si="2"/>
        <v/>
      </c>
      <c r="AD21">
        <f>VLOOKUP(YEAR(Q21),Populations!$A$3:$B$999,2,0)</f>
        <v>53990800</v>
      </c>
      <c r="AE21">
        <f>(Calculations!B1/AD21)</f>
        <v>1.26512168739859</v>
      </c>
      <c r="AF21"/>
      <c r="AG21">
        <v>1</v>
      </c>
      <c r="AH21" t="str">
        <f>VLOOKUP(AG21,WikiFormats!$A$3:$B$999,2,0)</f>
        <v>Story</v>
      </c>
      <c r="AI21" t="s">
        <v>580</v>
      </c>
    </row>
    <row r="22" spans="1:35" s="2" customFormat="1" x14ac:dyDescent="0.55000000000000004">
      <c r="A22">
        <v>20</v>
      </c>
      <c r="B22">
        <v>1</v>
      </c>
      <c r="C22" t="str">
        <f>VLOOKUP(B22,Eras!$A$3:$B$999,2,0)</f>
        <v>Classic</v>
      </c>
      <c r="D22">
        <v>1</v>
      </c>
      <c r="E22" t="str">
        <f>VLOOKUP(D22,EpisodeFormats!$A$3:$B$999,2,0)</f>
        <v>Series</v>
      </c>
      <c r="F22">
        <v>1</v>
      </c>
      <c r="G22" t="str">
        <f>VLOOKUP(F22,Doctors!$A$3:$B$999,2,0)</f>
        <v>William Hartnell</v>
      </c>
      <c r="H22">
        <v>1</v>
      </c>
      <c r="I22">
        <v>1</v>
      </c>
      <c r="J22" t="str">
        <f>VLOOKUP(I22,SeasonFormats!$A$3:$B$999,2,0)</f>
        <v>Season</v>
      </c>
      <c r="K22">
        <v>4</v>
      </c>
      <c r="L22">
        <v>4</v>
      </c>
      <c r="M22" t="s">
        <v>224</v>
      </c>
      <c r="N22">
        <v>7</v>
      </c>
      <c r="O22" t="s">
        <v>266</v>
      </c>
      <c r="P22">
        <v>20</v>
      </c>
      <c r="Q22" s="6" t="d">
        <v>1964-04-04</v>
      </c>
      <c r="R22">
        <v>-25</v>
      </c>
      <c r="S22">
        <v>1</v>
      </c>
      <c r="T22" s="15" t="s">
        <v>1137</v>
      </c>
      <c r="U22" t="str" cm="1">
        <f t="array" ref="U22">_xlfn.TEXTJOIN(",",TRUE,_xlfn.XLOOKUP(_xlfn.FILTERXML("&lt;t&gt;&lt;s&gt;" &amp; SUBSTITUTE(T22,",","&lt;/s&gt;&lt;s&gt;") &amp; "&lt;/s&gt;&lt;/t&gt;", "//s"),Writers!$A$3:$A$999,Writers!$B$3:$B$999,""))</f>
        <v>John Lucarotti</v>
      </c>
      <c r="V22"/>
      <c r="W22" t="str">
        <f>IF(V22="","",_xlfn.XLOOKUP(V22,Writers!$A$3:$A$999,Writers!$B$3:$B$999,""))</f>
        <v/>
      </c>
      <c r="X22">
        <v>10.4</v>
      </c>
      <c r="Y22"/>
      <c r="Z22"/>
      <c r="AA22">
        <f t="shared" si="0"/>
        <v>13.16</v>
      </c>
      <c r="AB22" t="str">
        <f t="shared" si="1"/>
        <v/>
      </c>
      <c r="AC22" t="str">
        <f t="shared" si="2"/>
        <v/>
      </c>
      <c r="AD22">
        <f>VLOOKUP(YEAR(Q22),Populations!$A$3:$B$999,2,0)</f>
        <v>53990800</v>
      </c>
      <c r="AE22">
        <f>(Calculations!B1/AD22)</f>
        <v>1.26512168739859</v>
      </c>
      <c r="AF22"/>
      <c r="AG22">
        <v>1</v>
      </c>
      <c r="AH22" t="str">
        <f>VLOOKUP(AG22,WikiFormats!$A$3:$B$999,2,0)</f>
        <v>Story</v>
      </c>
      <c r="AI22" t="s">
        <v>580</v>
      </c>
    </row>
    <row r="23" spans="1:35" s="8" customFormat="1" x14ac:dyDescent="0.55000000000000004">
      <c r="A23" s="3">
        <v>21</v>
      </c>
      <c r="B23" s="3">
        <v>1</v>
      </c>
      <c r="C23" s="3" t="str">
        <f>VLOOKUP(B23,Eras!$A$3:$B$999,2,0)</f>
        <v>Classic</v>
      </c>
      <c r="D23" s="3">
        <v>1</v>
      </c>
      <c r="E23" s="3" t="str">
        <f>VLOOKUP(D23,EpisodeFormats!$A$3:$B$999,2,0)</f>
        <v>Series</v>
      </c>
      <c r="F23" s="3">
        <v>1</v>
      </c>
      <c r="G23" s="3" t="str">
        <f>VLOOKUP(F23,Doctors!$A$3:$B$999,2,0)</f>
        <v>William Hartnell</v>
      </c>
      <c r="H23" s="3">
        <v>1</v>
      </c>
      <c r="I23" s="3">
        <v>1</v>
      </c>
      <c r="J23" s="3" t="str">
        <f>VLOOKUP(I23,SeasonFormats!$A$3:$B$999,2,0)</f>
        <v>Season</v>
      </c>
      <c r="K23" s="3">
        <v>5</v>
      </c>
      <c r="L23" s="3">
        <v>5</v>
      </c>
      <c r="M23" s="3" t="s">
        <v>225</v>
      </c>
      <c r="N23" s="3">
        <v>1</v>
      </c>
      <c r="O23" s="3" t="s">
        <v>241</v>
      </c>
      <c r="P23" s="3">
        <v>21</v>
      </c>
      <c r="Q23" s="7" t="d">
        <v>1964-04-11</v>
      </c>
      <c r="R23" s="3">
        <v>23</v>
      </c>
      <c r="S23" s="3"/>
      <c r="T23" s="4" t="s">
        <v>1132</v>
      </c>
      <c r="U23" s="3" t="str" cm="1">
        <f t="array" ref="U23">_xlfn.TEXTJOIN(",",TRUE,_xlfn.XLOOKUP(_xlfn.FILTERXML("&lt;t&gt;&lt;s&gt;" &amp; SUBSTITUTE(T23,",","&lt;/s&gt;&lt;s&gt;") &amp; "&lt;/s&gt;&lt;/t&gt;", "//s"),Writers!$A$3:$A$999,Writers!$B$3:$B$999,""))</f>
        <v>Terry Nation</v>
      </c>
      <c r="V23" s="3"/>
      <c r="W23" s="3" t="str">
        <f>IF(V23="","",_xlfn.XLOOKUP(V23,Writers!$A$3:$A$999,Writers!$B$3:$B$999,""))</f>
        <v/>
      </c>
      <c r="X23" s="3">
        <v>9.9</v>
      </c>
      <c r="Y23" s="3"/>
      <c r="Z23" s="3"/>
      <c r="AA23" s="3">
        <f t="shared" si="0"/>
        <v>12.52</v>
      </c>
      <c r="AB23" s="3" t="str">
        <f t="shared" si="1"/>
        <v/>
      </c>
      <c r="AC23" s="3" t="str">
        <f t="shared" si="2"/>
        <v/>
      </c>
      <c r="AD23" s="3">
        <f>VLOOKUP(YEAR(Q23),Populations!$A$3:$B$999,2,0)</f>
        <v>53990800</v>
      </c>
      <c r="AE23" s="3">
        <f>(Calculations!B1/AD23)</f>
        <v>1.26512168739859</v>
      </c>
      <c r="AF23" s="3"/>
      <c r="AG23" s="3">
        <v>1</v>
      </c>
      <c r="AH23" s="3" t="str">
        <f>VLOOKUP(AG23,WikiFormats!$A$3:$B$999,2,0)</f>
        <v>Story</v>
      </c>
      <c r="AI23" s="3" t="s">
        <v>581</v>
      </c>
    </row>
    <row r="24" spans="1:35" s="8" customFormat="1" x14ac:dyDescent="0.55000000000000004">
      <c r="A24" s="3">
        <v>22</v>
      </c>
      <c r="B24" s="3">
        <v>1</v>
      </c>
      <c r="C24" s="3" t="str">
        <f>VLOOKUP(B24,Eras!$A$3:$B$999,2,0)</f>
        <v>Classic</v>
      </c>
      <c r="D24" s="3">
        <v>1</v>
      </c>
      <c r="E24" s="3" t="str">
        <f>VLOOKUP(D24,EpisodeFormats!$A$3:$B$999,2,0)</f>
        <v>Series</v>
      </c>
      <c r="F24" s="3">
        <v>1</v>
      </c>
      <c r="G24" s="3" t="str">
        <f>VLOOKUP(F24,Doctors!$A$3:$B$999,2,0)</f>
        <v>William Hartnell</v>
      </c>
      <c r="H24" s="3">
        <v>1</v>
      </c>
      <c r="I24" s="3">
        <v>1</v>
      </c>
      <c r="J24" s="3" t="str">
        <f>VLOOKUP(I24,SeasonFormats!$A$3:$B$999,2,0)</f>
        <v>Season</v>
      </c>
      <c r="K24" s="3">
        <v>5</v>
      </c>
      <c r="L24" s="3">
        <v>5</v>
      </c>
      <c r="M24" s="3" t="s">
        <v>225</v>
      </c>
      <c r="N24" s="3">
        <v>2</v>
      </c>
      <c r="O24" s="3" t="s">
        <v>242</v>
      </c>
      <c r="P24" s="3">
        <v>22</v>
      </c>
      <c r="Q24" s="7" t="d">
        <v>1964-04-18</v>
      </c>
      <c r="R24" s="3">
        <v>25</v>
      </c>
      <c r="S24" s="3"/>
      <c r="T24" s="4" t="s">
        <v>1132</v>
      </c>
      <c r="U24" s="3" t="str" cm="1">
        <f t="array" ref="U24">_xlfn.TEXTJOIN(",",TRUE,_xlfn.XLOOKUP(_xlfn.FILTERXML("&lt;t&gt;&lt;s&gt;" &amp; SUBSTITUTE(T24,",","&lt;/s&gt;&lt;s&gt;") &amp; "&lt;/s&gt;&lt;/t&gt;", "//s"),Writers!$A$3:$A$999,Writers!$B$3:$B$999,""))</f>
        <v>Terry Nation</v>
      </c>
      <c r="V24" s="3"/>
      <c r="W24" s="3" t="str">
        <f>IF(V24="","",_xlfn.XLOOKUP(V24,Writers!$A$3:$A$999,Writers!$B$3:$B$999,""))</f>
        <v/>
      </c>
      <c r="X24" s="3">
        <v>9.4</v>
      </c>
      <c r="Y24" s="3"/>
      <c r="Z24" s="3"/>
      <c r="AA24" s="3">
        <f t="shared" si="0"/>
        <v>11.89</v>
      </c>
      <c r="AB24" s="3" t="str">
        <f t="shared" si="1"/>
        <v/>
      </c>
      <c r="AC24" s="3" t="str">
        <f t="shared" si="2"/>
        <v/>
      </c>
      <c r="AD24" s="3">
        <f>VLOOKUP(YEAR(Q24),Populations!$A$3:$B$999,2,0)</f>
        <v>53990800</v>
      </c>
      <c r="AE24" s="3">
        <f>(Calculations!B1/AD24)</f>
        <v>1.26512168739859</v>
      </c>
      <c r="AF24" s="3"/>
      <c r="AG24" s="3">
        <v>1</v>
      </c>
      <c r="AH24" s="3" t="str">
        <f>VLOOKUP(AG24,WikiFormats!$A$3:$B$999,2,0)</f>
        <v>Story</v>
      </c>
      <c r="AI24" s="3" t="s">
        <v>581</v>
      </c>
    </row>
    <row r="25" spans="1:35" s="8" customFormat="1" x14ac:dyDescent="0.55000000000000004">
      <c r="A25" s="3">
        <v>23</v>
      </c>
      <c r="B25" s="3">
        <v>1</v>
      </c>
      <c r="C25" s="3" t="str">
        <f>VLOOKUP(B25,Eras!$A$3:$B$999,2,0)</f>
        <v>Classic</v>
      </c>
      <c r="D25" s="3">
        <v>1</v>
      </c>
      <c r="E25" s="3" t="str">
        <f>VLOOKUP(D25,EpisodeFormats!$A$3:$B$999,2,0)</f>
        <v>Series</v>
      </c>
      <c r="F25" s="3">
        <v>1</v>
      </c>
      <c r="G25" s="3" t="str">
        <f>VLOOKUP(F25,Doctors!$A$3:$B$999,2,0)</f>
        <v>William Hartnell</v>
      </c>
      <c r="H25" s="3">
        <v>1</v>
      </c>
      <c r="I25" s="3">
        <v>1</v>
      </c>
      <c r="J25" s="3" t="str">
        <f>VLOOKUP(I25,SeasonFormats!$A$3:$B$999,2,0)</f>
        <v>Season</v>
      </c>
      <c r="K25" s="3">
        <v>5</v>
      </c>
      <c r="L25" s="3">
        <v>5</v>
      </c>
      <c r="M25" s="3" t="s">
        <v>225</v>
      </c>
      <c r="N25" s="3">
        <v>3</v>
      </c>
      <c r="O25" s="3" t="s">
        <v>243</v>
      </c>
      <c r="P25" s="3">
        <v>23</v>
      </c>
      <c r="Q25" s="7" t="d">
        <v>1964-04-25</v>
      </c>
      <c r="R25" s="3">
        <v>24</v>
      </c>
      <c r="S25" s="3"/>
      <c r="T25" s="4" t="s">
        <v>1132</v>
      </c>
      <c r="U25" s="3" t="str" cm="1">
        <f t="array" ref="U25">_xlfn.TEXTJOIN(",",TRUE,_xlfn.XLOOKUP(_xlfn.FILTERXML("&lt;t&gt;&lt;s&gt;" &amp; SUBSTITUTE(T25,",","&lt;/s&gt;&lt;s&gt;") &amp; "&lt;/s&gt;&lt;/t&gt;", "//s"),Writers!$A$3:$A$999,Writers!$B$3:$B$999,""))</f>
        <v>Terry Nation</v>
      </c>
      <c r="V25" s="3"/>
      <c r="W25" s="3" t="str">
        <f>IF(V25="","",_xlfn.XLOOKUP(V25,Writers!$A$3:$A$999,Writers!$B$3:$B$999,""))</f>
        <v/>
      </c>
      <c r="X25" s="3">
        <v>9.9</v>
      </c>
      <c r="Y25" s="3"/>
      <c r="Z25" s="3"/>
      <c r="AA25" s="3">
        <f t="shared" si="0"/>
        <v>12.52</v>
      </c>
      <c r="AB25" s="3" t="str">
        <f t="shared" si="1"/>
        <v/>
      </c>
      <c r="AC25" s="3" t="str">
        <f t="shared" si="2"/>
        <v/>
      </c>
      <c r="AD25" s="3">
        <f>VLOOKUP(YEAR(Q25),Populations!$A$3:$B$999,2,0)</f>
        <v>53990800</v>
      </c>
      <c r="AE25" s="3">
        <f>(Calculations!B1/AD25)</f>
        <v>1.26512168739859</v>
      </c>
      <c r="AF25" s="3"/>
      <c r="AG25" s="3">
        <v>1</v>
      </c>
      <c r="AH25" s="3" t="str">
        <f>VLOOKUP(AG25,WikiFormats!$A$3:$B$999,2,0)</f>
        <v>Story</v>
      </c>
      <c r="AI25" s="3" t="s">
        <v>581</v>
      </c>
    </row>
    <row r="26" spans="1:35" s="8" customFormat="1" x14ac:dyDescent="0.55000000000000004">
      <c r="A26" s="3">
        <v>24</v>
      </c>
      <c r="B26" s="3">
        <v>1</v>
      </c>
      <c r="C26" s="3" t="str">
        <f>VLOOKUP(B26,Eras!$A$3:$B$999,2,0)</f>
        <v>Classic</v>
      </c>
      <c r="D26" s="3">
        <v>1</v>
      </c>
      <c r="E26" s="3" t="str">
        <f>VLOOKUP(D26,EpisodeFormats!$A$3:$B$999,2,0)</f>
        <v>Series</v>
      </c>
      <c r="F26" s="3">
        <v>1</v>
      </c>
      <c r="G26" s="3" t="str">
        <f>VLOOKUP(F26,Doctors!$A$3:$B$999,2,0)</f>
        <v>William Hartnell</v>
      </c>
      <c r="H26" s="3">
        <v>1</v>
      </c>
      <c r="I26" s="3">
        <v>1</v>
      </c>
      <c r="J26" s="3" t="str">
        <f>VLOOKUP(I26,SeasonFormats!$A$3:$B$999,2,0)</f>
        <v>Season</v>
      </c>
      <c r="K26" s="3">
        <v>5</v>
      </c>
      <c r="L26" s="3">
        <v>5</v>
      </c>
      <c r="M26" s="3" t="s">
        <v>225</v>
      </c>
      <c r="N26" s="3">
        <v>4</v>
      </c>
      <c r="O26" s="3" t="s">
        <v>244</v>
      </c>
      <c r="P26" s="3">
        <v>24</v>
      </c>
      <c r="Q26" s="7" t="d">
        <v>1964-05-02</v>
      </c>
      <c r="R26" s="3">
        <v>25</v>
      </c>
      <c r="S26" s="3"/>
      <c r="T26" s="4" t="s">
        <v>1132</v>
      </c>
      <c r="U26" s="3" t="str" cm="1">
        <f t="array" ref="U26">_xlfn.TEXTJOIN(",",TRUE,_xlfn.XLOOKUP(_xlfn.FILTERXML("&lt;t&gt;&lt;s&gt;" &amp; SUBSTITUTE(T26,",","&lt;/s&gt;&lt;s&gt;") &amp; "&lt;/s&gt;&lt;/t&gt;", "//s"),Writers!$A$3:$A$999,Writers!$B$3:$B$999,""))</f>
        <v>Terry Nation</v>
      </c>
      <c r="V26" s="3"/>
      <c r="W26" s="3" t="str">
        <f>IF(V26="","",_xlfn.XLOOKUP(V26,Writers!$A$3:$A$999,Writers!$B$3:$B$999,""))</f>
        <v/>
      </c>
      <c r="X26" s="3">
        <v>10.4</v>
      </c>
      <c r="Y26" s="3"/>
      <c r="Z26" s="3"/>
      <c r="AA26" s="3">
        <f t="shared" si="0"/>
        <v>13.16</v>
      </c>
      <c r="AB26" s="3" t="str">
        <f t="shared" si="1"/>
        <v/>
      </c>
      <c r="AC26" s="3" t="str">
        <f t="shared" si="2"/>
        <v/>
      </c>
      <c r="AD26" s="3">
        <f>VLOOKUP(YEAR(Q26),Populations!$A$3:$B$999,2,0)</f>
        <v>53990800</v>
      </c>
      <c r="AE26" s="3">
        <f>(Calculations!B1/AD26)</f>
        <v>1.26512168739859</v>
      </c>
      <c r="AF26" s="3"/>
      <c r="AG26" s="3">
        <v>1</v>
      </c>
      <c r="AH26" s="3" t="str">
        <f>VLOOKUP(AG26,WikiFormats!$A$3:$B$999,2,0)</f>
        <v>Story</v>
      </c>
      <c r="AI26" s="3" t="s">
        <v>581</v>
      </c>
    </row>
    <row r="27" spans="1:35" s="8" customFormat="1" x14ac:dyDescent="0.55000000000000004">
      <c r="A27" s="3">
        <v>25</v>
      </c>
      <c r="B27" s="3">
        <v>1</v>
      </c>
      <c r="C27" s="3" t="str">
        <f>VLOOKUP(B27,Eras!$A$3:$B$999,2,0)</f>
        <v>Classic</v>
      </c>
      <c r="D27" s="3">
        <v>1</v>
      </c>
      <c r="E27" s="3" t="str">
        <f>VLOOKUP(D27,EpisodeFormats!$A$3:$B$999,2,0)</f>
        <v>Series</v>
      </c>
      <c r="F27" s="3">
        <v>1</v>
      </c>
      <c r="G27" s="3" t="str">
        <f>VLOOKUP(F27,Doctors!$A$3:$B$999,2,0)</f>
        <v>William Hartnell</v>
      </c>
      <c r="H27" s="3">
        <v>1</v>
      </c>
      <c r="I27" s="3">
        <v>1</v>
      </c>
      <c r="J27" s="3" t="str">
        <f>VLOOKUP(I27,SeasonFormats!$A$3:$B$999,2,0)</f>
        <v>Season</v>
      </c>
      <c r="K27" s="3">
        <v>5</v>
      </c>
      <c r="L27" s="3">
        <v>5</v>
      </c>
      <c r="M27" s="3" t="s">
        <v>225</v>
      </c>
      <c r="N27" s="3">
        <v>5</v>
      </c>
      <c r="O27" s="3" t="s">
        <v>245</v>
      </c>
      <c r="P27" s="3">
        <v>25</v>
      </c>
      <c r="Q27" s="7" t="d">
        <v>1964-05-09</v>
      </c>
      <c r="R27" s="3">
        <v>25</v>
      </c>
      <c r="S27" s="3"/>
      <c r="T27" s="4" t="s">
        <v>1132</v>
      </c>
      <c r="U27" s="3" t="str" cm="1">
        <f t="array" ref="U27">_xlfn.TEXTJOIN(",",TRUE,_xlfn.XLOOKUP(_xlfn.FILTERXML("&lt;t&gt;&lt;s&gt;" &amp; SUBSTITUTE(T27,",","&lt;/s&gt;&lt;s&gt;") &amp; "&lt;/s&gt;&lt;/t&gt;", "//s"),Writers!$A$3:$A$999,Writers!$B$3:$B$999,""))</f>
        <v>Terry Nation</v>
      </c>
      <c r="V27" s="3"/>
      <c r="W27" s="3" t="str">
        <f>IF(V27="","",_xlfn.XLOOKUP(V27,Writers!$A$3:$A$999,Writers!$B$3:$B$999,""))</f>
        <v/>
      </c>
      <c r="X27" s="3">
        <v>7.9</v>
      </c>
      <c r="Y27" s="3"/>
      <c r="Z27" s="3"/>
      <c r="AA27" s="3">
        <f t="shared" si="0"/>
        <v>9.99</v>
      </c>
      <c r="AB27" s="3" t="str">
        <f t="shared" si="1"/>
        <v/>
      </c>
      <c r="AC27" s="3" t="str">
        <f t="shared" si="2"/>
        <v/>
      </c>
      <c r="AD27" s="3">
        <f>VLOOKUP(YEAR(Q27),Populations!$A$3:$B$999,2,0)</f>
        <v>53990800</v>
      </c>
      <c r="AE27" s="3">
        <f>(Calculations!B1/AD27)</f>
        <v>1.26512168739859</v>
      </c>
      <c r="AF27" s="3"/>
      <c r="AG27" s="3">
        <v>1</v>
      </c>
      <c r="AH27" s="3" t="str">
        <f>VLOOKUP(AG27,WikiFormats!$A$3:$B$999,2,0)</f>
        <v>Story</v>
      </c>
      <c r="AI27" s="3" t="s">
        <v>581</v>
      </c>
    </row>
    <row r="28" spans="1:35" s="8" customFormat="1" x14ac:dyDescent="0.55000000000000004">
      <c r="A28" s="3">
        <v>26</v>
      </c>
      <c r="B28" s="3">
        <v>1</v>
      </c>
      <c r="C28" s="3" t="str">
        <f>VLOOKUP(B28,Eras!$A$3:$B$999,2,0)</f>
        <v>Classic</v>
      </c>
      <c r="D28" s="3">
        <v>1</v>
      </c>
      <c r="E28" s="3" t="str">
        <f>VLOOKUP(D28,EpisodeFormats!$A$3:$B$999,2,0)</f>
        <v>Series</v>
      </c>
      <c r="F28" s="3">
        <v>1</v>
      </c>
      <c r="G28" s="3" t="str">
        <f>VLOOKUP(F28,Doctors!$A$3:$B$999,2,0)</f>
        <v>William Hartnell</v>
      </c>
      <c r="H28" s="3">
        <v>1</v>
      </c>
      <c r="I28" s="3">
        <v>1</v>
      </c>
      <c r="J28" s="3" t="str">
        <f>VLOOKUP(I28,SeasonFormats!$A$3:$B$999,2,0)</f>
        <v>Season</v>
      </c>
      <c r="K28" s="3">
        <v>5</v>
      </c>
      <c r="L28" s="3">
        <v>5</v>
      </c>
      <c r="M28" s="3" t="s">
        <v>225</v>
      </c>
      <c r="N28" s="3">
        <v>6</v>
      </c>
      <c r="O28" s="3" t="s">
        <v>225</v>
      </c>
      <c r="P28" s="3">
        <v>26</v>
      </c>
      <c r="Q28" s="7" t="d">
        <v>1964-05-16</v>
      </c>
      <c r="R28" s="3">
        <v>25</v>
      </c>
      <c r="S28" s="3"/>
      <c r="T28" s="4" t="s">
        <v>1132</v>
      </c>
      <c r="U28" s="3" t="str" cm="1">
        <f t="array" ref="U28">_xlfn.TEXTJOIN(",",TRUE,_xlfn.XLOOKUP(_xlfn.FILTERXML("&lt;t&gt;&lt;s&gt;" &amp; SUBSTITUTE(T28,",","&lt;/s&gt;&lt;s&gt;") &amp; "&lt;/s&gt;&lt;/t&gt;", "//s"),Writers!$A$3:$A$999,Writers!$B$3:$B$999,""))</f>
        <v>Terry Nation</v>
      </c>
      <c r="V28" s="3"/>
      <c r="W28" s="3" t="str">
        <f>IF(V28="","",_xlfn.XLOOKUP(V28,Writers!$A$3:$A$999,Writers!$B$3:$B$999,""))</f>
        <v/>
      </c>
      <c r="X28" s="3">
        <v>6.9</v>
      </c>
      <c r="Y28" s="3"/>
      <c r="Z28" s="3"/>
      <c r="AA28" s="3">
        <f t="shared" si="0"/>
        <v>8.73</v>
      </c>
      <c r="AB28" s="3" t="str">
        <f t="shared" si="1"/>
        <v/>
      </c>
      <c r="AC28" s="3" t="str">
        <f t="shared" si="2"/>
        <v/>
      </c>
      <c r="AD28" s="3">
        <f>VLOOKUP(YEAR(Q28),Populations!$A$3:$B$999,2,0)</f>
        <v>53990800</v>
      </c>
      <c r="AE28" s="3">
        <f>(Calculations!B1/AD28)</f>
        <v>1.26512168739859</v>
      </c>
      <c r="AF28" s="3"/>
      <c r="AG28" s="3">
        <v>1</v>
      </c>
      <c r="AH28" s="3" t="str">
        <f>VLOOKUP(AG28,WikiFormats!$A$3:$B$999,2,0)</f>
        <v>Story</v>
      </c>
      <c r="AI28" s="3" t="s">
        <v>581</v>
      </c>
    </row>
    <row r="29" spans="1:35" s="2" customFormat="1" x14ac:dyDescent="0.55000000000000004">
      <c r="A29">
        <v>27</v>
      </c>
      <c r="B29">
        <v>1</v>
      </c>
      <c r="C29" t="str">
        <f>VLOOKUP(B29,Eras!$A$3:$B$999,2,0)</f>
        <v>Classic</v>
      </c>
      <c r="D29">
        <v>1</v>
      </c>
      <c r="E29" t="str">
        <f>VLOOKUP(D29,EpisodeFormats!$A$3:$B$999,2,0)</f>
        <v>Series</v>
      </c>
      <c r="F29">
        <v>1</v>
      </c>
      <c r="G29" t="str">
        <f>VLOOKUP(F29,Doctors!$A$3:$B$999,2,0)</f>
        <v>William Hartnell</v>
      </c>
      <c r="H29">
        <v>1</v>
      </c>
      <c r="I29">
        <v>1</v>
      </c>
      <c r="J29" t="str">
        <f>VLOOKUP(I29,SeasonFormats!$A$3:$B$999,2,0)</f>
        <v>Season</v>
      </c>
      <c r="K29">
        <v>6</v>
      </c>
      <c r="L29">
        <v>6</v>
      </c>
      <c r="M29" t="s">
        <v>226</v>
      </c>
      <c r="N29">
        <v>1</v>
      </c>
      <c r="O29" t="s">
        <v>246</v>
      </c>
      <c r="P29">
        <v>27</v>
      </c>
      <c r="Q29" s="6" t="d">
        <v>1964-05-23</v>
      </c>
      <c r="R29">
        <v>24</v>
      </c>
      <c r="S29"/>
      <c r="T29" s="15" t="s">
        <v>1137</v>
      </c>
      <c r="U29" t="str" cm="1">
        <f t="array" ref="U29">_xlfn.TEXTJOIN(",",TRUE,_xlfn.XLOOKUP(_xlfn.FILTERXML("&lt;t&gt;&lt;s&gt;" &amp; SUBSTITUTE(T29,",","&lt;/s&gt;&lt;s&gt;") &amp; "&lt;/s&gt;&lt;/t&gt;", "//s"),Writers!$A$3:$A$999,Writers!$B$3:$B$999,""))</f>
        <v>John Lucarotti</v>
      </c>
      <c r="V29"/>
      <c r="W29" t="str">
        <f>IF(V29="","",_xlfn.XLOOKUP(V29,Writers!$A$3:$A$999,Writers!$B$3:$B$999,""))</f>
        <v/>
      </c>
      <c r="X29">
        <v>7.4</v>
      </c>
      <c r="Y29"/>
      <c r="Z29"/>
      <c r="AA29">
        <f t="shared" si="0"/>
        <v>9.36</v>
      </c>
      <c r="AB29" t="str">
        <f t="shared" si="1"/>
        <v/>
      </c>
      <c r="AC29" t="str">
        <f t="shared" si="2"/>
        <v/>
      </c>
      <c r="AD29">
        <f>VLOOKUP(YEAR(Q29),Populations!$A$3:$B$999,2,0)</f>
        <v>53990800</v>
      </c>
      <c r="AE29">
        <f>(Calculations!B1/AD29)</f>
        <v>1.26512168739859</v>
      </c>
      <c r="AF29"/>
      <c r="AG29">
        <v>1</v>
      </c>
      <c r="AH29" t="str">
        <f>VLOOKUP(AG29,WikiFormats!$A$3:$B$999,2,0)</f>
        <v>Story</v>
      </c>
      <c r="AI29" t="s">
        <v>582</v>
      </c>
    </row>
    <row r="30" spans="1:35" s="2" customFormat="1" x14ac:dyDescent="0.55000000000000004">
      <c r="A30">
        <v>28</v>
      </c>
      <c r="B30">
        <v>1</v>
      </c>
      <c r="C30" t="str">
        <f>VLOOKUP(B30,Eras!$A$3:$B$999,2,0)</f>
        <v>Classic</v>
      </c>
      <c r="D30">
        <v>1</v>
      </c>
      <c r="E30" t="str">
        <f>VLOOKUP(D30,EpisodeFormats!$A$3:$B$999,2,0)</f>
        <v>Series</v>
      </c>
      <c r="F30">
        <v>1</v>
      </c>
      <c r="G30" t="str">
        <f>VLOOKUP(F30,Doctors!$A$3:$B$999,2,0)</f>
        <v>William Hartnell</v>
      </c>
      <c r="H30">
        <v>1</v>
      </c>
      <c r="I30">
        <v>1</v>
      </c>
      <c r="J30" t="str">
        <f>VLOOKUP(I30,SeasonFormats!$A$3:$B$999,2,0)</f>
        <v>Season</v>
      </c>
      <c r="K30">
        <v>6</v>
      </c>
      <c r="L30">
        <v>6</v>
      </c>
      <c r="M30" t="s">
        <v>226</v>
      </c>
      <c r="N30">
        <v>2</v>
      </c>
      <c r="O30" t="s">
        <v>247</v>
      </c>
      <c r="P30">
        <v>28</v>
      </c>
      <c r="Q30" s="6" t="d">
        <v>1964-05-30</v>
      </c>
      <c r="R30">
        <v>24</v>
      </c>
      <c r="S30"/>
      <c r="T30" s="15" t="s">
        <v>1137</v>
      </c>
      <c r="U30" t="str" cm="1">
        <f t="array" ref="U30">_xlfn.TEXTJOIN(",",TRUE,_xlfn.XLOOKUP(_xlfn.FILTERXML("&lt;t&gt;&lt;s&gt;" &amp; SUBSTITUTE(T30,",","&lt;/s&gt;&lt;s&gt;") &amp; "&lt;/s&gt;&lt;/t&gt;", "//s"),Writers!$A$3:$A$999,Writers!$B$3:$B$999,""))</f>
        <v>John Lucarotti</v>
      </c>
      <c r="V30"/>
      <c r="W30" t="str">
        <f>IF(V30="","",_xlfn.XLOOKUP(V30,Writers!$A$3:$A$999,Writers!$B$3:$B$999,""))</f>
        <v/>
      </c>
      <c r="X30">
        <v>7.4</v>
      </c>
      <c r="Y30"/>
      <c r="Z30"/>
      <c r="AA30">
        <f t="shared" si="0"/>
        <v>9.36</v>
      </c>
      <c r="AB30" t="str">
        <f t="shared" si="1"/>
        <v/>
      </c>
      <c r="AC30" t="str">
        <f t="shared" si="2"/>
        <v/>
      </c>
      <c r="AD30">
        <f>VLOOKUP(YEAR(Q30),Populations!$A$3:$B$999,2,0)</f>
        <v>53990800</v>
      </c>
      <c r="AE30">
        <f>(Calculations!B1/AD30)</f>
        <v>1.26512168739859</v>
      </c>
      <c r="AF30"/>
      <c r="AG30">
        <v>1</v>
      </c>
      <c r="AH30" t="str">
        <f>VLOOKUP(AG30,WikiFormats!$A$3:$B$999,2,0)</f>
        <v>Story</v>
      </c>
      <c r="AI30" t="s">
        <v>582</v>
      </c>
    </row>
    <row r="31" spans="1:35" s="2" customFormat="1" x14ac:dyDescent="0.55000000000000004">
      <c r="A31">
        <v>29</v>
      </c>
      <c r="B31">
        <v>1</v>
      </c>
      <c r="C31" t="str">
        <f>VLOOKUP(B31,Eras!$A$3:$B$999,2,0)</f>
        <v>Classic</v>
      </c>
      <c r="D31">
        <v>1</v>
      </c>
      <c r="E31" t="str">
        <f>VLOOKUP(D31,EpisodeFormats!$A$3:$B$999,2,0)</f>
        <v>Series</v>
      </c>
      <c r="F31">
        <v>1</v>
      </c>
      <c r="G31" t="str">
        <f>VLOOKUP(F31,Doctors!$A$3:$B$999,2,0)</f>
        <v>William Hartnell</v>
      </c>
      <c r="H31">
        <v>1</v>
      </c>
      <c r="I31">
        <v>1</v>
      </c>
      <c r="J31" t="str">
        <f>VLOOKUP(I31,SeasonFormats!$A$3:$B$999,2,0)</f>
        <v>Season</v>
      </c>
      <c r="K31">
        <v>6</v>
      </c>
      <c r="L31">
        <v>6</v>
      </c>
      <c r="M31" t="s">
        <v>226</v>
      </c>
      <c r="N31">
        <v>3</v>
      </c>
      <c r="O31" t="s">
        <v>248</v>
      </c>
      <c r="P31">
        <v>29</v>
      </c>
      <c r="Q31" s="6" t="d">
        <v>1964-06-06</v>
      </c>
      <c r="R31">
        <v>25</v>
      </c>
      <c r="S31"/>
      <c r="T31" s="15" t="s">
        <v>1137</v>
      </c>
      <c r="U31" t="str" cm="1">
        <f t="array" ref="U31">_xlfn.TEXTJOIN(",",TRUE,_xlfn.XLOOKUP(_xlfn.FILTERXML("&lt;t&gt;&lt;s&gt;" &amp; SUBSTITUTE(T31,",","&lt;/s&gt;&lt;s&gt;") &amp; "&lt;/s&gt;&lt;/t&gt;", "//s"),Writers!$A$3:$A$999,Writers!$B$3:$B$999,""))</f>
        <v>John Lucarotti</v>
      </c>
      <c r="V31"/>
      <c r="W31" t="str">
        <f>IF(V31="","",_xlfn.XLOOKUP(V31,Writers!$A$3:$A$999,Writers!$B$3:$B$999,""))</f>
        <v/>
      </c>
      <c r="X31">
        <v>7.9</v>
      </c>
      <c r="Y31"/>
      <c r="Z31"/>
      <c r="AA31">
        <f t="shared" si="0"/>
        <v>9.99</v>
      </c>
      <c r="AB31" t="str">
        <f t="shared" si="1"/>
        <v/>
      </c>
      <c r="AC31" t="str">
        <f t="shared" si="2"/>
        <v/>
      </c>
      <c r="AD31">
        <f>VLOOKUP(YEAR(Q31),Populations!$A$3:$B$999,2,0)</f>
        <v>53990800</v>
      </c>
      <c r="AE31">
        <f>(Calculations!B1/AD31)</f>
        <v>1.26512168739859</v>
      </c>
      <c r="AF31"/>
      <c r="AG31">
        <v>1</v>
      </c>
      <c r="AH31" t="str">
        <f>VLOOKUP(AG31,WikiFormats!$A$3:$B$999,2,0)</f>
        <v>Story</v>
      </c>
      <c r="AI31" t="s">
        <v>582</v>
      </c>
    </row>
    <row r="32" spans="1:35" s="2" customFormat="1" x14ac:dyDescent="0.55000000000000004">
      <c r="A32">
        <v>30</v>
      </c>
      <c r="B32">
        <v>1</v>
      </c>
      <c r="C32" t="str">
        <f>VLOOKUP(B32,Eras!$A$3:$B$999,2,0)</f>
        <v>Classic</v>
      </c>
      <c r="D32">
        <v>1</v>
      </c>
      <c r="E32" t="str">
        <f>VLOOKUP(D32,EpisodeFormats!$A$3:$B$999,2,0)</f>
        <v>Series</v>
      </c>
      <c r="F32">
        <v>1</v>
      </c>
      <c r="G32" t="str">
        <f>VLOOKUP(F32,Doctors!$A$3:$B$999,2,0)</f>
        <v>William Hartnell</v>
      </c>
      <c r="H32">
        <v>1</v>
      </c>
      <c r="I32">
        <v>1</v>
      </c>
      <c r="J32" t="str">
        <f>VLOOKUP(I32,SeasonFormats!$A$3:$B$999,2,0)</f>
        <v>Season</v>
      </c>
      <c r="K32">
        <v>6</v>
      </c>
      <c r="L32">
        <v>6</v>
      </c>
      <c r="M32" t="s">
        <v>226</v>
      </c>
      <c r="N32">
        <v>4</v>
      </c>
      <c r="O32" t="s">
        <v>249</v>
      </c>
      <c r="P32">
        <v>30</v>
      </c>
      <c r="Q32" s="6" t="d">
        <v>1964-06-13</v>
      </c>
      <c r="R32">
        <v>25</v>
      </c>
      <c r="S32"/>
      <c r="T32" s="15" t="s">
        <v>1137</v>
      </c>
      <c r="U32" t="str" cm="1">
        <f t="array" ref="U32">_xlfn.TEXTJOIN(",",TRUE,_xlfn.XLOOKUP(_xlfn.FILTERXML("&lt;t&gt;&lt;s&gt;" &amp; SUBSTITUTE(T32,",","&lt;/s&gt;&lt;s&gt;") &amp; "&lt;/s&gt;&lt;/t&gt;", "//s"),Writers!$A$3:$A$999,Writers!$B$3:$B$999,""))</f>
        <v>John Lucarotti</v>
      </c>
      <c r="V32"/>
      <c r="W32" t="str">
        <f>IF(V32="","",_xlfn.XLOOKUP(V32,Writers!$A$3:$A$999,Writers!$B$3:$B$999,""))</f>
        <v/>
      </c>
      <c r="X32">
        <v>7.4</v>
      </c>
      <c r="Y32"/>
      <c r="Z32"/>
      <c r="AA32">
        <f t="shared" si="0"/>
        <v>9.36</v>
      </c>
      <c r="AB32" t="str">
        <f t="shared" si="1"/>
        <v/>
      </c>
      <c r="AC32" t="str">
        <f t="shared" si="2"/>
        <v/>
      </c>
      <c r="AD32">
        <f>VLOOKUP(YEAR(Q32),Populations!$A$3:$B$999,2,0)</f>
        <v>53990800</v>
      </c>
      <c r="AE32">
        <f>(Calculations!B1/AD32)</f>
        <v>1.26512168739859</v>
      </c>
      <c r="AF32"/>
      <c r="AG32">
        <v>1</v>
      </c>
      <c r="AH32" t="str">
        <f>VLOOKUP(AG32,WikiFormats!$A$3:$B$999,2,0)</f>
        <v>Story</v>
      </c>
      <c r="AI32" t="s">
        <v>582</v>
      </c>
    </row>
    <row r="33" spans="1:35" s="8" customFormat="1" x14ac:dyDescent="0.55000000000000004">
      <c r="A33" s="3">
        <v>31</v>
      </c>
      <c r="B33" s="3">
        <v>1</v>
      </c>
      <c r="C33" s="3" t="str">
        <f>VLOOKUP(B33,Eras!$A$3:$B$999,2,0)</f>
        <v>Classic</v>
      </c>
      <c r="D33" s="3">
        <v>1</v>
      </c>
      <c r="E33" s="3" t="str">
        <f>VLOOKUP(D33,EpisodeFormats!$A$3:$B$999,2,0)</f>
        <v>Series</v>
      </c>
      <c r="F33" s="3">
        <v>1</v>
      </c>
      <c r="G33" s="3" t="str">
        <f>VLOOKUP(F33,Doctors!$A$3:$B$999,2,0)</f>
        <v>William Hartnell</v>
      </c>
      <c r="H33" s="3">
        <v>1</v>
      </c>
      <c r="I33" s="3">
        <v>1</v>
      </c>
      <c r="J33" s="3" t="str">
        <f>VLOOKUP(I33,SeasonFormats!$A$3:$B$999,2,0)</f>
        <v>Season</v>
      </c>
      <c r="K33" s="3">
        <v>7</v>
      </c>
      <c r="L33" s="3">
        <v>7</v>
      </c>
      <c r="M33" s="3" t="s">
        <v>227</v>
      </c>
      <c r="N33" s="3">
        <v>1</v>
      </c>
      <c r="O33" s="3" t="s">
        <v>250</v>
      </c>
      <c r="P33" s="3">
        <v>31</v>
      </c>
      <c r="Q33" s="7" t="d">
        <v>1964-06-20</v>
      </c>
      <c r="R33" s="3">
        <v>25</v>
      </c>
      <c r="S33" s="3"/>
      <c r="T33" s="4" t="s">
        <v>1147</v>
      </c>
      <c r="U33" s="3" t="str" cm="1">
        <f t="array" ref="U33">_xlfn.TEXTJOIN(",",TRUE,_xlfn.XLOOKUP(_xlfn.FILTERXML("&lt;t&gt;&lt;s&gt;" &amp; SUBSTITUTE(T33,",","&lt;/s&gt;&lt;s&gt;") &amp; "&lt;/s&gt;&lt;/t&gt;", "//s"),Writers!$A$3:$A$999,Writers!$B$3:$B$999,""))</f>
        <v>Peter R. Newman</v>
      </c>
      <c r="V33" s="3"/>
      <c r="W33" s="3" t="str">
        <f>IF(V33="","",_xlfn.XLOOKUP(V33,Writers!$A$3:$A$999,Writers!$B$3:$B$999,""))</f>
        <v/>
      </c>
      <c r="X33" s="3">
        <v>7.9</v>
      </c>
      <c r="Y33" s="3"/>
      <c r="Z33" s="3"/>
      <c r="AA33" s="3">
        <f t="shared" si="0"/>
        <v>9.99</v>
      </c>
      <c r="AB33" s="3" t="str">
        <f t="shared" si="1"/>
        <v/>
      </c>
      <c r="AC33" s="3" t="str">
        <f t="shared" si="2"/>
        <v/>
      </c>
      <c r="AD33" s="3">
        <f>VLOOKUP(YEAR(Q33),Populations!$A$3:$B$999,2,0)</f>
        <v>53990800</v>
      </c>
      <c r="AE33" s="3">
        <f>(Calculations!B1/AD33)</f>
        <v>1.26512168739859</v>
      </c>
      <c r="AF33" s="3"/>
      <c r="AG33" s="3">
        <v>1</v>
      </c>
      <c r="AH33" s="3" t="str">
        <f>VLOOKUP(AG33,WikiFormats!$A$3:$B$999,2,0)</f>
        <v>Story</v>
      </c>
      <c r="AI33" s="3" t="s">
        <v>583</v>
      </c>
    </row>
    <row r="34" spans="1:35" s="8" customFormat="1" x14ac:dyDescent="0.55000000000000004">
      <c r="A34" s="3">
        <v>32</v>
      </c>
      <c r="B34" s="3">
        <v>1</v>
      </c>
      <c r="C34" s="3" t="str">
        <f>VLOOKUP(B34,Eras!$A$3:$B$999,2,0)</f>
        <v>Classic</v>
      </c>
      <c r="D34" s="3">
        <v>1</v>
      </c>
      <c r="E34" s="3" t="str">
        <f>VLOOKUP(D34,EpisodeFormats!$A$3:$B$999,2,0)</f>
        <v>Series</v>
      </c>
      <c r="F34" s="3">
        <v>1</v>
      </c>
      <c r="G34" s="3" t="str">
        <f>VLOOKUP(F34,Doctors!$A$3:$B$999,2,0)</f>
        <v>William Hartnell</v>
      </c>
      <c r="H34" s="3">
        <v>1</v>
      </c>
      <c r="I34" s="3">
        <v>1</v>
      </c>
      <c r="J34" s="3" t="str">
        <f>VLOOKUP(I34,SeasonFormats!$A$3:$B$999,2,0)</f>
        <v>Season</v>
      </c>
      <c r="K34" s="3">
        <v>7</v>
      </c>
      <c r="L34" s="3">
        <v>7</v>
      </c>
      <c r="M34" s="3" t="s">
        <v>227</v>
      </c>
      <c r="N34" s="3">
        <v>2</v>
      </c>
      <c r="O34" s="3" t="s">
        <v>251</v>
      </c>
      <c r="P34" s="3">
        <v>32</v>
      </c>
      <c r="Q34" s="7" t="d">
        <v>1964-06-27</v>
      </c>
      <c r="R34" s="3">
        <v>25</v>
      </c>
      <c r="S34" s="3"/>
      <c r="T34" s="4" t="s">
        <v>1147</v>
      </c>
      <c r="U34" s="3" t="str" cm="1">
        <f t="array" ref="U34">_xlfn.TEXTJOIN(",",TRUE,_xlfn.XLOOKUP(_xlfn.FILTERXML("&lt;t&gt;&lt;s&gt;" &amp; SUBSTITUTE(T34,",","&lt;/s&gt;&lt;s&gt;") &amp; "&lt;/s&gt;&lt;/t&gt;", "//s"),Writers!$A$3:$A$999,Writers!$B$3:$B$999,""))</f>
        <v>Peter R. Newman</v>
      </c>
      <c r="V34" s="3"/>
      <c r="W34" s="3" t="str">
        <f>IF(V34="","",_xlfn.XLOOKUP(V34,Writers!$A$3:$A$999,Writers!$B$3:$B$999,""))</f>
        <v/>
      </c>
      <c r="X34" s="3">
        <v>6.9</v>
      </c>
      <c r="Y34" s="3"/>
      <c r="Z34" s="3"/>
      <c r="AA34" s="3">
        <f t="shared" si="0"/>
        <v>8.73</v>
      </c>
      <c r="AB34" s="3" t="str">
        <f t="shared" si="1"/>
        <v/>
      </c>
      <c r="AC34" s="3" t="str">
        <f t="shared" si="2"/>
        <v/>
      </c>
      <c r="AD34" s="3">
        <f>VLOOKUP(YEAR(Q34),Populations!$A$3:$B$999,2,0)</f>
        <v>53990800</v>
      </c>
      <c r="AE34" s="3">
        <f>(Calculations!B1/AD34)</f>
        <v>1.26512168739859</v>
      </c>
      <c r="AF34" s="3"/>
      <c r="AG34" s="3">
        <v>1</v>
      </c>
      <c r="AH34" s="3" t="str">
        <f>VLOOKUP(AG34,WikiFormats!$A$3:$B$999,2,0)</f>
        <v>Story</v>
      </c>
      <c r="AI34" s="3" t="s">
        <v>583</v>
      </c>
    </row>
    <row r="35" spans="1:35" s="8" customFormat="1" x14ac:dyDescent="0.55000000000000004">
      <c r="A35" s="3">
        <v>33</v>
      </c>
      <c r="B35" s="3">
        <v>1</v>
      </c>
      <c r="C35" s="3" t="str">
        <f>VLOOKUP(B35,Eras!$A$3:$B$999,2,0)</f>
        <v>Classic</v>
      </c>
      <c r="D35" s="3">
        <v>1</v>
      </c>
      <c r="E35" s="3" t="str">
        <f>VLOOKUP(D35,EpisodeFormats!$A$3:$B$999,2,0)</f>
        <v>Series</v>
      </c>
      <c r="F35" s="3">
        <v>1</v>
      </c>
      <c r="G35" s="3" t="str">
        <f>VLOOKUP(F35,Doctors!$A$3:$B$999,2,0)</f>
        <v>William Hartnell</v>
      </c>
      <c r="H35" s="3">
        <v>1</v>
      </c>
      <c r="I35" s="3">
        <v>1</v>
      </c>
      <c r="J35" s="3" t="str">
        <f>VLOOKUP(I35,SeasonFormats!$A$3:$B$999,2,0)</f>
        <v>Season</v>
      </c>
      <c r="K35" s="3">
        <v>7</v>
      </c>
      <c r="L35" s="3">
        <v>7</v>
      </c>
      <c r="M35" s="3" t="s">
        <v>227</v>
      </c>
      <c r="N35" s="3">
        <v>3</v>
      </c>
      <c r="O35" s="3" t="s">
        <v>252</v>
      </c>
      <c r="P35" s="3">
        <v>33</v>
      </c>
      <c r="Q35" s="7" t="d">
        <v>1964-07-11</v>
      </c>
      <c r="R35" s="3">
        <v>25</v>
      </c>
      <c r="S35" s="3"/>
      <c r="T35" s="4" t="s">
        <v>1147</v>
      </c>
      <c r="U35" s="3" t="str" cm="1">
        <f t="array" ref="U35">_xlfn.TEXTJOIN(",",TRUE,_xlfn.XLOOKUP(_xlfn.FILTERXML("&lt;t&gt;&lt;s&gt;" &amp; SUBSTITUTE(T35,",","&lt;/s&gt;&lt;s&gt;") &amp; "&lt;/s&gt;&lt;/t&gt;", "//s"),Writers!$A$3:$A$999,Writers!$B$3:$B$999,""))</f>
        <v>Peter R. Newman</v>
      </c>
      <c r="V35" s="3"/>
      <c r="W35" s="3" t="str">
        <f>IF(V35="","",_xlfn.XLOOKUP(V35,Writers!$A$3:$A$999,Writers!$B$3:$B$999,""))</f>
        <v/>
      </c>
      <c r="X35" s="3">
        <v>7.4</v>
      </c>
      <c r="Y35" s="3"/>
      <c r="Z35" s="3"/>
      <c r="AA35" s="3">
        <f t="shared" si="0"/>
        <v>9.36</v>
      </c>
      <c r="AB35" s="3" t="str">
        <f t="shared" si="1"/>
        <v/>
      </c>
      <c r="AC35" s="3" t="str">
        <f t="shared" si="2"/>
        <v/>
      </c>
      <c r="AD35" s="3">
        <f>VLOOKUP(YEAR(Q35),Populations!$A$3:$B$999,2,0)</f>
        <v>53990800</v>
      </c>
      <c r="AE35" s="3">
        <f>(Calculations!B1/AD35)</f>
        <v>1.26512168739859</v>
      </c>
      <c r="AF35" s="3"/>
      <c r="AG35" s="3">
        <v>1</v>
      </c>
      <c r="AH35" s="3" t="str">
        <f>VLOOKUP(AG35,WikiFormats!$A$3:$B$999,2,0)</f>
        <v>Story</v>
      </c>
      <c r="AI35" s="3" t="s">
        <v>583</v>
      </c>
    </row>
    <row r="36" spans="1:35" s="8" customFormat="1" x14ac:dyDescent="0.55000000000000004">
      <c r="A36" s="3">
        <v>34</v>
      </c>
      <c r="B36" s="3">
        <v>1</v>
      </c>
      <c r="C36" s="3" t="str">
        <f>VLOOKUP(B36,Eras!$A$3:$B$999,2,0)</f>
        <v>Classic</v>
      </c>
      <c r="D36" s="3">
        <v>1</v>
      </c>
      <c r="E36" s="3" t="str">
        <f>VLOOKUP(D36,EpisodeFormats!$A$3:$B$999,2,0)</f>
        <v>Series</v>
      </c>
      <c r="F36" s="3">
        <v>1</v>
      </c>
      <c r="G36" s="3" t="str">
        <f>VLOOKUP(F36,Doctors!$A$3:$B$999,2,0)</f>
        <v>William Hartnell</v>
      </c>
      <c r="H36" s="3">
        <v>1</v>
      </c>
      <c r="I36" s="3">
        <v>1</v>
      </c>
      <c r="J36" s="3" t="str">
        <f>VLOOKUP(I36,SeasonFormats!$A$3:$B$999,2,0)</f>
        <v>Season</v>
      </c>
      <c r="K36" s="3">
        <v>7</v>
      </c>
      <c r="L36" s="3">
        <v>7</v>
      </c>
      <c r="M36" s="3" t="s">
        <v>227</v>
      </c>
      <c r="N36" s="3">
        <v>4</v>
      </c>
      <c r="O36" s="3" t="s">
        <v>253</v>
      </c>
      <c r="P36" s="3">
        <v>34</v>
      </c>
      <c r="Q36" s="7" t="d">
        <v>1964-07-18</v>
      </c>
      <c r="R36" s="3">
        <v>25</v>
      </c>
      <c r="S36" s="3"/>
      <c r="T36" s="4" t="s">
        <v>1147</v>
      </c>
      <c r="U36" s="3" t="str" cm="1">
        <f t="array" ref="U36">_xlfn.TEXTJOIN(",",TRUE,_xlfn.XLOOKUP(_xlfn.FILTERXML("&lt;t&gt;&lt;s&gt;" &amp; SUBSTITUTE(T36,",","&lt;/s&gt;&lt;s&gt;") &amp; "&lt;/s&gt;&lt;/t&gt;", "//s"),Writers!$A$3:$A$999,Writers!$B$3:$B$999,""))</f>
        <v>Peter R. Newman</v>
      </c>
      <c r="V36" s="3"/>
      <c r="W36" s="3" t="str">
        <f>IF(V36="","",_xlfn.XLOOKUP(V36,Writers!$A$3:$A$999,Writers!$B$3:$B$999,""))</f>
        <v/>
      </c>
      <c r="X36" s="3">
        <v>5.5</v>
      </c>
      <c r="Y36" s="3"/>
      <c r="Z36" s="3"/>
      <c r="AA36" s="3">
        <f t="shared" si="0"/>
        <v>6.96</v>
      </c>
      <c r="AB36" s="3" t="str">
        <f t="shared" si="1"/>
        <v/>
      </c>
      <c r="AC36" s="3" t="str">
        <f t="shared" si="2"/>
        <v/>
      </c>
      <c r="AD36" s="3">
        <f>VLOOKUP(YEAR(Q36),Populations!$A$3:$B$999,2,0)</f>
        <v>53990800</v>
      </c>
      <c r="AE36" s="3">
        <f>(Calculations!B1/AD36)</f>
        <v>1.26512168739859</v>
      </c>
      <c r="AF36" s="3"/>
      <c r="AG36" s="3">
        <v>1</v>
      </c>
      <c r="AH36" s="3" t="str">
        <f>VLOOKUP(AG36,WikiFormats!$A$3:$B$999,2,0)</f>
        <v>Story</v>
      </c>
      <c r="AI36" s="3" t="s">
        <v>583</v>
      </c>
    </row>
    <row r="37" spans="1:35" s="8" customFormat="1" x14ac:dyDescent="0.55000000000000004">
      <c r="A37" s="3">
        <v>35</v>
      </c>
      <c r="B37" s="3">
        <v>1</v>
      </c>
      <c r="C37" s="3" t="str">
        <f>VLOOKUP(B37,Eras!$A$3:$B$999,2,0)</f>
        <v>Classic</v>
      </c>
      <c r="D37" s="3">
        <v>1</v>
      </c>
      <c r="E37" s="3" t="str">
        <f>VLOOKUP(D37,EpisodeFormats!$A$3:$B$999,2,0)</f>
        <v>Series</v>
      </c>
      <c r="F37" s="3">
        <v>1</v>
      </c>
      <c r="G37" s="3" t="str">
        <f>VLOOKUP(F37,Doctors!$A$3:$B$999,2,0)</f>
        <v>William Hartnell</v>
      </c>
      <c r="H37" s="3">
        <v>1</v>
      </c>
      <c r="I37" s="3">
        <v>1</v>
      </c>
      <c r="J37" s="3" t="str">
        <f>VLOOKUP(I37,SeasonFormats!$A$3:$B$999,2,0)</f>
        <v>Season</v>
      </c>
      <c r="K37" s="3">
        <v>7</v>
      </c>
      <c r="L37" s="3">
        <v>7</v>
      </c>
      <c r="M37" s="3" t="s">
        <v>227</v>
      </c>
      <c r="N37" s="3">
        <v>5</v>
      </c>
      <c r="O37" s="3" t="s">
        <v>254</v>
      </c>
      <c r="P37" s="3">
        <v>35</v>
      </c>
      <c r="Q37" s="7" t="d">
        <v>1964-07-25</v>
      </c>
      <c r="R37" s="3">
        <v>26</v>
      </c>
      <c r="S37" s="3"/>
      <c r="T37" s="4" t="s">
        <v>1147</v>
      </c>
      <c r="U37" s="3" t="str" cm="1">
        <f t="array" ref="U37">_xlfn.TEXTJOIN(",",TRUE,_xlfn.XLOOKUP(_xlfn.FILTERXML("&lt;t&gt;&lt;s&gt;" &amp; SUBSTITUTE(T37,",","&lt;/s&gt;&lt;s&gt;") &amp; "&lt;/s&gt;&lt;/t&gt;", "//s"),Writers!$A$3:$A$999,Writers!$B$3:$B$999,""))</f>
        <v>Peter R. Newman</v>
      </c>
      <c r="V37" s="3"/>
      <c r="W37" s="3" t="str">
        <f>IF(V37="","",_xlfn.XLOOKUP(V37,Writers!$A$3:$A$999,Writers!$B$3:$B$999,""))</f>
        <v/>
      </c>
      <c r="X37" s="3">
        <v>6.9</v>
      </c>
      <c r="Y37" s="3"/>
      <c r="Z37" s="3"/>
      <c r="AA37" s="3">
        <f t="shared" si="0"/>
        <v>8.73</v>
      </c>
      <c r="AB37" s="3" t="str">
        <f t="shared" si="1"/>
        <v/>
      </c>
      <c r="AC37" s="3" t="str">
        <f t="shared" si="2"/>
        <v/>
      </c>
      <c r="AD37" s="3">
        <f>VLOOKUP(YEAR(Q37),Populations!$A$3:$B$999,2,0)</f>
        <v>53990800</v>
      </c>
      <c r="AE37" s="3">
        <f>(Calculations!B1/AD37)</f>
        <v>1.26512168739859</v>
      </c>
      <c r="AF37" s="3"/>
      <c r="AG37" s="3">
        <v>1</v>
      </c>
      <c r="AH37" s="3" t="str">
        <f>VLOOKUP(AG37,WikiFormats!$A$3:$B$999,2,0)</f>
        <v>Story</v>
      </c>
      <c r="AI37" s="3" t="s">
        <v>583</v>
      </c>
    </row>
    <row r="38" spans="1:35" s="8" customFormat="1" x14ac:dyDescent="0.55000000000000004">
      <c r="A38" s="3">
        <v>36</v>
      </c>
      <c r="B38" s="3">
        <v>1</v>
      </c>
      <c r="C38" s="3" t="str">
        <f>VLOOKUP(B38,Eras!$A$3:$B$999,2,0)</f>
        <v>Classic</v>
      </c>
      <c r="D38" s="3">
        <v>1</v>
      </c>
      <c r="E38" s="3" t="str">
        <f>VLOOKUP(D38,EpisodeFormats!$A$3:$B$999,2,0)</f>
        <v>Series</v>
      </c>
      <c r="F38" s="3">
        <v>1</v>
      </c>
      <c r="G38" s="3" t="str">
        <f>VLOOKUP(F38,Doctors!$A$3:$B$999,2,0)</f>
        <v>William Hartnell</v>
      </c>
      <c r="H38" s="3">
        <v>1</v>
      </c>
      <c r="I38" s="3">
        <v>1</v>
      </c>
      <c r="J38" s="3" t="str">
        <f>VLOOKUP(I38,SeasonFormats!$A$3:$B$999,2,0)</f>
        <v>Season</v>
      </c>
      <c r="K38" s="3">
        <v>7</v>
      </c>
      <c r="L38" s="3">
        <v>7</v>
      </c>
      <c r="M38" s="3" t="s">
        <v>227</v>
      </c>
      <c r="N38" s="3">
        <v>6</v>
      </c>
      <c r="O38" s="3" t="s">
        <v>255</v>
      </c>
      <c r="P38" s="3">
        <v>36</v>
      </c>
      <c r="Q38" s="7" t="d">
        <v>1964-08-01</v>
      </c>
      <c r="R38" s="3">
        <v>25</v>
      </c>
      <c r="S38" s="3"/>
      <c r="T38" s="4" t="s">
        <v>1147</v>
      </c>
      <c r="U38" s="3" t="str" cm="1">
        <f t="array" ref="U38">_xlfn.TEXTJOIN(",",TRUE,_xlfn.XLOOKUP(_xlfn.FILTERXML("&lt;t&gt;&lt;s&gt;" &amp; SUBSTITUTE(T38,",","&lt;/s&gt;&lt;s&gt;") &amp; "&lt;/s&gt;&lt;/t&gt;", "//s"),Writers!$A$3:$A$999,Writers!$B$3:$B$999,""))</f>
        <v>Peter R. Newman</v>
      </c>
      <c r="V38" s="3"/>
      <c r="W38" s="3" t="str">
        <f>IF(V38="","",_xlfn.XLOOKUP(V38,Writers!$A$3:$A$999,Writers!$B$3:$B$999,""))</f>
        <v/>
      </c>
      <c r="X38" s="3">
        <v>6.9</v>
      </c>
      <c r="Y38" s="3"/>
      <c r="Z38" s="3"/>
      <c r="AA38" s="3">
        <f t="shared" si="0"/>
        <v>8.73</v>
      </c>
      <c r="AB38" s="3" t="str">
        <f t="shared" si="1"/>
        <v/>
      </c>
      <c r="AC38" s="3" t="str">
        <f t="shared" si="2"/>
        <v/>
      </c>
      <c r="AD38" s="3">
        <f>VLOOKUP(YEAR(Q38),Populations!$A$3:$B$999,2,0)</f>
        <v>53990800</v>
      </c>
      <c r="AE38" s="3">
        <f>(Calculations!B1/AD38)</f>
        <v>1.26512168739859</v>
      </c>
      <c r="AF38" s="3"/>
      <c r="AG38" s="3">
        <v>1</v>
      </c>
      <c r="AH38" s="3" t="str">
        <f>VLOOKUP(AG38,WikiFormats!$A$3:$B$999,2,0)</f>
        <v>Story</v>
      </c>
      <c r="AI38" s="3" t="s">
        <v>583</v>
      </c>
    </row>
    <row r="39" spans="1:35" s="2" customFormat="1" x14ac:dyDescent="0.55000000000000004">
      <c r="A39">
        <v>37</v>
      </c>
      <c r="B39">
        <v>1</v>
      </c>
      <c r="C39" t="str">
        <f>VLOOKUP(B39,Eras!$A$3:$B$999,2,0)</f>
        <v>Classic</v>
      </c>
      <c r="D39">
        <v>1</v>
      </c>
      <c r="E39" t="str">
        <f>VLOOKUP(D39,EpisodeFormats!$A$3:$B$999,2,0)</f>
        <v>Series</v>
      </c>
      <c r="F39">
        <v>1</v>
      </c>
      <c r="G39" t="str">
        <f>VLOOKUP(F39,Doctors!$A$3:$B$999,2,0)</f>
        <v>William Hartnell</v>
      </c>
      <c r="H39">
        <v>1</v>
      </c>
      <c r="I39">
        <v>1</v>
      </c>
      <c r="J39" t="str">
        <f>VLOOKUP(I39,SeasonFormats!$A$3:$B$999,2,0)</f>
        <v>Season</v>
      </c>
      <c r="K39">
        <v>8</v>
      </c>
      <c r="L39">
        <v>8</v>
      </c>
      <c r="M39" t="s">
        <v>228</v>
      </c>
      <c r="N39">
        <v>1</v>
      </c>
      <c r="O39" t="s">
        <v>256</v>
      </c>
      <c r="P39">
        <v>37</v>
      </c>
      <c r="Q39" s="6" t="d">
        <v>1964-08-08</v>
      </c>
      <c r="R39">
        <v>24</v>
      </c>
      <c r="S39"/>
      <c r="T39" s="15" t="s">
        <v>1162</v>
      </c>
      <c r="U39" t="str" cm="1">
        <f t="array" ref="U39">_xlfn.TEXTJOIN(",",TRUE,_xlfn.XLOOKUP(_xlfn.FILTERXML("&lt;t&gt;&lt;s&gt;" &amp; SUBSTITUTE(T39,",","&lt;/s&gt;&lt;s&gt;") &amp; "&lt;/s&gt;&lt;/t&gt;", "//s"),Writers!$A$3:$A$999,Writers!$B$3:$B$999,""))</f>
        <v>Dennis Spooner</v>
      </c>
      <c r="V39"/>
      <c r="W39" t="str">
        <f>IF(V39="","",_xlfn.XLOOKUP(V39,Writers!$A$3:$A$999,Writers!$B$3:$B$999,""))</f>
        <v/>
      </c>
      <c r="X39">
        <v>6.9</v>
      </c>
      <c r="Y39"/>
      <c r="Z39"/>
      <c r="AA39">
        <f t="shared" si="0"/>
        <v>8.73</v>
      </c>
      <c r="AB39" t="str">
        <f t="shared" si="1"/>
        <v/>
      </c>
      <c r="AC39" t="str">
        <f t="shared" si="2"/>
        <v/>
      </c>
      <c r="AD39">
        <f>VLOOKUP(YEAR(Q39),Populations!$A$3:$B$999,2,0)</f>
        <v>53990800</v>
      </c>
      <c r="AE39">
        <f>(Calculations!B1/AD39)</f>
        <v>1.26512168739859</v>
      </c>
      <c r="AF39"/>
      <c r="AG39">
        <v>1</v>
      </c>
      <c r="AH39" t="str">
        <f>VLOOKUP(AG39,WikiFormats!$A$3:$B$999,2,0)</f>
        <v>Story</v>
      </c>
      <c r="AI39" t="s">
        <v>584</v>
      </c>
    </row>
    <row r="40" spans="1:35" s="2" customFormat="1" x14ac:dyDescent="0.55000000000000004">
      <c r="A40">
        <v>38</v>
      </c>
      <c r="B40">
        <v>1</v>
      </c>
      <c r="C40" t="str">
        <f>VLOOKUP(B40,Eras!$A$3:$B$999,2,0)</f>
        <v>Classic</v>
      </c>
      <c r="D40">
        <v>1</v>
      </c>
      <c r="E40" t="str">
        <f>VLOOKUP(D40,EpisodeFormats!$A$3:$B$999,2,0)</f>
        <v>Series</v>
      </c>
      <c r="F40">
        <v>1</v>
      </c>
      <c r="G40" t="str">
        <f>VLOOKUP(F40,Doctors!$A$3:$B$999,2,0)</f>
        <v>William Hartnell</v>
      </c>
      <c r="H40">
        <v>1</v>
      </c>
      <c r="I40">
        <v>1</v>
      </c>
      <c r="J40" t="str">
        <f>VLOOKUP(I40,SeasonFormats!$A$3:$B$999,2,0)</f>
        <v>Season</v>
      </c>
      <c r="K40">
        <v>8</v>
      </c>
      <c r="L40">
        <v>8</v>
      </c>
      <c r="M40" t="s">
        <v>228</v>
      </c>
      <c r="N40">
        <v>2</v>
      </c>
      <c r="O40" t="s">
        <v>257</v>
      </c>
      <c r="P40">
        <v>38</v>
      </c>
      <c r="Q40" s="6" t="d">
        <v>1964-08-15</v>
      </c>
      <c r="R40">
        <v>24</v>
      </c>
      <c r="S40"/>
      <c r="T40" s="15" t="s">
        <v>1162</v>
      </c>
      <c r="U40" t="str" cm="1">
        <f t="array" ref="U40">_xlfn.TEXTJOIN(",",TRUE,_xlfn.XLOOKUP(_xlfn.FILTERXML("&lt;t&gt;&lt;s&gt;" &amp; SUBSTITUTE(T40,",","&lt;/s&gt;&lt;s&gt;") &amp; "&lt;/s&gt;&lt;/t&gt;", "//s"),Writers!$A$3:$A$999,Writers!$B$3:$B$999,""))</f>
        <v>Dennis Spooner</v>
      </c>
      <c r="V40"/>
      <c r="W40" t="str">
        <f>IF(V40="","",_xlfn.XLOOKUP(V40,Writers!$A$3:$A$999,Writers!$B$3:$B$999,""))</f>
        <v/>
      </c>
      <c r="X40">
        <v>6.9</v>
      </c>
      <c r="Y40"/>
      <c r="Z40"/>
      <c r="AA40">
        <f t="shared" si="0"/>
        <v>8.73</v>
      </c>
      <c r="AB40" t="str">
        <f t="shared" si="1"/>
        <v/>
      </c>
      <c r="AC40" t="str">
        <f t="shared" si="2"/>
        <v/>
      </c>
      <c r="AD40">
        <f>VLOOKUP(YEAR(Q40),Populations!$A$3:$B$999,2,0)</f>
        <v>53990800</v>
      </c>
      <c r="AE40">
        <f>(Calculations!B1/AD40)</f>
        <v>1.26512168739859</v>
      </c>
      <c r="AF40"/>
      <c r="AG40">
        <v>1</v>
      </c>
      <c r="AH40" t="str">
        <f>VLOOKUP(AG40,WikiFormats!$A$3:$B$999,2,0)</f>
        <v>Story</v>
      </c>
      <c r="AI40" t="s">
        <v>584</v>
      </c>
    </row>
    <row r="41" spans="1:35" s="2" customFormat="1" x14ac:dyDescent="0.55000000000000004">
      <c r="A41">
        <v>39</v>
      </c>
      <c r="B41">
        <v>1</v>
      </c>
      <c r="C41" t="str">
        <f>VLOOKUP(B41,Eras!$A$3:$B$999,2,0)</f>
        <v>Classic</v>
      </c>
      <c r="D41">
        <v>1</v>
      </c>
      <c r="E41" t="str">
        <f>VLOOKUP(D41,EpisodeFormats!$A$3:$B$999,2,0)</f>
        <v>Series</v>
      </c>
      <c r="F41">
        <v>1</v>
      </c>
      <c r="G41" t="str">
        <f>VLOOKUP(F41,Doctors!$A$3:$B$999,2,0)</f>
        <v>William Hartnell</v>
      </c>
      <c r="H41">
        <v>1</v>
      </c>
      <c r="I41">
        <v>1</v>
      </c>
      <c r="J41" t="str">
        <f>VLOOKUP(I41,SeasonFormats!$A$3:$B$999,2,0)</f>
        <v>Season</v>
      </c>
      <c r="K41">
        <v>8</v>
      </c>
      <c r="L41">
        <v>8</v>
      </c>
      <c r="M41" t="s">
        <v>228</v>
      </c>
      <c r="N41">
        <v>3</v>
      </c>
      <c r="O41" t="s">
        <v>258</v>
      </c>
      <c r="P41">
        <v>39</v>
      </c>
      <c r="Q41" s="6" t="d">
        <v>1964-08-22</v>
      </c>
      <c r="R41">
        <v>25</v>
      </c>
      <c r="S41"/>
      <c r="T41" s="15" t="s">
        <v>1162</v>
      </c>
      <c r="U41" t="str" cm="1">
        <f t="array" ref="U41">_xlfn.TEXTJOIN(",",TRUE,_xlfn.XLOOKUP(_xlfn.FILTERXML("&lt;t&gt;&lt;s&gt;" &amp; SUBSTITUTE(T41,",","&lt;/s&gt;&lt;s&gt;") &amp; "&lt;/s&gt;&lt;/t&gt;", "//s"),Writers!$A$3:$A$999,Writers!$B$3:$B$999,""))</f>
        <v>Dennis Spooner</v>
      </c>
      <c r="V41"/>
      <c r="W41" t="str">
        <f>IF(V41="","",_xlfn.XLOOKUP(V41,Writers!$A$3:$A$999,Writers!$B$3:$B$999,""))</f>
        <v/>
      </c>
      <c r="X41">
        <v>6.9</v>
      </c>
      <c r="Y41"/>
      <c r="Z41"/>
      <c r="AA41">
        <f t="shared" si="0"/>
        <v>8.73</v>
      </c>
      <c r="AB41" t="str">
        <f t="shared" si="1"/>
        <v/>
      </c>
      <c r="AC41" t="str">
        <f t="shared" si="2"/>
        <v/>
      </c>
      <c r="AD41">
        <f>VLOOKUP(YEAR(Q41),Populations!$A$3:$B$999,2,0)</f>
        <v>53990800</v>
      </c>
      <c r="AE41">
        <f>(Calculations!B1/AD41)</f>
        <v>1.26512168739859</v>
      </c>
      <c r="AF41"/>
      <c r="AG41">
        <v>1</v>
      </c>
      <c r="AH41" t="str">
        <f>VLOOKUP(AG41,WikiFormats!$A$3:$B$999,2,0)</f>
        <v>Story</v>
      </c>
      <c r="AI41" t="s">
        <v>584</v>
      </c>
    </row>
    <row r="42" spans="1:35" s="2" customFormat="1" x14ac:dyDescent="0.55000000000000004">
      <c r="A42">
        <v>40</v>
      </c>
      <c r="B42">
        <v>1</v>
      </c>
      <c r="C42" t="str">
        <f>VLOOKUP(B42,Eras!$A$3:$B$999,2,0)</f>
        <v>Classic</v>
      </c>
      <c r="D42">
        <v>1</v>
      </c>
      <c r="E42" t="str">
        <f>VLOOKUP(D42,EpisodeFormats!$A$3:$B$999,2,0)</f>
        <v>Series</v>
      </c>
      <c r="F42">
        <v>1</v>
      </c>
      <c r="G42" t="str">
        <f>VLOOKUP(F42,Doctors!$A$3:$B$999,2,0)</f>
        <v>William Hartnell</v>
      </c>
      <c r="H42">
        <v>1</v>
      </c>
      <c r="I42">
        <v>1</v>
      </c>
      <c r="J42" t="str">
        <f>VLOOKUP(I42,SeasonFormats!$A$3:$B$999,2,0)</f>
        <v>Season</v>
      </c>
      <c r="K42">
        <v>8</v>
      </c>
      <c r="L42">
        <v>8</v>
      </c>
      <c r="M42" t="s">
        <v>228</v>
      </c>
      <c r="N42">
        <v>4</v>
      </c>
      <c r="O42" t="s">
        <v>267</v>
      </c>
      <c r="P42">
        <v>40</v>
      </c>
      <c r="Q42" s="6" t="d">
        <v>1964-08-29</v>
      </c>
      <c r="R42">
        <v>25</v>
      </c>
      <c r="S42">
        <v>1</v>
      </c>
      <c r="T42" s="15" t="s">
        <v>1162</v>
      </c>
      <c r="U42" t="str" cm="1">
        <f t="array" ref="U42">_xlfn.TEXTJOIN(",",TRUE,_xlfn.XLOOKUP(_xlfn.FILTERXML("&lt;t&gt;&lt;s&gt;" &amp; SUBSTITUTE(T42,",","&lt;/s&gt;&lt;s&gt;") &amp; "&lt;/s&gt;&lt;/t&gt;", "//s"),Writers!$A$3:$A$999,Writers!$B$3:$B$999,""))</f>
        <v>Dennis Spooner</v>
      </c>
      <c r="V42"/>
      <c r="W42" t="str">
        <f>IF(V42="","",_xlfn.XLOOKUP(V42,Writers!$A$3:$A$999,Writers!$B$3:$B$999,""))</f>
        <v/>
      </c>
      <c r="X42">
        <v>6.4</v>
      </c>
      <c r="Y42"/>
      <c r="Z42"/>
      <c r="AA42">
        <f t="shared" si="0"/>
        <v>8.1</v>
      </c>
      <c r="AB42" t="str">
        <f t="shared" si="1"/>
        <v/>
      </c>
      <c r="AC42" t="str">
        <f t="shared" si="2"/>
        <v/>
      </c>
      <c r="AD42">
        <f>VLOOKUP(YEAR(Q42),Populations!$A$3:$B$999,2,0)</f>
        <v>53990800</v>
      </c>
      <c r="AE42">
        <f>(Calculations!B1/AD42)</f>
        <v>1.26512168739859</v>
      </c>
      <c r="AF42"/>
      <c r="AG42">
        <v>1</v>
      </c>
      <c r="AH42" t="str">
        <f>VLOOKUP(AG42,WikiFormats!$A$3:$B$999,2,0)</f>
        <v>Story</v>
      </c>
      <c r="AI42" t="s">
        <v>584</v>
      </c>
    </row>
    <row r="43" spans="1:35" s="2" customFormat="1" x14ac:dyDescent="0.55000000000000004">
      <c r="A43">
        <v>41</v>
      </c>
      <c r="B43">
        <v>1</v>
      </c>
      <c r="C43" t="str">
        <f>VLOOKUP(B43,Eras!$A$3:$B$999,2,0)</f>
        <v>Classic</v>
      </c>
      <c r="D43">
        <v>1</v>
      </c>
      <c r="E43" t="str">
        <f>VLOOKUP(D43,EpisodeFormats!$A$3:$B$999,2,0)</f>
        <v>Series</v>
      </c>
      <c r="F43">
        <v>1</v>
      </c>
      <c r="G43" t="str">
        <f>VLOOKUP(F43,Doctors!$A$3:$B$999,2,0)</f>
        <v>William Hartnell</v>
      </c>
      <c r="H43">
        <v>1</v>
      </c>
      <c r="I43">
        <v>1</v>
      </c>
      <c r="J43" t="str">
        <f>VLOOKUP(I43,SeasonFormats!$A$3:$B$999,2,0)</f>
        <v>Season</v>
      </c>
      <c r="K43">
        <v>8</v>
      </c>
      <c r="L43">
        <v>8</v>
      </c>
      <c r="M43" t="s">
        <v>228</v>
      </c>
      <c r="N43">
        <v>5</v>
      </c>
      <c r="O43" t="s">
        <v>268</v>
      </c>
      <c r="P43">
        <v>41</v>
      </c>
      <c r="Q43" s="6" t="d">
        <v>1964-09-05</v>
      </c>
      <c r="R43">
        <v>25</v>
      </c>
      <c r="S43">
        <v>1</v>
      </c>
      <c r="T43" s="15" t="s">
        <v>1162</v>
      </c>
      <c r="U43" t="str" cm="1">
        <f t="array" ref="U43">_xlfn.TEXTJOIN(",",TRUE,_xlfn.XLOOKUP(_xlfn.FILTERXML("&lt;t&gt;&lt;s&gt;" &amp; SUBSTITUTE(T43,",","&lt;/s&gt;&lt;s&gt;") &amp; "&lt;/s&gt;&lt;/t&gt;", "//s"),Writers!$A$3:$A$999,Writers!$B$3:$B$999,""))</f>
        <v>Dennis Spooner</v>
      </c>
      <c r="V43"/>
      <c r="W43" t="str">
        <f>IF(V43="","",_xlfn.XLOOKUP(V43,Writers!$A$3:$A$999,Writers!$B$3:$B$999,""))</f>
        <v/>
      </c>
      <c r="X43">
        <v>6.9</v>
      </c>
      <c r="Y43"/>
      <c r="Z43"/>
      <c r="AA43">
        <f t="shared" si="0"/>
        <v>8.73</v>
      </c>
      <c r="AB43" t="str">
        <f t="shared" si="1"/>
        <v/>
      </c>
      <c r="AC43" t="str">
        <f t="shared" si="2"/>
        <v/>
      </c>
      <c r="AD43">
        <f>VLOOKUP(YEAR(Q43),Populations!$A$3:$B$999,2,0)</f>
        <v>53990800</v>
      </c>
      <c r="AE43">
        <f>(Calculations!B1/AD43)</f>
        <v>1.26512168739859</v>
      </c>
      <c r="AF43"/>
      <c r="AG43">
        <v>1</v>
      </c>
      <c r="AH43" t="str">
        <f>VLOOKUP(AG43,WikiFormats!$A$3:$B$999,2,0)</f>
        <v>Story</v>
      </c>
      <c r="AI43" t="s">
        <v>584</v>
      </c>
    </row>
    <row r="44" spans="1:35" s="2" customFormat="1" x14ac:dyDescent="0.55000000000000004">
      <c r="A44">
        <v>42</v>
      </c>
      <c r="B44">
        <v>1</v>
      </c>
      <c r="C44" t="str">
        <f>VLOOKUP(B44,Eras!$A$3:$B$999,2,0)</f>
        <v>Classic</v>
      </c>
      <c r="D44">
        <v>1</v>
      </c>
      <c r="E44" t="str">
        <f>VLOOKUP(D44,EpisodeFormats!$A$3:$B$999,2,0)</f>
        <v>Series</v>
      </c>
      <c r="F44">
        <v>1</v>
      </c>
      <c r="G44" t="str">
        <f>VLOOKUP(F44,Doctors!$A$3:$B$999,2,0)</f>
        <v>William Hartnell</v>
      </c>
      <c r="H44">
        <v>1</v>
      </c>
      <c r="I44">
        <v>1</v>
      </c>
      <c r="J44" t="str">
        <f>VLOOKUP(I44,SeasonFormats!$A$3:$B$999,2,0)</f>
        <v>Season</v>
      </c>
      <c r="K44">
        <v>8</v>
      </c>
      <c r="L44">
        <v>8</v>
      </c>
      <c r="M44" t="s">
        <v>228</v>
      </c>
      <c r="N44">
        <v>6</v>
      </c>
      <c r="O44" t="s">
        <v>259</v>
      </c>
      <c r="P44">
        <v>42</v>
      </c>
      <c r="Q44" s="6" t="d">
        <v>1964-09-12</v>
      </c>
      <c r="R44">
        <v>25</v>
      </c>
      <c r="S44"/>
      <c r="T44" s="15" t="s">
        <v>1162</v>
      </c>
      <c r="U44" t="str" cm="1">
        <f t="array" ref="U44">_xlfn.TEXTJOIN(",",TRUE,_xlfn.XLOOKUP(_xlfn.FILTERXML("&lt;t&gt;&lt;s&gt;" &amp; SUBSTITUTE(T44,",","&lt;/s&gt;&lt;s&gt;") &amp; "&lt;/s&gt;&lt;/t&gt;", "//s"),Writers!$A$3:$A$999,Writers!$B$3:$B$999,""))</f>
        <v>Dennis Spooner</v>
      </c>
      <c r="V44"/>
      <c r="W44" t="str">
        <f>IF(V44="","",_xlfn.XLOOKUP(V44,Writers!$A$3:$A$999,Writers!$B$3:$B$999,""))</f>
        <v/>
      </c>
      <c r="X44">
        <v>6.4</v>
      </c>
      <c r="Y44"/>
      <c r="Z44"/>
      <c r="AA44">
        <f t="shared" si="0"/>
        <v>8.1</v>
      </c>
      <c r="AB44" t="str">
        <f t="shared" si="1"/>
        <v/>
      </c>
      <c r="AC44" t="str">
        <f t="shared" si="2"/>
        <v/>
      </c>
      <c r="AD44">
        <f>VLOOKUP(YEAR(Q44),Populations!$A$3:$B$999,2,0)</f>
        <v>53990800</v>
      </c>
      <c r="AE44">
        <f>(Calculations!B1/AD44)</f>
        <v>1.26512168739859</v>
      </c>
      <c r="AF44"/>
      <c r="AG44">
        <v>1</v>
      </c>
      <c r="AH44" t="str">
        <f>VLOOKUP(AG44,WikiFormats!$A$3:$B$999,2,0)</f>
        <v>Story</v>
      </c>
      <c r="AI44" t="s">
        <v>584</v>
      </c>
    </row>
    <row r="45" spans="1:35" s="8" customFormat="1" x14ac:dyDescent="0.55000000000000004">
      <c r="A45" s="3">
        <v>43</v>
      </c>
      <c r="B45" s="3">
        <v>1</v>
      </c>
      <c r="C45" s="3" t="str">
        <f>VLOOKUP(B45,Eras!$A$3:$B$999,2,0)</f>
        <v>Classic</v>
      </c>
      <c r="D45" s="3">
        <v>1</v>
      </c>
      <c r="E45" s="3" t="str">
        <f>VLOOKUP(D45,EpisodeFormats!$A$3:$B$999,2,0)</f>
        <v>Series</v>
      </c>
      <c r="F45" s="3">
        <v>1</v>
      </c>
      <c r="G45" s="3" t="str">
        <f>VLOOKUP(F45,Doctors!$A$3:$B$999,2,0)</f>
        <v>William Hartnell</v>
      </c>
      <c r="H45" s="3">
        <v>2</v>
      </c>
      <c r="I45" s="3">
        <v>1</v>
      </c>
      <c r="J45" s="3" t="str">
        <f>VLOOKUP(I45,SeasonFormats!$A$3:$B$999,2,0)</f>
        <v>Season</v>
      </c>
      <c r="K45" s="3">
        <v>9</v>
      </c>
      <c r="L45" s="3">
        <v>1</v>
      </c>
      <c r="M45" s="3" t="s">
        <v>269</v>
      </c>
      <c r="N45" s="3">
        <v>1</v>
      </c>
      <c r="O45" s="3" t="s">
        <v>269</v>
      </c>
      <c r="P45" s="3">
        <v>1</v>
      </c>
      <c r="Q45" s="7" t="d">
        <v>1964-10-31</v>
      </c>
      <c r="R45" s="3">
        <v>23</v>
      </c>
      <c r="S45" s="3"/>
      <c r="T45" s="4" t="s">
        <v>1139</v>
      </c>
      <c r="U45" s="3" t="str" cm="1">
        <f t="array" ref="U45">_xlfn.TEXTJOIN(",",TRUE,_xlfn.XLOOKUP(_xlfn.FILTERXML("&lt;t&gt;&lt;s&gt;" &amp; SUBSTITUTE(T45,",","&lt;/s&gt;&lt;s&gt;") &amp; "&lt;/s&gt;&lt;/t&gt;", "//s"),Writers!$A$3:$A$999,Writers!$B$3:$B$999,""))</f>
        <v>Louis Marks</v>
      </c>
      <c r="V45" s="3"/>
      <c r="W45" s="3" t="str">
        <f>IF(V45="","",_xlfn.XLOOKUP(V45,Writers!$A$3:$A$999,Writers!$B$3:$B$999,""))</f>
        <v/>
      </c>
      <c r="X45" s="3">
        <v>8.4</v>
      </c>
      <c r="Y45" s="3"/>
      <c r="Z45" s="3"/>
      <c r="AA45" s="3">
        <f t="shared" si="0"/>
        <v>10.63</v>
      </c>
      <c r="AB45" s="3" t="str">
        <f t="shared" si="1"/>
        <v/>
      </c>
      <c r="AC45" s="3" t="str">
        <f t="shared" si="2"/>
        <v/>
      </c>
      <c r="AD45" s="3">
        <f>VLOOKUP(YEAR(Q45),Populations!$A$3:$B$999,2,0)</f>
        <v>53990800</v>
      </c>
      <c r="AE45" s="3">
        <f>(Calculations!B1/AD45)</f>
        <v>1.26512168739859</v>
      </c>
      <c r="AF45" s="3"/>
      <c r="AG45" s="3">
        <v>1</v>
      </c>
      <c r="AH45" s="3" t="str">
        <f>VLOOKUP(AG45,WikiFormats!$A$3:$B$999,2,0)</f>
        <v>Story</v>
      </c>
      <c r="AI45" s="3" t="s">
        <v>585</v>
      </c>
    </row>
    <row r="46" spans="1:35" s="8" customFormat="1" x14ac:dyDescent="0.55000000000000004">
      <c r="A46" s="3">
        <v>44</v>
      </c>
      <c r="B46" s="3">
        <v>1</v>
      </c>
      <c r="C46" s="3" t="str">
        <f>VLOOKUP(B46,Eras!$A$3:$B$999,2,0)</f>
        <v>Classic</v>
      </c>
      <c r="D46" s="3">
        <v>1</v>
      </c>
      <c r="E46" s="3" t="str">
        <f>VLOOKUP(D46,EpisodeFormats!$A$3:$B$999,2,0)</f>
        <v>Series</v>
      </c>
      <c r="F46" s="3">
        <v>1</v>
      </c>
      <c r="G46" s="3" t="str">
        <f>VLOOKUP(F46,Doctors!$A$3:$B$999,2,0)</f>
        <v>William Hartnell</v>
      </c>
      <c r="H46" s="3">
        <v>2</v>
      </c>
      <c r="I46" s="3">
        <v>1</v>
      </c>
      <c r="J46" s="3" t="str">
        <f>VLOOKUP(I46,SeasonFormats!$A$3:$B$999,2,0)</f>
        <v>Season</v>
      </c>
      <c r="K46" s="3">
        <v>9</v>
      </c>
      <c r="L46" s="3">
        <v>1</v>
      </c>
      <c r="M46" s="3" t="s">
        <v>269</v>
      </c>
      <c r="N46" s="3">
        <v>2</v>
      </c>
      <c r="O46" s="3" t="s">
        <v>277</v>
      </c>
      <c r="P46" s="3">
        <v>2</v>
      </c>
      <c r="Q46" s="7" t="d">
        <v>1964-11-07</v>
      </c>
      <c r="R46" s="3">
        <v>24</v>
      </c>
      <c r="S46" s="3"/>
      <c r="T46" s="4" t="s">
        <v>1139</v>
      </c>
      <c r="U46" s="3" t="str" cm="1">
        <f t="array" ref="U46">_xlfn.TEXTJOIN(",",TRUE,_xlfn.XLOOKUP(_xlfn.FILTERXML("&lt;t&gt;&lt;s&gt;" &amp; SUBSTITUTE(T46,",","&lt;/s&gt;&lt;s&gt;") &amp; "&lt;/s&gt;&lt;/t&gt;", "//s"),Writers!$A$3:$A$999,Writers!$B$3:$B$999,""))</f>
        <v>Louis Marks</v>
      </c>
      <c r="V46" s="3"/>
      <c r="W46" s="3" t="str">
        <f>IF(V46="","",_xlfn.XLOOKUP(V46,Writers!$A$3:$A$999,Writers!$B$3:$B$999,""))</f>
        <v/>
      </c>
      <c r="X46" s="3">
        <v>8.4</v>
      </c>
      <c r="Y46" s="3"/>
      <c r="Z46" s="3"/>
      <c r="AA46" s="3">
        <f t="shared" si="0"/>
        <v>10.63</v>
      </c>
      <c r="AB46" s="3" t="str">
        <f t="shared" si="1"/>
        <v/>
      </c>
      <c r="AC46" s="3" t="str">
        <f t="shared" si="2"/>
        <v/>
      </c>
      <c r="AD46" s="3">
        <f>VLOOKUP(YEAR(Q46),Populations!$A$3:$B$999,2,0)</f>
        <v>53990800</v>
      </c>
      <c r="AE46" s="3">
        <f>(Calculations!B1/AD46)</f>
        <v>1.26512168739859</v>
      </c>
      <c r="AF46" s="3"/>
      <c r="AG46" s="3">
        <v>1</v>
      </c>
      <c r="AH46" s="3" t="str">
        <f>VLOOKUP(AG46,WikiFormats!$A$3:$B$999,2,0)</f>
        <v>Story</v>
      </c>
      <c r="AI46" s="3" t="s">
        <v>585</v>
      </c>
    </row>
    <row r="47" spans="1:35" s="8" customFormat="1" x14ac:dyDescent="0.55000000000000004">
      <c r="A47" s="3">
        <v>45</v>
      </c>
      <c r="B47" s="3">
        <v>1</v>
      </c>
      <c r="C47" s="3" t="str">
        <f>VLOOKUP(B47,Eras!$A$3:$B$999,2,0)</f>
        <v>Classic</v>
      </c>
      <c r="D47" s="3">
        <v>1</v>
      </c>
      <c r="E47" s="3" t="str">
        <f>VLOOKUP(D47,EpisodeFormats!$A$3:$B$999,2,0)</f>
        <v>Series</v>
      </c>
      <c r="F47" s="3">
        <v>1</v>
      </c>
      <c r="G47" s="3" t="str">
        <f>VLOOKUP(F47,Doctors!$A$3:$B$999,2,0)</f>
        <v>William Hartnell</v>
      </c>
      <c r="H47" s="3">
        <v>2</v>
      </c>
      <c r="I47" s="3">
        <v>1</v>
      </c>
      <c r="J47" s="3" t="str">
        <f>VLOOKUP(I47,SeasonFormats!$A$3:$B$999,2,0)</f>
        <v>Season</v>
      </c>
      <c r="K47" s="3">
        <v>9</v>
      </c>
      <c r="L47" s="3">
        <v>1</v>
      </c>
      <c r="M47" s="3" t="s">
        <v>269</v>
      </c>
      <c r="N47" s="3">
        <v>3</v>
      </c>
      <c r="O47" s="3" t="s">
        <v>278</v>
      </c>
      <c r="P47" s="3">
        <v>3</v>
      </c>
      <c r="Q47" s="7" t="d">
        <v>1964-11-14</v>
      </c>
      <c r="R47" s="3">
        <v>27</v>
      </c>
      <c r="S47" s="3"/>
      <c r="T47" s="4" t="s">
        <v>1139</v>
      </c>
      <c r="U47" s="3" t="str" cm="1">
        <f t="array" ref="U47">_xlfn.TEXTJOIN(",",TRUE,_xlfn.XLOOKUP(_xlfn.FILTERXML("&lt;t&gt;&lt;s&gt;" &amp; SUBSTITUTE(T47,",","&lt;/s&gt;&lt;s&gt;") &amp; "&lt;/s&gt;&lt;/t&gt;", "//s"),Writers!$A$3:$A$999,Writers!$B$3:$B$999,""))</f>
        <v>Louis Marks</v>
      </c>
      <c r="V47" s="3"/>
      <c r="W47" s="3" t="str">
        <f>IF(V47="","",_xlfn.XLOOKUP(V47,Writers!$A$3:$A$999,Writers!$B$3:$B$999,""))</f>
        <v/>
      </c>
      <c r="X47" s="3">
        <v>8.9</v>
      </c>
      <c r="Y47" s="3"/>
      <c r="Z47" s="3"/>
      <c r="AA47" s="3">
        <f t="shared" si="0"/>
        <v>11.26</v>
      </c>
      <c r="AB47" s="3" t="str">
        <f t="shared" si="1"/>
        <v/>
      </c>
      <c r="AC47" s="3" t="str">
        <f t="shared" si="2"/>
        <v/>
      </c>
      <c r="AD47" s="3">
        <f>VLOOKUP(YEAR(Q47),Populations!$A$3:$B$999,2,0)</f>
        <v>53990800</v>
      </c>
      <c r="AE47" s="3">
        <f>(Calculations!B1/AD47)</f>
        <v>1.26512168739859</v>
      </c>
      <c r="AF47" s="3"/>
      <c r="AG47" s="3">
        <v>1</v>
      </c>
      <c r="AH47" s="3" t="str">
        <f>VLOOKUP(AG47,WikiFormats!$A$3:$B$999,2,0)</f>
        <v>Story</v>
      </c>
      <c r="AI47" s="3" t="s">
        <v>585</v>
      </c>
    </row>
    <row r="48" spans="1:35" s="2" customFormat="1" x14ac:dyDescent="0.55000000000000004">
      <c r="A48">
        <v>46</v>
      </c>
      <c r="B48">
        <v>1</v>
      </c>
      <c r="C48" t="str">
        <f>VLOOKUP(B48,Eras!$A$3:$B$999,2,0)</f>
        <v>Classic</v>
      </c>
      <c r="D48">
        <v>1</v>
      </c>
      <c r="E48" t="str">
        <f>VLOOKUP(D48,EpisodeFormats!$A$3:$B$999,2,0)</f>
        <v>Series</v>
      </c>
      <c r="F48">
        <v>1</v>
      </c>
      <c r="G48" t="str">
        <f>VLOOKUP(F48,Doctors!$A$3:$B$999,2,0)</f>
        <v>William Hartnell</v>
      </c>
      <c r="H48">
        <v>2</v>
      </c>
      <c r="I48">
        <v>1</v>
      </c>
      <c r="J48" t="str">
        <f>VLOOKUP(I48,SeasonFormats!$A$3:$B$999,2,0)</f>
        <v>Season</v>
      </c>
      <c r="K48">
        <v>10</v>
      </c>
      <c r="L48">
        <v>2</v>
      </c>
      <c r="M48" t="s">
        <v>270</v>
      </c>
      <c r="N48">
        <v>1</v>
      </c>
      <c r="O48" t="s">
        <v>279</v>
      </c>
      <c r="P48">
        <v>4</v>
      </c>
      <c r="Q48" s="6" t="d">
        <v>1964-11-21</v>
      </c>
      <c r="R48">
        <v>24</v>
      </c>
      <c r="S48"/>
      <c r="T48" s="15" t="s">
        <v>1132</v>
      </c>
      <c r="U48" t="str" cm="1">
        <f t="array" ref="U48">_xlfn.TEXTJOIN(",",TRUE,_xlfn.XLOOKUP(_xlfn.FILTERXML("&lt;t&gt;&lt;s&gt;" &amp; SUBSTITUTE(T48,",","&lt;/s&gt;&lt;s&gt;") &amp; "&lt;/s&gt;&lt;/t&gt;", "//s"),Writers!$A$3:$A$999,Writers!$B$3:$B$999,""))</f>
        <v>Terry Nation</v>
      </c>
      <c r="V48"/>
      <c r="W48" t="str">
        <f>IF(V48="","",_xlfn.XLOOKUP(V48,Writers!$A$3:$A$999,Writers!$B$3:$B$999,""))</f>
        <v/>
      </c>
      <c r="X48">
        <v>11.4</v>
      </c>
      <c r="Y48"/>
      <c r="Z48"/>
      <c r="AA48">
        <f t="shared" si="0"/>
        <v>14.42</v>
      </c>
      <c r="AB48" t="str">
        <f t="shared" si="1"/>
        <v/>
      </c>
      <c r="AC48" t="str">
        <f t="shared" si="2"/>
        <v/>
      </c>
      <c r="AD48">
        <f>VLOOKUP(YEAR(Q48),Populations!$A$3:$B$999,2,0)</f>
        <v>53990800</v>
      </c>
      <c r="AE48">
        <f>(Calculations!B1/AD48)</f>
        <v>1.26512168739859</v>
      </c>
      <c r="AF48"/>
      <c r="AG48">
        <v>1</v>
      </c>
      <c r="AH48" t="str">
        <f>VLOOKUP(AG48,WikiFormats!$A$3:$B$999,2,0)</f>
        <v>Story</v>
      </c>
      <c r="AI48" t="s">
        <v>586</v>
      </c>
    </row>
    <row r="49" spans="1:35" s="2" customFormat="1" x14ac:dyDescent="0.55000000000000004">
      <c r="A49">
        <v>47</v>
      </c>
      <c r="B49">
        <v>1</v>
      </c>
      <c r="C49" t="str">
        <f>VLOOKUP(B49,Eras!$A$3:$B$999,2,0)</f>
        <v>Classic</v>
      </c>
      <c r="D49">
        <v>1</v>
      </c>
      <c r="E49" t="str">
        <f>VLOOKUP(D49,EpisodeFormats!$A$3:$B$999,2,0)</f>
        <v>Series</v>
      </c>
      <c r="F49">
        <v>1</v>
      </c>
      <c r="G49" t="str">
        <f>VLOOKUP(F49,Doctors!$A$3:$B$999,2,0)</f>
        <v>William Hartnell</v>
      </c>
      <c r="H49">
        <v>2</v>
      </c>
      <c r="I49">
        <v>1</v>
      </c>
      <c r="J49" t="str">
        <f>VLOOKUP(I49,SeasonFormats!$A$3:$B$999,2,0)</f>
        <v>Season</v>
      </c>
      <c r="K49">
        <v>10</v>
      </c>
      <c r="L49">
        <v>2</v>
      </c>
      <c r="M49" t="s">
        <v>270</v>
      </c>
      <c r="N49">
        <v>2</v>
      </c>
      <c r="O49" t="s">
        <v>222</v>
      </c>
      <c r="P49">
        <v>5</v>
      </c>
      <c r="Q49" s="6" t="d">
        <v>1964-11-28</v>
      </c>
      <c r="R49">
        <v>24</v>
      </c>
      <c r="S49"/>
      <c r="T49" s="15" t="s">
        <v>1132</v>
      </c>
      <c r="U49" t="str" cm="1">
        <f t="array" ref="U49">_xlfn.TEXTJOIN(",",TRUE,_xlfn.XLOOKUP(_xlfn.FILTERXML("&lt;t&gt;&lt;s&gt;" &amp; SUBSTITUTE(T49,",","&lt;/s&gt;&lt;s&gt;") &amp; "&lt;/s&gt;&lt;/t&gt;", "//s"),Writers!$A$3:$A$999,Writers!$B$3:$B$999,""))</f>
        <v>Terry Nation</v>
      </c>
      <c r="V49"/>
      <c r="W49" t="str">
        <f>IF(V49="","",_xlfn.XLOOKUP(V49,Writers!$A$3:$A$999,Writers!$B$3:$B$999,""))</f>
        <v/>
      </c>
      <c r="X49">
        <v>12.4</v>
      </c>
      <c r="Y49"/>
      <c r="Z49"/>
      <c r="AA49">
        <f t="shared" si="0"/>
        <v>15.69</v>
      </c>
      <c r="AB49" t="str">
        <f t="shared" si="1"/>
        <v/>
      </c>
      <c r="AC49" t="str">
        <f t="shared" si="2"/>
        <v/>
      </c>
      <c r="AD49">
        <f>VLOOKUP(YEAR(Q49),Populations!$A$3:$B$999,2,0)</f>
        <v>53990800</v>
      </c>
      <c r="AE49">
        <f>(Calculations!B1/AD49)</f>
        <v>1.26512168739859</v>
      </c>
      <c r="AF49"/>
      <c r="AG49">
        <v>1</v>
      </c>
      <c r="AH49" t="str">
        <f>VLOOKUP(AG49,WikiFormats!$A$3:$B$999,2,0)</f>
        <v>Story</v>
      </c>
      <c r="AI49" t="s">
        <v>586</v>
      </c>
    </row>
    <row r="50" spans="1:35" s="2" customFormat="1" x14ac:dyDescent="0.55000000000000004">
      <c r="A50">
        <v>48</v>
      </c>
      <c r="B50">
        <v>1</v>
      </c>
      <c r="C50" t="str">
        <f>VLOOKUP(B50,Eras!$A$3:$B$999,2,0)</f>
        <v>Classic</v>
      </c>
      <c r="D50">
        <v>1</v>
      </c>
      <c r="E50" t="str">
        <f>VLOOKUP(D50,EpisodeFormats!$A$3:$B$999,2,0)</f>
        <v>Series</v>
      </c>
      <c r="F50">
        <v>1</v>
      </c>
      <c r="G50" t="str">
        <f>VLOOKUP(F50,Doctors!$A$3:$B$999,2,0)</f>
        <v>William Hartnell</v>
      </c>
      <c r="H50">
        <v>2</v>
      </c>
      <c r="I50">
        <v>1</v>
      </c>
      <c r="J50" t="str">
        <f>VLOOKUP(I50,SeasonFormats!$A$3:$B$999,2,0)</f>
        <v>Season</v>
      </c>
      <c r="K50">
        <v>10</v>
      </c>
      <c r="L50">
        <v>2</v>
      </c>
      <c r="M50" t="s">
        <v>270</v>
      </c>
      <c r="N50">
        <v>3</v>
      </c>
      <c r="O50" t="s">
        <v>280</v>
      </c>
      <c r="P50">
        <v>6</v>
      </c>
      <c r="Q50" s="6" t="d">
        <v>1964-12-05</v>
      </c>
      <c r="R50">
        <v>27</v>
      </c>
      <c r="S50"/>
      <c r="T50" s="15" t="s">
        <v>1132</v>
      </c>
      <c r="U50" t="str" cm="1">
        <f t="array" ref="U50">_xlfn.TEXTJOIN(",",TRUE,_xlfn.XLOOKUP(_xlfn.FILTERXML("&lt;t&gt;&lt;s&gt;" &amp; SUBSTITUTE(T50,",","&lt;/s&gt;&lt;s&gt;") &amp; "&lt;/s&gt;&lt;/t&gt;", "//s"),Writers!$A$3:$A$999,Writers!$B$3:$B$999,""))</f>
        <v>Terry Nation</v>
      </c>
      <c r="V50"/>
      <c r="W50" t="str">
        <f>IF(V50="","",_xlfn.XLOOKUP(V50,Writers!$A$3:$A$999,Writers!$B$3:$B$999,""))</f>
        <v/>
      </c>
      <c r="X50">
        <v>11.9</v>
      </c>
      <c r="Y50"/>
      <c r="Z50"/>
      <c r="AA50">
        <f t="shared" si="0"/>
        <v>15.05</v>
      </c>
      <c r="AB50" t="str">
        <f t="shared" si="1"/>
        <v/>
      </c>
      <c r="AC50" t="str">
        <f t="shared" si="2"/>
        <v/>
      </c>
      <c r="AD50">
        <f>VLOOKUP(YEAR(Q50),Populations!$A$3:$B$999,2,0)</f>
        <v>53990800</v>
      </c>
      <c r="AE50">
        <f>(Calculations!B1/AD50)</f>
        <v>1.26512168739859</v>
      </c>
      <c r="AF50"/>
      <c r="AG50">
        <v>1</v>
      </c>
      <c r="AH50" t="str">
        <f>VLOOKUP(AG50,WikiFormats!$A$3:$B$999,2,0)</f>
        <v>Story</v>
      </c>
      <c r="AI50" t="s">
        <v>586</v>
      </c>
    </row>
    <row r="51" spans="1:35" s="2" customFormat="1" x14ac:dyDescent="0.55000000000000004">
      <c r="A51">
        <v>49</v>
      </c>
      <c r="B51">
        <v>1</v>
      </c>
      <c r="C51" t="str">
        <f>VLOOKUP(B51,Eras!$A$3:$B$999,2,0)</f>
        <v>Classic</v>
      </c>
      <c r="D51">
        <v>1</v>
      </c>
      <c r="E51" t="str">
        <f>VLOOKUP(D51,EpisodeFormats!$A$3:$B$999,2,0)</f>
        <v>Series</v>
      </c>
      <c r="F51">
        <v>1</v>
      </c>
      <c r="G51" t="str">
        <f>VLOOKUP(F51,Doctors!$A$3:$B$999,2,0)</f>
        <v>William Hartnell</v>
      </c>
      <c r="H51">
        <v>2</v>
      </c>
      <c r="I51">
        <v>1</v>
      </c>
      <c r="J51" t="str">
        <f>VLOOKUP(I51,SeasonFormats!$A$3:$B$999,2,0)</f>
        <v>Season</v>
      </c>
      <c r="K51">
        <v>10</v>
      </c>
      <c r="L51">
        <v>2</v>
      </c>
      <c r="M51" t="s">
        <v>270</v>
      </c>
      <c r="N51">
        <v>4</v>
      </c>
      <c r="O51" t="s">
        <v>281</v>
      </c>
      <c r="P51">
        <v>7</v>
      </c>
      <c r="Q51" s="6" t="d">
        <v>1964-12-12</v>
      </c>
      <c r="R51">
        <v>23</v>
      </c>
      <c r="S51"/>
      <c r="T51" s="15" t="s">
        <v>1132</v>
      </c>
      <c r="U51" t="str" cm="1">
        <f t="array" ref="U51">_xlfn.TEXTJOIN(",",TRUE,_xlfn.XLOOKUP(_xlfn.FILTERXML("&lt;t&gt;&lt;s&gt;" &amp; SUBSTITUTE(T51,",","&lt;/s&gt;&lt;s&gt;") &amp; "&lt;/s&gt;&lt;/t&gt;", "//s"),Writers!$A$3:$A$999,Writers!$B$3:$B$999,""))</f>
        <v>Terry Nation</v>
      </c>
      <c r="V51"/>
      <c r="W51" t="str">
        <f>IF(V51="","",_xlfn.XLOOKUP(V51,Writers!$A$3:$A$999,Writers!$B$3:$B$999,""))</f>
        <v/>
      </c>
      <c r="X51">
        <v>11.9</v>
      </c>
      <c r="Y51"/>
      <c r="Z51"/>
      <c r="AA51">
        <f t="shared" si="0"/>
        <v>15.05</v>
      </c>
      <c r="AB51" t="str">
        <f t="shared" si="1"/>
        <v/>
      </c>
      <c r="AC51" t="str">
        <f t="shared" si="2"/>
        <v/>
      </c>
      <c r="AD51">
        <f>VLOOKUP(YEAR(Q51),Populations!$A$3:$B$999,2,0)</f>
        <v>53990800</v>
      </c>
      <c r="AE51">
        <f>(Calculations!B1/AD51)</f>
        <v>1.26512168739859</v>
      </c>
      <c r="AF51"/>
      <c r="AG51">
        <v>1</v>
      </c>
      <c r="AH51" t="str">
        <f>VLOOKUP(AG51,WikiFormats!$A$3:$B$999,2,0)</f>
        <v>Story</v>
      </c>
      <c r="AI51" t="s">
        <v>586</v>
      </c>
    </row>
    <row r="52" spans="1:35" s="2" customFormat="1" x14ac:dyDescent="0.55000000000000004">
      <c r="A52">
        <v>50</v>
      </c>
      <c r="B52">
        <v>1</v>
      </c>
      <c r="C52" t="str">
        <f>VLOOKUP(B52,Eras!$A$3:$B$999,2,0)</f>
        <v>Classic</v>
      </c>
      <c r="D52">
        <v>1</v>
      </c>
      <c r="E52" t="str">
        <f>VLOOKUP(D52,EpisodeFormats!$A$3:$B$999,2,0)</f>
        <v>Series</v>
      </c>
      <c r="F52">
        <v>1</v>
      </c>
      <c r="G52" t="str">
        <f>VLOOKUP(F52,Doctors!$A$3:$B$999,2,0)</f>
        <v>William Hartnell</v>
      </c>
      <c r="H52">
        <v>2</v>
      </c>
      <c r="I52">
        <v>1</v>
      </c>
      <c r="J52" t="str">
        <f>VLOOKUP(I52,SeasonFormats!$A$3:$B$999,2,0)</f>
        <v>Season</v>
      </c>
      <c r="K52">
        <v>10</v>
      </c>
      <c r="L52">
        <v>2</v>
      </c>
      <c r="M52" t="s">
        <v>270</v>
      </c>
      <c r="N52">
        <v>5</v>
      </c>
      <c r="O52" t="s">
        <v>282</v>
      </c>
      <c r="P52">
        <v>8</v>
      </c>
      <c r="Q52" s="6" t="d">
        <v>1964-12-19</v>
      </c>
      <c r="R52">
        <v>25</v>
      </c>
      <c r="S52"/>
      <c r="T52" s="15" t="s">
        <v>1132</v>
      </c>
      <c r="U52" t="str" cm="1">
        <f t="array" ref="U52">_xlfn.TEXTJOIN(",",TRUE,_xlfn.XLOOKUP(_xlfn.FILTERXML("&lt;t&gt;&lt;s&gt;" &amp; SUBSTITUTE(T52,",","&lt;/s&gt;&lt;s&gt;") &amp; "&lt;/s&gt;&lt;/t&gt;", "//s"),Writers!$A$3:$A$999,Writers!$B$3:$B$999,""))</f>
        <v>Terry Nation</v>
      </c>
      <c r="V52"/>
      <c r="W52" t="str">
        <f>IF(V52="","",_xlfn.XLOOKUP(V52,Writers!$A$3:$A$999,Writers!$B$3:$B$999,""))</f>
        <v/>
      </c>
      <c r="X52">
        <v>11.4</v>
      </c>
      <c r="Y52"/>
      <c r="Z52"/>
      <c r="AA52">
        <f t="shared" si="0"/>
        <v>14.42</v>
      </c>
      <c r="AB52" t="str">
        <f t="shared" si="1"/>
        <v/>
      </c>
      <c r="AC52" t="str">
        <f t="shared" si="2"/>
        <v/>
      </c>
      <c r="AD52">
        <f>VLOOKUP(YEAR(Q52),Populations!$A$3:$B$999,2,0)</f>
        <v>53990800</v>
      </c>
      <c r="AE52">
        <f>(Calculations!B1/AD52)</f>
        <v>1.26512168739859</v>
      </c>
      <c r="AF52"/>
      <c r="AG52">
        <v>1</v>
      </c>
      <c r="AH52" t="str">
        <f>VLOOKUP(AG52,WikiFormats!$A$3:$B$999,2,0)</f>
        <v>Story</v>
      </c>
      <c r="AI52" t="s">
        <v>586</v>
      </c>
    </row>
    <row r="53" spans="1:35" s="2" customFormat="1" x14ac:dyDescent="0.55000000000000004">
      <c r="A53">
        <v>51</v>
      </c>
      <c r="B53">
        <v>1</v>
      </c>
      <c r="C53" t="str">
        <f>VLOOKUP(B53,Eras!$A$3:$B$999,2,0)</f>
        <v>Classic</v>
      </c>
      <c r="D53">
        <v>1</v>
      </c>
      <c r="E53" t="str">
        <f>VLOOKUP(D53,EpisodeFormats!$A$3:$B$999,2,0)</f>
        <v>Series</v>
      </c>
      <c r="F53">
        <v>1</v>
      </c>
      <c r="G53" t="str">
        <f>VLOOKUP(F53,Doctors!$A$3:$B$999,2,0)</f>
        <v>William Hartnell</v>
      </c>
      <c r="H53">
        <v>2</v>
      </c>
      <c r="I53">
        <v>1</v>
      </c>
      <c r="J53" t="str">
        <f>VLOOKUP(I53,SeasonFormats!$A$3:$B$999,2,0)</f>
        <v>Season</v>
      </c>
      <c r="K53">
        <v>10</v>
      </c>
      <c r="L53">
        <v>2</v>
      </c>
      <c r="M53" t="s">
        <v>270</v>
      </c>
      <c r="N53">
        <v>6</v>
      </c>
      <c r="O53" t="s">
        <v>283</v>
      </c>
      <c r="P53">
        <v>9</v>
      </c>
      <c r="Q53" s="6" t="d">
        <v>1964-12-26</v>
      </c>
      <c r="R53">
        <v>26</v>
      </c>
      <c r="S53"/>
      <c r="T53" s="15" t="s">
        <v>1132</v>
      </c>
      <c r="U53" t="str" cm="1">
        <f t="array" ref="U53">_xlfn.TEXTJOIN(",",TRUE,_xlfn.XLOOKUP(_xlfn.FILTERXML("&lt;t&gt;&lt;s&gt;" &amp; SUBSTITUTE(T53,",","&lt;/s&gt;&lt;s&gt;") &amp; "&lt;/s&gt;&lt;/t&gt;", "//s"),Writers!$A$3:$A$999,Writers!$B$3:$B$999,""))</f>
        <v>Terry Nation</v>
      </c>
      <c r="V53"/>
      <c r="W53" t="str">
        <f>IF(V53="","",_xlfn.XLOOKUP(V53,Writers!$A$3:$A$999,Writers!$B$3:$B$999,""))</f>
        <v/>
      </c>
      <c r="X53">
        <v>12.4</v>
      </c>
      <c r="Y53"/>
      <c r="Z53"/>
      <c r="AA53">
        <f t="shared" si="0"/>
        <v>15.69</v>
      </c>
      <c r="AB53" t="str">
        <f t="shared" si="1"/>
        <v/>
      </c>
      <c r="AC53" t="str">
        <f t="shared" si="2"/>
        <v/>
      </c>
      <c r="AD53">
        <f>VLOOKUP(YEAR(Q53),Populations!$A$3:$B$999,2,0)</f>
        <v>53990800</v>
      </c>
      <c r="AE53">
        <f>(Calculations!B1/AD53)</f>
        <v>1.26512168739859</v>
      </c>
      <c r="AF53"/>
      <c r="AG53">
        <v>1</v>
      </c>
      <c r="AH53" t="str">
        <f>VLOOKUP(AG53,WikiFormats!$A$3:$B$999,2,0)</f>
        <v>Story</v>
      </c>
      <c r="AI53" t="s">
        <v>586</v>
      </c>
    </row>
    <row r="54" spans="1:35" s="8" customFormat="1" x14ac:dyDescent="0.55000000000000004">
      <c r="A54" s="3">
        <v>52</v>
      </c>
      <c r="B54" s="3">
        <v>1</v>
      </c>
      <c r="C54" s="3" t="str">
        <f>VLOOKUP(B54,Eras!$A$3:$B$999,2,0)</f>
        <v>Classic</v>
      </c>
      <c r="D54" s="3">
        <v>1</v>
      </c>
      <c r="E54" s="3" t="str">
        <f>VLOOKUP(D54,EpisodeFormats!$A$3:$B$999,2,0)</f>
        <v>Series</v>
      </c>
      <c r="F54" s="3">
        <v>1</v>
      </c>
      <c r="G54" s="3" t="str">
        <f>VLOOKUP(F54,Doctors!$A$3:$B$999,2,0)</f>
        <v>William Hartnell</v>
      </c>
      <c r="H54" s="3">
        <v>2</v>
      </c>
      <c r="I54" s="3">
        <v>1</v>
      </c>
      <c r="J54" s="3" t="str">
        <f>VLOOKUP(I54,SeasonFormats!$A$3:$B$999,2,0)</f>
        <v>Season</v>
      </c>
      <c r="K54" s="3">
        <v>11</v>
      </c>
      <c r="L54" s="3">
        <v>3</v>
      </c>
      <c r="M54" s="3" t="s">
        <v>239</v>
      </c>
      <c r="N54" s="3">
        <v>1</v>
      </c>
      <c r="O54" s="3" t="s">
        <v>284</v>
      </c>
      <c r="P54" s="3">
        <v>10</v>
      </c>
      <c r="Q54" s="7" t="d">
        <v>1965-01-02</v>
      </c>
      <c r="R54" s="3">
        <v>25</v>
      </c>
      <c r="S54" s="3"/>
      <c r="T54" s="4" t="s">
        <v>1175</v>
      </c>
      <c r="U54" s="3" t="str" cm="1">
        <f t="array" ref="U54">_xlfn.TEXTJOIN(",",TRUE,_xlfn.XLOOKUP(_xlfn.FILTERXML("&lt;t&gt;&lt;s&gt;" &amp; SUBSTITUTE(T54,",","&lt;/s&gt;&lt;s&gt;") &amp; "&lt;/s&gt;&lt;/t&gt;", "//s"),Writers!$A$3:$A$999,Writers!$B$3:$B$999,""))</f>
        <v>David Whitaker</v>
      </c>
      <c r="V54" s="3"/>
      <c r="W54" s="3" t="str">
        <f>IF(V54="","",_xlfn.XLOOKUP(V54,Writers!$A$3:$A$999,Writers!$B$3:$B$999,""))</f>
        <v/>
      </c>
      <c r="X54" s="3">
        <v>12</v>
      </c>
      <c r="Y54" s="3"/>
      <c r="Z54" s="3"/>
      <c r="AA54" s="3">
        <f t="shared" si="0"/>
        <v>15.08</v>
      </c>
      <c r="AB54" s="3" t="str">
        <f t="shared" si="1"/>
        <v/>
      </c>
      <c r="AC54" s="3" t="str">
        <f t="shared" si="2"/>
        <v/>
      </c>
      <c r="AD54" s="3">
        <f>VLOOKUP(YEAR(Q54),Populations!$A$3:$B$999,2,0)</f>
        <v>54349500</v>
      </c>
      <c r="AE54" s="3">
        <f>(Calculations!B1/AD54)</f>
        <v>1.25677204022116</v>
      </c>
      <c r="AF54" s="3"/>
      <c r="AG54" s="3">
        <v>1</v>
      </c>
      <c r="AH54" s="3" t="str">
        <f>VLOOKUP(AG54,WikiFormats!$A$3:$B$999,2,0)</f>
        <v>Story</v>
      </c>
      <c r="AI54" s="3" t="s">
        <v>587</v>
      </c>
    </row>
    <row r="55" spans="1:35" s="8" customFormat="1" x14ac:dyDescent="0.55000000000000004">
      <c r="A55" s="3">
        <v>53</v>
      </c>
      <c r="B55" s="3">
        <v>1</v>
      </c>
      <c r="C55" s="3" t="str">
        <f>VLOOKUP(B55,Eras!$A$3:$B$999,2,0)</f>
        <v>Classic</v>
      </c>
      <c r="D55" s="3">
        <v>1</v>
      </c>
      <c r="E55" s="3" t="str">
        <f>VLOOKUP(D55,EpisodeFormats!$A$3:$B$999,2,0)</f>
        <v>Series</v>
      </c>
      <c r="F55" s="3">
        <v>1</v>
      </c>
      <c r="G55" s="3" t="str">
        <f>VLOOKUP(F55,Doctors!$A$3:$B$999,2,0)</f>
        <v>William Hartnell</v>
      </c>
      <c r="H55" s="3">
        <v>2</v>
      </c>
      <c r="I55" s="3">
        <v>1</v>
      </c>
      <c r="J55" s="3" t="str">
        <f>VLOOKUP(I55,SeasonFormats!$A$3:$B$999,2,0)</f>
        <v>Season</v>
      </c>
      <c r="K55" s="3">
        <v>11</v>
      </c>
      <c r="L55" s="3">
        <v>3</v>
      </c>
      <c r="M55" s="3" t="s">
        <v>239</v>
      </c>
      <c r="N55" s="3">
        <v>2</v>
      </c>
      <c r="O55" s="3" t="s">
        <v>285</v>
      </c>
      <c r="P55" s="3">
        <v>11</v>
      </c>
      <c r="Q55" s="7" t="d">
        <v>1965-01-09</v>
      </c>
      <c r="R55" s="3">
        <v>25</v>
      </c>
      <c r="S55" s="3"/>
      <c r="T55" s="4" t="s">
        <v>1175</v>
      </c>
      <c r="U55" s="3" t="str" cm="1">
        <f t="array" ref="U55">_xlfn.TEXTJOIN(",",TRUE,_xlfn.XLOOKUP(_xlfn.FILTERXML("&lt;t&gt;&lt;s&gt;" &amp; SUBSTITUTE(T55,",","&lt;/s&gt;&lt;s&gt;") &amp; "&lt;/s&gt;&lt;/t&gt;", "//s"),Writers!$A$3:$A$999,Writers!$B$3:$B$999,""))</f>
        <v>David Whitaker</v>
      </c>
      <c r="V55" s="3"/>
      <c r="W55" s="3" t="str">
        <f>IF(V55="","",_xlfn.XLOOKUP(V55,Writers!$A$3:$A$999,Writers!$B$3:$B$999,""))</f>
        <v/>
      </c>
      <c r="X55" s="3">
        <v>13</v>
      </c>
      <c r="Y55" s="3"/>
      <c r="Z55" s="3"/>
      <c r="AA55" s="3">
        <f t="shared" si="0"/>
        <v>16.34</v>
      </c>
      <c r="AB55" s="3" t="str">
        <f t="shared" si="1"/>
        <v/>
      </c>
      <c r="AC55" s="3" t="str">
        <f t="shared" si="2"/>
        <v/>
      </c>
      <c r="AD55" s="3">
        <f>VLOOKUP(YEAR(Q55),Populations!$A$3:$B$999,2,0)</f>
        <v>54349500</v>
      </c>
      <c r="AE55" s="3">
        <f>(Calculations!B1/AD55)</f>
        <v>1.25677204022116</v>
      </c>
      <c r="AF55" s="3"/>
      <c r="AG55" s="3">
        <v>1</v>
      </c>
      <c r="AH55" s="3" t="str">
        <f>VLOOKUP(AG55,WikiFormats!$A$3:$B$999,2,0)</f>
        <v>Story</v>
      </c>
      <c r="AI55" s="3" t="s">
        <v>587</v>
      </c>
    </row>
    <row r="56" spans="1:35" s="2" customFormat="1" x14ac:dyDescent="0.55000000000000004">
      <c r="A56">
        <v>54</v>
      </c>
      <c r="B56">
        <v>1</v>
      </c>
      <c r="C56" t="str">
        <f>VLOOKUP(B56,Eras!$A$3:$B$999,2,0)</f>
        <v>Classic</v>
      </c>
      <c r="D56">
        <v>1</v>
      </c>
      <c r="E56" t="str">
        <f>VLOOKUP(D56,EpisodeFormats!$A$3:$B$999,2,0)</f>
        <v>Series</v>
      </c>
      <c r="F56">
        <v>1</v>
      </c>
      <c r="G56" t="str">
        <f>VLOOKUP(F56,Doctors!$A$3:$B$999,2,0)</f>
        <v>William Hartnell</v>
      </c>
      <c r="H56">
        <v>2</v>
      </c>
      <c r="I56">
        <v>1</v>
      </c>
      <c r="J56" t="str">
        <f>VLOOKUP(I56,SeasonFormats!$A$3:$B$999,2,0)</f>
        <v>Season</v>
      </c>
      <c r="K56">
        <v>12</v>
      </c>
      <c r="L56">
        <v>4</v>
      </c>
      <c r="M56" t="s">
        <v>271</v>
      </c>
      <c r="N56">
        <v>1</v>
      </c>
      <c r="O56" t="s">
        <v>286</v>
      </c>
      <c r="P56">
        <v>12</v>
      </c>
      <c r="Q56" s="6" t="d">
        <v>1965-01-16</v>
      </c>
      <c r="R56">
        <v>24</v>
      </c>
      <c r="S56"/>
      <c r="T56" s="15" t="s">
        <v>1162</v>
      </c>
      <c r="U56" t="str" cm="1">
        <f t="array" ref="U56">_xlfn.TEXTJOIN(",",TRUE,_xlfn.XLOOKUP(_xlfn.FILTERXML("&lt;t&gt;&lt;s&gt;" &amp; SUBSTITUTE(T56,",","&lt;/s&gt;&lt;s&gt;") &amp; "&lt;/s&gt;&lt;/t&gt;", "//s"),Writers!$A$3:$A$999,Writers!$B$3:$B$999,""))</f>
        <v>Dennis Spooner</v>
      </c>
      <c r="V56"/>
      <c r="W56" t="str">
        <f>IF(V56="","",_xlfn.XLOOKUP(V56,Writers!$A$3:$A$999,Writers!$B$3:$B$999,""))</f>
        <v/>
      </c>
      <c r="X56">
        <v>13</v>
      </c>
      <c r="Y56"/>
      <c r="Z56"/>
      <c r="AA56">
        <f t="shared" si="0"/>
        <v>16.34</v>
      </c>
      <c r="AB56" t="str">
        <f t="shared" si="1"/>
        <v/>
      </c>
      <c r="AC56" t="str">
        <f t="shared" si="2"/>
        <v/>
      </c>
      <c r="AD56">
        <f>VLOOKUP(YEAR(Q56),Populations!$A$3:$B$999,2,0)</f>
        <v>54349500</v>
      </c>
      <c r="AE56">
        <f>(Calculations!B1/AD56)</f>
        <v>1.25677204022116</v>
      </c>
      <c r="AF56"/>
      <c r="AG56">
        <v>1</v>
      </c>
      <c r="AH56" t="str">
        <f>VLOOKUP(AG56,WikiFormats!$A$3:$B$999,2,0)</f>
        <v>Story</v>
      </c>
      <c r="AI56" t="s">
        <v>588</v>
      </c>
    </row>
    <row r="57" spans="1:35" s="2" customFormat="1" x14ac:dyDescent="0.55000000000000004">
      <c r="A57">
        <v>55</v>
      </c>
      <c r="B57">
        <v>1</v>
      </c>
      <c r="C57" t="str">
        <f>VLOOKUP(B57,Eras!$A$3:$B$999,2,0)</f>
        <v>Classic</v>
      </c>
      <c r="D57">
        <v>1</v>
      </c>
      <c r="E57" t="str">
        <f>VLOOKUP(D57,EpisodeFormats!$A$3:$B$999,2,0)</f>
        <v>Series</v>
      </c>
      <c r="F57">
        <v>1</v>
      </c>
      <c r="G57" t="str">
        <f>VLOOKUP(F57,Doctors!$A$3:$B$999,2,0)</f>
        <v>William Hartnell</v>
      </c>
      <c r="H57">
        <v>2</v>
      </c>
      <c r="I57">
        <v>1</v>
      </c>
      <c r="J57" t="str">
        <f>VLOOKUP(I57,SeasonFormats!$A$3:$B$999,2,0)</f>
        <v>Season</v>
      </c>
      <c r="K57">
        <v>12</v>
      </c>
      <c r="L57">
        <v>4</v>
      </c>
      <c r="M57" t="s">
        <v>271</v>
      </c>
      <c r="N57">
        <v>2</v>
      </c>
      <c r="O57" t="s">
        <v>287</v>
      </c>
      <c r="P57">
        <v>13</v>
      </c>
      <c r="Q57" s="6" t="d">
        <v>1965-01-23</v>
      </c>
      <c r="R57">
        <v>23</v>
      </c>
      <c r="S57"/>
      <c r="T57" s="15" t="s">
        <v>1162</v>
      </c>
      <c r="U57" t="str" cm="1">
        <f t="array" ref="U57">_xlfn.TEXTJOIN(",",TRUE,_xlfn.XLOOKUP(_xlfn.FILTERXML("&lt;t&gt;&lt;s&gt;" &amp; SUBSTITUTE(T57,",","&lt;/s&gt;&lt;s&gt;") &amp; "&lt;/s&gt;&lt;/t&gt;", "//s"),Writers!$A$3:$A$999,Writers!$B$3:$B$999,""))</f>
        <v>Dennis Spooner</v>
      </c>
      <c r="V57"/>
      <c r="W57" t="str">
        <f>IF(V57="","",_xlfn.XLOOKUP(V57,Writers!$A$3:$A$999,Writers!$B$3:$B$999,""))</f>
        <v/>
      </c>
      <c r="X57">
        <v>11.5</v>
      </c>
      <c r="Y57"/>
      <c r="Z57"/>
      <c r="AA57">
        <f t="shared" si="0"/>
        <v>14.45</v>
      </c>
      <c r="AB57" t="str">
        <f t="shared" si="1"/>
        <v/>
      </c>
      <c r="AC57" t="str">
        <f t="shared" si="2"/>
        <v/>
      </c>
      <c r="AD57">
        <f>VLOOKUP(YEAR(Q57),Populations!$A$3:$B$999,2,0)</f>
        <v>54349500</v>
      </c>
      <c r="AE57">
        <f>(Calculations!B1/AD57)</f>
        <v>1.25677204022116</v>
      </c>
      <c r="AF57"/>
      <c r="AG57">
        <v>1</v>
      </c>
      <c r="AH57" t="str">
        <f>VLOOKUP(AG57,WikiFormats!$A$3:$B$999,2,0)</f>
        <v>Story</v>
      </c>
      <c r="AI57" t="s">
        <v>588</v>
      </c>
    </row>
    <row r="58" spans="1:35" s="2" customFormat="1" x14ac:dyDescent="0.55000000000000004">
      <c r="A58">
        <v>56</v>
      </c>
      <c r="B58">
        <v>1</v>
      </c>
      <c r="C58" t="str">
        <f>VLOOKUP(B58,Eras!$A$3:$B$999,2,0)</f>
        <v>Classic</v>
      </c>
      <c r="D58">
        <v>1</v>
      </c>
      <c r="E58" t="str">
        <f>VLOOKUP(D58,EpisodeFormats!$A$3:$B$999,2,0)</f>
        <v>Series</v>
      </c>
      <c r="F58">
        <v>1</v>
      </c>
      <c r="G58" t="str">
        <f>VLOOKUP(F58,Doctors!$A$3:$B$999,2,0)</f>
        <v>William Hartnell</v>
      </c>
      <c r="H58">
        <v>2</v>
      </c>
      <c r="I58">
        <v>1</v>
      </c>
      <c r="J58" t="str">
        <f>VLOOKUP(I58,SeasonFormats!$A$3:$B$999,2,0)</f>
        <v>Season</v>
      </c>
      <c r="K58">
        <v>12</v>
      </c>
      <c r="L58">
        <v>4</v>
      </c>
      <c r="M58" t="s">
        <v>271</v>
      </c>
      <c r="N58">
        <v>3</v>
      </c>
      <c r="O58" t="s">
        <v>288</v>
      </c>
      <c r="P58">
        <v>14</v>
      </c>
      <c r="Q58" s="6" t="d">
        <v>1965-01-30</v>
      </c>
      <c r="R58">
        <v>26</v>
      </c>
      <c r="S58"/>
      <c r="T58" s="15" t="s">
        <v>1162</v>
      </c>
      <c r="U58" t="str" cm="1">
        <f t="array" ref="U58">_xlfn.TEXTJOIN(",",TRUE,_xlfn.XLOOKUP(_xlfn.FILTERXML("&lt;t&gt;&lt;s&gt;" &amp; SUBSTITUTE(T58,",","&lt;/s&gt;&lt;s&gt;") &amp; "&lt;/s&gt;&lt;/t&gt;", "//s"),Writers!$A$3:$A$999,Writers!$B$3:$B$999,""))</f>
        <v>Dennis Spooner</v>
      </c>
      <c r="V58"/>
      <c r="W58" t="str">
        <f>IF(V58="","",_xlfn.XLOOKUP(V58,Writers!$A$3:$A$999,Writers!$B$3:$B$999,""))</f>
        <v/>
      </c>
      <c r="X58">
        <v>10</v>
      </c>
      <c r="Y58"/>
      <c r="Z58"/>
      <c r="AA58">
        <f t="shared" si="0"/>
        <v>12.57</v>
      </c>
      <c r="AB58" t="str">
        <f t="shared" si="1"/>
        <v/>
      </c>
      <c r="AC58" t="str">
        <f t="shared" si="2"/>
        <v/>
      </c>
      <c r="AD58">
        <f>VLOOKUP(YEAR(Q58),Populations!$A$3:$B$999,2,0)</f>
        <v>54349500</v>
      </c>
      <c r="AE58">
        <f>(Calculations!B1/AD58)</f>
        <v>1.25677204022116</v>
      </c>
      <c r="AF58"/>
      <c r="AG58">
        <v>1</v>
      </c>
      <c r="AH58" t="str">
        <f>VLOOKUP(AG58,WikiFormats!$A$3:$B$999,2,0)</f>
        <v>Story</v>
      </c>
      <c r="AI58" t="s">
        <v>588</v>
      </c>
    </row>
    <row r="59" spans="1:35" s="2" customFormat="1" x14ac:dyDescent="0.55000000000000004">
      <c r="A59">
        <v>57</v>
      </c>
      <c r="B59">
        <v>1</v>
      </c>
      <c r="C59" t="str">
        <f>VLOOKUP(B59,Eras!$A$3:$B$999,2,0)</f>
        <v>Classic</v>
      </c>
      <c r="D59">
        <v>1</v>
      </c>
      <c r="E59" t="str">
        <f>VLOOKUP(D59,EpisodeFormats!$A$3:$B$999,2,0)</f>
        <v>Series</v>
      </c>
      <c r="F59">
        <v>1</v>
      </c>
      <c r="G59" t="str">
        <f>VLOOKUP(F59,Doctors!$A$3:$B$999,2,0)</f>
        <v>William Hartnell</v>
      </c>
      <c r="H59">
        <v>2</v>
      </c>
      <c r="I59">
        <v>1</v>
      </c>
      <c r="J59" t="str">
        <f>VLOOKUP(I59,SeasonFormats!$A$3:$B$999,2,0)</f>
        <v>Season</v>
      </c>
      <c r="K59">
        <v>12</v>
      </c>
      <c r="L59">
        <v>4</v>
      </c>
      <c r="M59" t="s">
        <v>271</v>
      </c>
      <c r="N59">
        <v>4</v>
      </c>
      <c r="O59" t="s">
        <v>289</v>
      </c>
      <c r="P59">
        <v>15</v>
      </c>
      <c r="Q59" s="6" t="d">
        <v>1965-02-06</v>
      </c>
      <c r="R59">
        <v>23</v>
      </c>
      <c r="S59"/>
      <c r="T59" s="15" t="s">
        <v>1162</v>
      </c>
      <c r="U59" t="str" cm="1">
        <f t="array" ref="U59">_xlfn.TEXTJOIN(",",TRUE,_xlfn.XLOOKUP(_xlfn.FILTERXML("&lt;t&gt;&lt;s&gt;" &amp; SUBSTITUTE(T59,",","&lt;/s&gt;&lt;s&gt;") &amp; "&lt;/s&gt;&lt;/t&gt;", "//s"),Writers!$A$3:$A$999,Writers!$B$3:$B$999,""))</f>
        <v>Dennis Spooner</v>
      </c>
      <c r="V59"/>
      <c r="W59" t="str">
        <f>IF(V59="","",_xlfn.XLOOKUP(V59,Writers!$A$3:$A$999,Writers!$B$3:$B$999,""))</f>
        <v/>
      </c>
      <c r="X59">
        <v>12</v>
      </c>
      <c r="Y59"/>
      <c r="Z59"/>
      <c r="AA59">
        <f t="shared" si="0"/>
        <v>15.08</v>
      </c>
      <c r="AB59" t="str">
        <f t="shared" si="1"/>
        <v/>
      </c>
      <c r="AC59" t="str">
        <f t="shared" si="2"/>
        <v/>
      </c>
      <c r="AD59">
        <f>VLOOKUP(YEAR(Q59),Populations!$A$3:$B$999,2,0)</f>
        <v>54349500</v>
      </c>
      <c r="AE59">
        <f>(Calculations!B1/AD59)</f>
        <v>1.25677204022116</v>
      </c>
      <c r="AF59"/>
      <c r="AG59">
        <v>1</v>
      </c>
      <c r="AH59" t="str">
        <f>VLOOKUP(AG59,WikiFormats!$A$3:$B$999,2,0)</f>
        <v>Story</v>
      </c>
      <c r="AI59" t="s">
        <v>588</v>
      </c>
    </row>
    <row r="60" spans="1:35" s="8" customFormat="1" x14ac:dyDescent="0.55000000000000004">
      <c r="A60" s="3">
        <v>58</v>
      </c>
      <c r="B60" s="3">
        <v>1</v>
      </c>
      <c r="C60" s="3" t="str">
        <f>VLOOKUP(B60,Eras!$A$3:$B$999,2,0)</f>
        <v>Classic</v>
      </c>
      <c r="D60" s="3">
        <v>1</v>
      </c>
      <c r="E60" s="3" t="str">
        <f>VLOOKUP(D60,EpisodeFormats!$A$3:$B$999,2,0)</f>
        <v>Series</v>
      </c>
      <c r="F60" s="3">
        <v>1</v>
      </c>
      <c r="G60" s="3" t="str">
        <f>VLOOKUP(F60,Doctors!$A$3:$B$999,2,0)</f>
        <v>William Hartnell</v>
      </c>
      <c r="H60" s="3">
        <v>2</v>
      </c>
      <c r="I60" s="3">
        <v>1</v>
      </c>
      <c r="J60" s="3" t="str">
        <f>VLOOKUP(I60,SeasonFormats!$A$3:$B$999,2,0)</f>
        <v>Season</v>
      </c>
      <c r="K60" s="3">
        <v>13</v>
      </c>
      <c r="L60" s="3">
        <v>5</v>
      </c>
      <c r="M60" s="3" t="s">
        <v>272</v>
      </c>
      <c r="N60" s="3">
        <v>1</v>
      </c>
      <c r="O60" s="3" t="s">
        <v>272</v>
      </c>
      <c r="P60" s="3">
        <v>16</v>
      </c>
      <c r="Q60" s="7" t="d">
        <v>1965-02-13</v>
      </c>
      <c r="R60" s="3">
        <v>24</v>
      </c>
      <c r="S60" s="3"/>
      <c r="T60" s="4" t="s">
        <v>1172</v>
      </c>
      <c r="U60" s="3" t="str" cm="1">
        <f t="array" ref="U60">_xlfn.TEXTJOIN(",",TRUE,_xlfn.XLOOKUP(_xlfn.FILTERXML("&lt;t&gt;&lt;s&gt;" &amp; SUBSTITUTE(T60,",","&lt;/s&gt;&lt;s&gt;") &amp; "&lt;/s&gt;&lt;/t&gt;", "//s"),Writers!$A$3:$A$999,Writers!$B$3:$B$999,""))</f>
        <v>Bill Strutton</v>
      </c>
      <c r="V60" s="3"/>
      <c r="W60" s="3" t="str">
        <f>IF(V60="","",_xlfn.XLOOKUP(V60,Writers!$A$3:$A$999,Writers!$B$3:$B$999,""))</f>
        <v/>
      </c>
      <c r="X60" s="3">
        <v>13.5</v>
      </c>
      <c r="Y60" s="3"/>
      <c r="Z60" s="3"/>
      <c r="AA60" s="3">
        <f t="shared" si="0"/>
        <v>16.97</v>
      </c>
      <c r="AB60" s="3" t="str">
        <f t="shared" si="1"/>
        <v/>
      </c>
      <c r="AC60" s="3" t="str">
        <f t="shared" si="2"/>
        <v/>
      </c>
      <c r="AD60" s="3">
        <f>VLOOKUP(YEAR(Q60),Populations!$A$3:$B$999,2,0)</f>
        <v>54349500</v>
      </c>
      <c r="AE60" s="3">
        <f>(Calculations!B1/AD60)</f>
        <v>1.25677204022116</v>
      </c>
      <c r="AF60" s="3"/>
      <c r="AG60" s="3">
        <v>1</v>
      </c>
      <c r="AH60" s="3" t="str">
        <f>VLOOKUP(AG60,WikiFormats!$A$3:$B$999,2,0)</f>
        <v>Story</v>
      </c>
      <c r="AI60" s="3" t="s">
        <v>589</v>
      </c>
    </row>
    <row r="61" spans="1:35" s="8" customFormat="1" x14ac:dyDescent="0.55000000000000004">
      <c r="A61" s="3">
        <v>59</v>
      </c>
      <c r="B61" s="3">
        <v>1</v>
      </c>
      <c r="C61" s="3" t="str">
        <f>VLOOKUP(B61,Eras!$A$3:$B$999,2,0)</f>
        <v>Classic</v>
      </c>
      <c r="D61" s="3">
        <v>1</v>
      </c>
      <c r="E61" s="3" t="str">
        <f>VLOOKUP(D61,EpisodeFormats!$A$3:$B$999,2,0)</f>
        <v>Series</v>
      </c>
      <c r="F61" s="3">
        <v>1</v>
      </c>
      <c r="G61" s="3" t="str">
        <f>VLOOKUP(F61,Doctors!$A$3:$B$999,2,0)</f>
        <v>William Hartnell</v>
      </c>
      <c r="H61" s="3">
        <v>2</v>
      </c>
      <c r="I61" s="3">
        <v>1</v>
      </c>
      <c r="J61" s="3" t="str">
        <f>VLOOKUP(I61,SeasonFormats!$A$3:$B$999,2,0)</f>
        <v>Season</v>
      </c>
      <c r="K61" s="3">
        <v>13</v>
      </c>
      <c r="L61" s="3">
        <v>5</v>
      </c>
      <c r="M61" s="3" t="s">
        <v>272</v>
      </c>
      <c r="N61" s="3">
        <v>2</v>
      </c>
      <c r="O61" s="3" t="s">
        <v>290</v>
      </c>
      <c r="P61" s="3">
        <v>17</v>
      </c>
      <c r="Q61" s="7" t="d">
        <v>1965-02-20</v>
      </c>
      <c r="R61" s="3">
        <v>23</v>
      </c>
      <c r="S61" s="3"/>
      <c r="T61" s="4" t="s">
        <v>1172</v>
      </c>
      <c r="U61" s="3" t="str" cm="1">
        <f t="array" ref="U61">_xlfn.TEXTJOIN(",",TRUE,_xlfn.XLOOKUP(_xlfn.FILTERXML("&lt;t&gt;&lt;s&gt;" &amp; SUBSTITUTE(T61,",","&lt;/s&gt;&lt;s&gt;") &amp; "&lt;/s&gt;&lt;/t&gt;", "//s"),Writers!$A$3:$A$999,Writers!$B$3:$B$999,""))</f>
        <v>Bill Strutton</v>
      </c>
      <c r="V61" s="3"/>
      <c r="W61" s="3" t="str">
        <f>IF(V61="","",_xlfn.XLOOKUP(V61,Writers!$A$3:$A$999,Writers!$B$3:$B$999,""))</f>
        <v/>
      </c>
      <c r="X61" s="3">
        <v>12.5</v>
      </c>
      <c r="Y61" s="3"/>
      <c r="Z61" s="3"/>
      <c r="AA61" s="3">
        <f t="shared" si="0"/>
        <v>15.71</v>
      </c>
      <c r="AB61" s="3" t="str">
        <f t="shared" si="1"/>
        <v/>
      </c>
      <c r="AC61" s="3" t="str">
        <f t="shared" si="2"/>
        <v/>
      </c>
      <c r="AD61" s="3">
        <f>VLOOKUP(YEAR(Q61),Populations!$A$3:$B$999,2,0)</f>
        <v>54349500</v>
      </c>
      <c r="AE61" s="3">
        <f>(Calculations!B1/AD61)</f>
        <v>1.25677204022116</v>
      </c>
      <c r="AF61" s="3"/>
      <c r="AG61" s="3">
        <v>1</v>
      </c>
      <c r="AH61" s="3" t="str">
        <f>VLOOKUP(AG61,WikiFormats!$A$3:$B$999,2,0)</f>
        <v>Story</v>
      </c>
      <c r="AI61" s="3" t="s">
        <v>589</v>
      </c>
    </row>
    <row r="62" spans="1:35" s="8" customFormat="1" x14ac:dyDescent="0.55000000000000004">
      <c r="A62" s="3">
        <v>60</v>
      </c>
      <c r="B62" s="3">
        <v>1</v>
      </c>
      <c r="C62" s="3" t="str">
        <f>VLOOKUP(B62,Eras!$A$3:$B$999,2,0)</f>
        <v>Classic</v>
      </c>
      <c r="D62" s="3">
        <v>1</v>
      </c>
      <c r="E62" s="3" t="str">
        <f>VLOOKUP(D62,EpisodeFormats!$A$3:$B$999,2,0)</f>
        <v>Series</v>
      </c>
      <c r="F62" s="3">
        <v>1</v>
      </c>
      <c r="G62" s="3" t="str">
        <f>VLOOKUP(F62,Doctors!$A$3:$B$999,2,0)</f>
        <v>William Hartnell</v>
      </c>
      <c r="H62" s="3">
        <v>2</v>
      </c>
      <c r="I62" s="3">
        <v>1</v>
      </c>
      <c r="J62" s="3" t="str">
        <f>VLOOKUP(I62,SeasonFormats!$A$3:$B$999,2,0)</f>
        <v>Season</v>
      </c>
      <c r="K62" s="3">
        <v>13</v>
      </c>
      <c r="L62" s="3">
        <v>5</v>
      </c>
      <c r="M62" s="3" t="s">
        <v>272</v>
      </c>
      <c r="N62" s="3">
        <v>3</v>
      </c>
      <c r="O62" s="3" t="s">
        <v>291</v>
      </c>
      <c r="P62" s="3">
        <v>18</v>
      </c>
      <c r="Q62" s="7" t="d">
        <v>1965-02-27</v>
      </c>
      <c r="R62" s="3">
        <v>23</v>
      </c>
      <c r="S62" s="3"/>
      <c r="T62" s="4" t="s">
        <v>1172</v>
      </c>
      <c r="U62" s="3" t="str" cm="1">
        <f t="array" ref="U62">_xlfn.TEXTJOIN(",",TRUE,_xlfn.XLOOKUP(_xlfn.FILTERXML("&lt;t&gt;&lt;s&gt;" &amp; SUBSTITUTE(T62,",","&lt;/s&gt;&lt;s&gt;") &amp; "&lt;/s&gt;&lt;/t&gt;", "//s"),Writers!$A$3:$A$999,Writers!$B$3:$B$999,""))</f>
        <v>Bill Strutton</v>
      </c>
      <c r="V62" s="3"/>
      <c r="W62" s="3" t="str">
        <f>IF(V62="","",_xlfn.XLOOKUP(V62,Writers!$A$3:$A$999,Writers!$B$3:$B$999,""))</f>
        <v/>
      </c>
      <c r="X62" s="3">
        <v>12.5</v>
      </c>
      <c r="Y62" s="3"/>
      <c r="Z62" s="3"/>
      <c r="AA62" s="3">
        <f t="shared" si="0"/>
        <v>15.71</v>
      </c>
      <c r="AB62" s="3" t="str">
        <f t="shared" si="1"/>
        <v/>
      </c>
      <c r="AC62" s="3" t="str">
        <f t="shared" si="2"/>
        <v/>
      </c>
      <c r="AD62" s="3">
        <f>VLOOKUP(YEAR(Q62),Populations!$A$3:$B$999,2,0)</f>
        <v>54349500</v>
      </c>
      <c r="AE62" s="3">
        <f>(Calculations!B1/AD62)</f>
        <v>1.25677204022116</v>
      </c>
      <c r="AF62" s="3"/>
      <c r="AG62" s="3">
        <v>1</v>
      </c>
      <c r="AH62" s="3" t="str">
        <f>VLOOKUP(AG62,WikiFormats!$A$3:$B$999,2,0)</f>
        <v>Story</v>
      </c>
      <c r="AI62" s="3" t="s">
        <v>589</v>
      </c>
    </row>
    <row r="63" spans="1:35" s="8" customFormat="1" x14ac:dyDescent="0.55000000000000004">
      <c r="A63" s="3">
        <v>61</v>
      </c>
      <c r="B63" s="3">
        <v>1</v>
      </c>
      <c r="C63" s="3" t="str">
        <f>VLOOKUP(B63,Eras!$A$3:$B$999,2,0)</f>
        <v>Classic</v>
      </c>
      <c r="D63" s="3">
        <v>1</v>
      </c>
      <c r="E63" s="3" t="str">
        <f>VLOOKUP(D63,EpisodeFormats!$A$3:$B$999,2,0)</f>
        <v>Series</v>
      </c>
      <c r="F63" s="3">
        <v>1</v>
      </c>
      <c r="G63" s="3" t="str">
        <f>VLOOKUP(F63,Doctors!$A$3:$B$999,2,0)</f>
        <v>William Hartnell</v>
      </c>
      <c r="H63" s="3">
        <v>2</v>
      </c>
      <c r="I63" s="3">
        <v>1</v>
      </c>
      <c r="J63" s="3" t="str">
        <f>VLOOKUP(I63,SeasonFormats!$A$3:$B$999,2,0)</f>
        <v>Season</v>
      </c>
      <c r="K63" s="3">
        <v>13</v>
      </c>
      <c r="L63" s="3">
        <v>5</v>
      </c>
      <c r="M63" s="3" t="s">
        <v>272</v>
      </c>
      <c r="N63" s="3">
        <v>4</v>
      </c>
      <c r="O63" s="3" t="s">
        <v>292</v>
      </c>
      <c r="P63" s="3">
        <v>19</v>
      </c>
      <c r="Q63" s="7" t="d">
        <v>1965-03-06</v>
      </c>
      <c r="R63" s="3">
        <v>26</v>
      </c>
      <c r="S63" s="3"/>
      <c r="T63" s="4" t="s">
        <v>1172</v>
      </c>
      <c r="U63" s="3" t="str" cm="1">
        <f t="array" ref="U63">_xlfn.TEXTJOIN(",",TRUE,_xlfn.XLOOKUP(_xlfn.FILTERXML("&lt;t&gt;&lt;s&gt;" &amp; SUBSTITUTE(T63,",","&lt;/s&gt;&lt;s&gt;") &amp; "&lt;/s&gt;&lt;/t&gt;", "//s"),Writers!$A$3:$A$999,Writers!$B$3:$B$999,""))</f>
        <v>Bill Strutton</v>
      </c>
      <c r="V63" s="3"/>
      <c r="W63" s="3" t="str">
        <f>IF(V63="","",_xlfn.XLOOKUP(V63,Writers!$A$3:$A$999,Writers!$B$3:$B$999,""))</f>
        <v/>
      </c>
      <c r="X63" s="3">
        <v>13</v>
      </c>
      <c r="Y63" s="3"/>
      <c r="Z63" s="3"/>
      <c r="AA63" s="3">
        <f t="shared" si="0"/>
        <v>16.34</v>
      </c>
      <c r="AB63" s="3" t="str">
        <f t="shared" si="1"/>
        <v/>
      </c>
      <c r="AC63" s="3" t="str">
        <f t="shared" si="2"/>
        <v/>
      </c>
      <c r="AD63" s="3">
        <f>VLOOKUP(YEAR(Q63),Populations!$A$3:$B$999,2,0)</f>
        <v>54349500</v>
      </c>
      <c r="AE63" s="3">
        <f>(Calculations!B1/AD63)</f>
        <v>1.25677204022116</v>
      </c>
      <c r="AF63" s="3"/>
      <c r="AG63" s="3">
        <v>1</v>
      </c>
      <c r="AH63" s="3" t="str">
        <f>VLOOKUP(AG63,WikiFormats!$A$3:$B$999,2,0)</f>
        <v>Story</v>
      </c>
      <c r="AI63" s="3" t="s">
        <v>589</v>
      </c>
    </row>
    <row r="64" spans="1:35" s="8" customFormat="1" x14ac:dyDescent="0.55000000000000004">
      <c r="A64" s="3">
        <v>62</v>
      </c>
      <c r="B64" s="3">
        <v>1</v>
      </c>
      <c r="C64" s="3" t="str">
        <f>VLOOKUP(B64,Eras!$A$3:$B$999,2,0)</f>
        <v>Classic</v>
      </c>
      <c r="D64" s="3">
        <v>1</v>
      </c>
      <c r="E64" s="3" t="str">
        <f>VLOOKUP(D64,EpisodeFormats!$A$3:$B$999,2,0)</f>
        <v>Series</v>
      </c>
      <c r="F64" s="3">
        <v>1</v>
      </c>
      <c r="G64" s="3" t="str">
        <f>VLOOKUP(F64,Doctors!$A$3:$B$999,2,0)</f>
        <v>William Hartnell</v>
      </c>
      <c r="H64" s="3">
        <v>2</v>
      </c>
      <c r="I64" s="3">
        <v>1</v>
      </c>
      <c r="J64" s="3" t="str">
        <f>VLOOKUP(I64,SeasonFormats!$A$3:$B$999,2,0)</f>
        <v>Season</v>
      </c>
      <c r="K64" s="3">
        <v>13</v>
      </c>
      <c r="L64" s="3">
        <v>5</v>
      </c>
      <c r="M64" s="3" t="s">
        <v>272</v>
      </c>
      <c r="N64" s="3">
        <v>5</v>
      </c>
      <c r="O64" s="3" t="s">
        <v>293</v>
      </c>
      <c r="P64" s="3">
        <v>20</v>
      </c>
      <c r="Q64" s="7" t="d">
        <v>1965-03-13</v>
      </c>
      <c r="R64" s="3">
        <v>26</v>
      </c>
      <c r="S64" s="3"/>
      <c r="T64" s="4" t="s">
        <v>1172</v>
      </c>
      <c r="U64" s="3" t="str" cm="1">
        <f t="array" ref="U64">_xlfn.TEXTJOIN(",",TRUE,_xlfn.XLOOKUP(_xlfn.FILTERXML("&lt;t&gt;&lt;s&gt;" &amp; SUBSTITUTE(T64,",","&lt;/s&gt;&lt;s&gt;") &amp; "&lt;/s&gt;&lt;/t&gt;", "//s"),Writers!$A$3:$A$999,Writers!$B$3:$B$999,""))</f>
        <v>Bill Strutton</v>
      </c>
      <c r="V64" s="3"/>
      <c r="W64" s="3" t="str">
        <f>IF(V64="","",_xlfn.XLOOKUP(V64,Writers!$A$3:$A$999,Writers!$B$3:$B$999,""))</f>
        <v/>
      </c>
      <c r="X64" s="3">
        <v>12</v>
      </c>
      <c r="Y64" s="3"/>
      <c r="Z64" s="3"/>
      <c r="AA64" s="3">
        <f t="shared" si="0"/>
        <v>15.08</v>
      </c>
      <c r="AB64" s="3" t="str">
        <f t="shared" si="1"/>
        <v/>
      </c>
      <c r="AC64" s="3" t="str">
        <f t="shared" si="2"/>
        <v/>
      </c>
      <c r="AD64" s="3">
        <f>VLOOKUP(YEAR(Q64),Populations!$A$3:$B$999,2,0)</f>
        <v>54349500</v>
      </c>
      <c r="AE64" s="3">
        <f>(Calculations!B1/AD64)</f>
        <v>1.25677204022116</v>
      </c>
      <c r="AF64" s="3"/>
      <c r="AG64" s="3">
        <v>1</v>
      </c>
      <c r="AH64" s="3" t="str">
        <f>VLOOKUP(AG64,WikiFormats!$A$3:$B$999,2,0)</f>
        <v>Story</v>
      </c>
      <c r="AI64" s="3" t="s">
        <v>589</v>
      </c>
    </row>
    <row r="65" spans="1:35" s="8" customFormat="1" x14ac:dyDescent="0.55000000000000004">
      <c r="A65" s="3">
        <v>63</v>
      </c>
      <c r="B65" s="3">
        <v>1</v>
      </c>
      <c r="C65" s="3" t="str">
        <f>VLOOKUP(B65,Eras!$A$3:$B$999,2,0)</f>
        <v>Classic</v>
      </c>
      <c r="D65" s="3">
        <v>1</v>
      </c>
      <c r="E65" s="3" t="str">
        <f>VLOOKUP(D65,EpisodeFormats!$A$3:$B$999,2,0)</f>
        <v>Series</v>
      </c>
      <c r="F65" s="3">
        <v>1</v>
      </c>
      <c r="G65" s="3" t="str">
        <f>VLOOKUP(F65,Doctors!$A$3:$B$999,2,0)</f>
        <v>William Hartnell</v>
      </c>
      <c r="H65" s="3">
        <v>2</v>
      </c>
      <c r="I65" s="3">
        <v>1</v>
      </c>
      <c r="J65" s="3" t="str">
        <f>VLOOKUP(I65,SeasonFormats!$A$3:$B$999,2,0)</f>
        <v>Season</v>
      </c>
      <c r="K65" s="3">
        <v>13</v>
      </c>
      <c r="L65" s="3">
        <v>5</v>
      </c>
      <c r="M65" s="3" t="s">
        <v>272</v>
      </c>
      <c r="N65" s="3">
        <v>6</v>
      </c>
      <c r="O65" s="3" t="s">
        <v>294</v>
      </c>
      <c r="P65" s="3">
        <v>21</v>
      </c>
      <c r="Q65" s="7" t="d">
        <v>1965-03-20</v>
      </c>
      <c r="R65" s="3">
        <v>24</v>
      </c>
      <c r="S65" s="3"/>
      <c r="T65" s="4" t="s">
        <v>1172</v>
      </c>
      <c r="U65" s="3" t="str" cm="1">
        <f t="array" ref="U65">_xlfn.TEXTJOIN(",",TRUE,_xlfn.XLOOKUP(_xlfn.FILTERXML("&lt;t&gt;&lt;s&gt;" &amp; SUBSTITUTE(T65,",","&lt;/s&gt;&lt;s&gt;") &amp; "&lt;/s&gt;&lt;/t&gt;", "//s"),Writers!$A$3:$A$999,Writers!$B$3:$B$999,""))</f>
        <v>Bill Strutton</v>
      </c>
      <c r="V65" s="3"/>
      <c r="W65" s="3" t="str">
        <f>IF(V65="","",_xlfn.XLOOKUP(V65,Writers!$A$3:$A$999,Writers!$B$3:$B$999,""))</f>
        <v/>
      </c>
      <c r="X65" s="3">
        <v>11.5</v>
      </c>
      <c r="Y65" s="3"/>
      <c r="Z65" s="3"/>
      <c r="AA65" s="3">
        <f t="shared" si="0"/>
        <v>14.45</v>
      </c>
      <c r="AB65" s="3" t="str">
        <f t="shared" si="1"/>
        <v/>
      </c>
      <c r="AC65" s="3" t="str">
        <f t="shared" si="2"/>
        <v/>
      </c>
      <c r="AD65" s="3">
        <f>VLOOKUP(YEAR(Q65),Populations!$A$3:$B$999,2,0)</f>
        <v>54349500</v>
      </c>
      <c r="AE65" s="3">
        <f>(Calculations!B1/AD65)</f>
        <v>1.25677204022116</v>
      </c>
      <c r="AF65" s="3"/>
      <c r="AG65" s="3">
        <v>1</v>
      </c>
      <c r="AH65" s="3" t="str">
        <f>VLOOKUP(AG65,WikiFormats!$A$3:$B$999,2,0)</f>
        <v>Story</v>
      </c>
      <c r="AI65" s="3" t="s">
        <v>589</v>
      </c>
    </row>
    <row r="66" spans="1:35" s="2" customFormat="1" x14ac:dyDescent="0.55000000000000004">
      <c r="A66">
        <v>64</v>
      </c>
      <c r="B66">
        <v>1</v>
      </c>
      <c r="C66" t="str">
        <f>VLOOKUP(B66,Eras!$A$3:$B$999,2,0)</f>
        <v>Classic</v>
      </c>
      <c r="D66">
        <v>1</v>
      </c>
      <c r="E66" t="str">
        <f>VLOOKUP(D66,EpisodeFormats!$A$3:$B$999,2,0)</f>
        <v>Series</v>
      </c>
      <c r="F66">
        <v>1</v>
      </c>
      <c r="G66" t="str">
        <f>VLOOKUP(F66,Doctors!$A$3:$B$999,2,0)</f>
        <v>William Hartnell</v>
      </c>
      <c r="H66">
        <v>2</v>
      </c>
      <c r="I66">
        <v>1</v>
      </c>
      <c r="J66" t="str">
        <f>VLOOKUP(I66,SeasonFormats!$A$3:$B$999,2,0)</f>
        <v>Season</v>
      </c>
      <c r="K66">
        <v>14</v>
      </c>
      <c r="L66">
        <v>6</v>
      </c>
      <c r="M66" t="s">
        <v>273</v>
      </c>
      <c r="N66">
        <v>1</v>
      </c>
      <c r="O66" t="s">
        <v>295</v>
      </c>
      <c r="P66">
        <v>22</v>
      </c>
      <c r="Q66" s="6" t="d">
        <v>1965-03-27</v>
      </c>
      <c r="R66">
        <v>25</v>
      </c>
      <c r="S66"/>
      <c r="T66" s="15" t="s">
        <v>1175</v>
      </c>
      <c r="U66" t="str" cm="1">
        <f t="array" ref="U66">_xlfn.TEXTJOIN(",",TRUE,_xlfn.XLOOKUP(_xlfn.FILTERXML("&lt;t&gt;&lt;s&gt;" &amp; SUBSTITUTE(T66,",","&lt;/s&gt;&lt;s&gt;") &amp; "&lt;/s&gt;&lt;/t&gt;", "//s"),Writers!$A$3:$A$999,Writers!$B$3:$B$999,""))</f>
        <v>David Whitaker</v>
      </c>
      <c r="V66"/>
      <c r="W66" t="str">
        <f>IF(V66="","",_xlfn.XLOOKUP(V66,Writers!$A$3:$A$999,Writers!$B$3:$B$999,""))</f>
        <v/>
      </c>
      <c r="X66">
        <v>10.5</v>
      </c>
      <c r="Y66"/>
      <c r="Z66"/>
      <c r="AA66">
        <f t="shared" si="0"/>
        <v>13.2</v>
      </c>
      <c r="AB66" t="str">
        <f t="shared" si="1"/>
        <v/>
      </c>
      <c r="AC66" t="str">
        <f t="shared" si="2"/>
        <v/>
      </c>
      <c r="AD66">
        <f>VLOOKUP(YEAR(Q66),Populations!$A$3:$B$999,2,0)</f>
        <v>54349500</v>
      </c>
      <c r="AE66">
        <f>(Calculations!B1/AD66)</f>
        <v>1.25677204022116</v>
      </c>
      <c r="AF66"/>
      <c r="AG66">
        <v>1</v>
      </c>
      <c r="AH66" t="str">
        <f>VLOOKUP(AG66,WikiFormats!$A$3:$B$999,2,0)</f>
        <v>Story</v>
      </c>
      <c r="AI66" t="s">
        <v>590</v>
      </c>
    </row>
    <row r="67" spans="1:35" s="2" customFormat="1" x14ac:dyDescent="0.55000000000000004">
      <c r="A67">
        <v>65</v>
      </c>
      <c r="B67">
        <v>1</v>
      </c>
      <c r="C67" t="str">
        <f>VLOOKUP(B67,Eras!$A$3:$B$999,2,0)</f>
        <v>Classic</v>
      </c>
      <c r="D67">
        <v>1</v>
      </c>
      <c r="E67" t="str">
        <f>VLOOKUP(D67,EpisodeFormats!$A$3:$B$999,2,0)</f>
        <v>Series</v>
      </c>
      <c r="F67">
        <v>1</v>
      </c>
      <c r="G67" t="str">
        <f>VLOOKUP(F67,Doctors!$A$3:$B$999,2,0)</f>
        <v>William Hartnell</v>
      </c>
      <c r="H67">
        <v>2</v>
      </c>
      <c r="I67">
        <v>1</v>
      </c>
      <c r="J67" t="str">
        <f>VLOOKUP(I67,SeasonFormats!$A$3:$B$999,2,0)</f>
        <v>Season</v>
      </c>
      <c r="K67">
        <v>14</v>
      </c>
      <c r="L67">
        <v>6</v>
      </c>
      <c r="M67" t="s">
        <v>273</v>
      </c>
      <c r="N67">
        <v>2</v>
      </c>
      <c r="O67" t="s">
        <v>310</v>
      </c>
      <c r="P67">
        <v>23</v>
      </c>
      <c r="Q67" s="6" t="d">
        <v>1965-04-03</v>
      </c>
      <c r="R67">
        <v>25</v>
      </c>
      <c r="S67">
        <v>1</v>
      </c>
      <c r="T67" s="15" t="s">
        <v>1175</v>
      </c>
      <c r="U67" t="str" cm="1">
        <f t="array" ref="U67">_xlfn.TEXTJOIN(",",TRUE,_xlfn.XLOOKUP(_xlfn.FILTERXML("&lt;t&gt;&lt;s&gt;" &amp; SUBSTITUTE(T67,",","&lt;/s&gt;&lt;s&gt;") &amp; "&lt;/s&gt;&lt;/t&gt;", "//s"),Writers!$A$3:$A$999,Writers!$B$3:$B$999,""))</f>
        <v>David Whitaker</v>
      </c>
      <c r="V67"/>
      <c r="W67" t="str">
        <f>IF(V67="","",_xlfn.XLOOKUP(V67,Writers!$A$3:$A$999,Writers!$B$3:$B$999,""))</f>
        <v/>
      </c>
      <c r="X67">
        <v>8.5</v>
      </c>
      <c r="Y67"/>
      <c r="Z67"/>
      <c r="AA67">
        <f t="shared" si="0"/>
        <v>10.68</v>
      </c>
      <c r="AB67" t="str">
        <f t="shared" si="1"/>
        <v/>
      </c>
      <c r="AC67" t="str">
        <f t="shared" si="2"/>
        <v/>
      </c>
      <c r="AD67">
        <f>VLOOKUP(YEAR(Q67),Populations!$A$3:$B$999,2,0)</f>
        <v>54349500</v>
      </c>
      <c r="AE67">
        <f>(Calculations!B1/AD67)</f>
        <v>1.25677204022116</v>
      </c>
      <c r="AF67"/>
      <c r="AG67">
        <v>1</v>
      </c>
      <c r="AH67" t="str">
        <f>VLOOKUP(AG67,WikiFormats!$A$3:$B$999,2,0)</f>
        <v>Story</v>
      </c>
      <c r="AI67" t="s">
        <v>590</v>
      </c>
    </row>
    <row r="68" spans="1:35" s="2" customFormat="1" x14ac:dyDescent="0.55000000000000004">
      <c r="A68">
        <v>66</v>
      </c>
      <c r="B68">
        <v>1</v>
      </c>
      <c r="C68" t="str">
        <f>VLOOKUP(B68,Eras!$A$3:$B$999,2,0)</f>
        <v>Classic</v>
      </c>
      <c r="D68">
        <v>1</v>
      </c>
      <c r="E68" t="str">
        <f>VLOOKUP(D68,EpisodeFormats!$A$3:$B$999,2,0)</f>
        <v>Series</v>
      </c>
      <c r="F68">
        <v>1</v>
      </c>
      <c r="G68" t="str">
        <f>VLOOKUP(F68,Doctors!$A$3:$B$999,2,0)</f>
        <v>William Hartnell</v>
      </c>
      <c r="H68">
        <v>2</v>
      </c>
      <c r="I68">
        <v>1</v>
      </c>
      <c r="J68" t="str">
        <f>VLOOKUP(I68,SeasonFormats!$A$3:$B$999,2,0)</f>
        <v>Season</v>
      </c>
      <c r="K68">
        <v>14</v>
      </c>
      <c r="L68">
        <v>6</v>
      </c>
      <c r="M68" t="s">
        <v>273</v>
      </c>
      <c r="N68">
        <v>3</v>
      </c>
      <c r="O68" t="s">
        <v>296</v>
      </c>
      <c r="P68">
        <v>24</v>
      </c>
      <c r="Q68" s="6" t="d">
        <v>1965-04-10</v>
      </c>
      <c r="R68">
        <v>24</v>
      </c>
      <c r="S68"/>
      <c r="T68" s="15" t="s">
        <v>1175</v>
      </c>
      <c r="U68" t="str" cm="1">
        <f t="array" ref="U68">_xlfn.TEXTJOIN(",",TRUE,_xlfn.XLOOKUP(_xlfn.FILTERXML("&lt;t&gt;&lt;s&gt;" &amp; SUBSTITUTE(T68,",","&lt;/s&gt;&lt;s&gt;") &amp; "&lt;/s&gt;&lt;/t&gt;", "//s"),Writers!$A$3:$A$999,Writers!$B$3:$B$999,""))</f>
        <v>David Whitaker</v>
      </c>
      <c r="V68"/>
      <c r="W68" t="str">
        <f>IF(V68="","",_xlfn.XLOOKUP(V68,Writers!$A$3:$A$999,Writers!$B$3:$B$999,""))</f>
        <v/>
      </c>
      <c r="X68">
        <v>9</v>
      </c>
      <c r="Y68"/>
      <c r="Z68"/>
      <c r="AA68">
        <f t="shared" ref="AA68:AA131" si="3">IF(ISBLANK(X68),"",ROUND(X68*AE68,2))</f>
        <v>11.31</v>
      </c>
      <c r="AB68" t="str">
        <f t="shared" ref="AB68:AB131" si="4">IF(ISBLANK(Y68),"",ROUND(Y68*AE68,2))</f>
        <v/>
      </c>
      <c r="AC68" t="str">
        <f t="shared" ref="AC68:AC131" si="5">IF(ISBLANK(Z68),"",ROUND(Z68*AE68,2))</f>
        <v/>
      </c>
      <c r="AD68">
        <f>VLOOKUP(YEAR(Q68),Populations!$A$3:$B$999,2,0)</f>
        <v>54349500</v>
      </c>
      <c r="AE68">
        <f>(Calculations!B1/AD68)</f>
        <v>1.25677204022116</v>
      </c>
      <c r="AF68"/>
      <c r="AG68">
        <v>1</v>
      </c>
      <c r="AH68" t="str">
        <f>VLOOKUP(AG68,WikiFormats!$A$3:$B$999,2,0)</f>
        <v>Story</v>
      </c>
      <c r="AI68" t="s">
        <v>590</v>
      </c>
    </row>
    <row r="69" spans="1:35" s="2" customFormat="1" x14ac:dyDescent="0.55000000000000004">
      <c r="A69">
        <v>67</v>
      </c>
      <c r="B69">
        <v>1</v>
      </c>
      <c r="C69" t="str">
        <f>VLOOKUP(B69,Eras!$A$3:$B$999,2,0)</f>
        <v>Classic</v>
      </c>
      <c r="D69">
        <v>1</v>
      </c>
      <c r="E69" t="str">
        <f>VLOOKUP(D69,EpisodeFormats!$A$3:$B$999,2,0)</f>
        <v>Series</v>
      </c>
      <c r="F69">
        <v>1</v>
      </c>
      <c r="G69" t="str">
        <f>VLOOKUP(F69,Doctors!$A$3:$B$999,2,0)</f>
        <v>William Hartnell</v>
      </c>
      <c r="H69">
        <v>2</v>
      </c>
      <c r="I69">
        <v>1</v>
      </c>
      <c r="J69" t="str">
        <f>VLOOKUP(I69,SeasonFormats!$A$3:$B$999,2,0)</f>
        <v>Season</v>
      </c>
      <c r="K69">
        <v>14</v>
      </c>
      <c r="L69">
        <v>6</v>
      </c>
      <c r="M69" t="s">
        <v>273</v>
      </c>
      <c r="N69">
        <v>4</v>
      </c>
      <c r="O69" t="s">
        <v>311</v>
      </c>
      <c r="P69">
        <v>25</v>
      </c>
      <c r="Q69" s="6" t="d">
        <v>1965-04-17</v>
      </c>
      <c r="R69">
        <v>22</v>
      </c>
      <c r="S69">
        <v>1</v>
      </c>
      <c r="T69" s="15" t="s">
        <v>1175</v>
      </c>
      <c r="U69" t="str" cm="1">
        <f t="array" ref="U69">_xlfn.TEXTJOIN(",",TRUE,_xlfn.XLOOKUP(_xlfn.FILTERXML("&lt;t&gt;&lt;s&gt;" &amp; SUBSTITUTE(T69,",","&lt;/s&gt;&lt;s&gt;") &amp; "&lt;/s&gt;&lt;/t&gt;", "//s"),Writers!$A$3:$A$999,Writers!$B$3:$B$999,""))</f>
        <v>David Whitaker</v>
      </c>
      <c r="V69"/>
      <c r="W69" t="str">
        <f>IF(V69="","",_xlfn.XLOOKUP(V69,Writers!$A$3:$A$999,Writers!$B$3:$B$999,""))</f>
        <v/>
      </c>
      <c r="X69">
        <v>9.5</v>
      </c>
      <c r="Y69"/>
      <c r="Z69"/>
      <c r="AA69">
        <f t="shared" si="3"/>
        <v>11.94</v>
      </c>
      <c r="AB69" t="str">
        <f t="shared" si="4"/>
        <v/>
      </c>
      <c r="AC69" t="str">
        <f t="shared" si="5"/>
        <v/>
      </c>
      <c r="AD69">
        <f>VLOOKUP(YEAR(Q69),Populations!$A$3:$B$999,2,0)</f>
        <v>54349500</v>
      </c>
      <c r="AE69">
        <f>(Calculations!B1/AD69)</f>
        <v>1.25677204022116</v>
      </c>
      <c r="AF69"/>
      <c r="AG69">
        <v>1</v>
      </c>
      <c r="AH69" t="str">
        <f>VLOOKUP(AG69,WikiFormats!$A$3:$B$999,2,0)</f>
        <v>Story</v>
      </c>
      <c r="AI69" t="s">
        <v>590</v>
      </c>
    </row>
    <row r="70" spans="1:35" s="8" customFormat="1" x14ac:dyDescent="0.55000000000000004">
      <c r="A70" s="3">
        <v>68</v>
      </c>
      <c r="B70" s="3">
        <v>1</v>
      </c>
      <c r="C70" s="3" t="str">
        <f>VLOOKUP(B70,Eras!$A$3:$B$999,2,0)</f>
        <v>Classic</v>
      </c>
      <c r="D70" s="3">
        <v>1</v>
      </c>
      <c r="E70" s="3" t="str">
        <f>VLOOKUP(D70,EpisodeFormats!$A$3:$B$999,2,0)</f>
        <v>Series</v>
      </c>
      <c r="F70" s="3">
        <v>1</v>
      </c>
      <c r="G70" s="3" t="str">
        <f>VLOOKUP(F70,Doctors!$A$3:$B$999,2,0)</f>
        <v>William Hartnell</v>
      </c>
      <c r="H70" s="3">
        <v>2</v>
      </c>
      <c r="I70" s="3">
        <v>1</v>
      </c>
      <c r="J70" s="3" t="str">
        <f>VLOOKUP(I70,SeasonFormats!$A$3:$B$999,2,0)</f>
        <v>Season</v>
      </c>
      <c r="K70" s="3">
        <v>15</v>
      </c>
      <c r="L70" s="3">
        <v>7</v>
      </c>
      <c r="M70" s="3" t="s">
        <v>274</v>
      </c>
      <c r="N70" s="3">
        <v>1</v>
      </c>
      <c r="O70" s="3" t="s">
        <v>274</v>
      </c>
      <c r="P70" s="3">
        <v>26</v>
      </c>
      <c r="Q70" s="7" t="d">
        <v>1965-04-24</v>
      </c>
      <c r="R70" s="3">
        <v>24</v>
      </c>
      <c r="S70" s="3"/>
      <c r="T70" s="4" t="s">
        <v>1130</v>
      </c>
      <c r="U70" s="3" t="str" cm="1">
        <f t="array" ref="U70">_xlfn.TEXTJOIN(",",TRUE,_xlfn.XLOOKUP(_xlfn.FILTERXML("&lt;t&gt;&lt;s&gt;" &amp; SUBSTITUTE(T70,",","&lt;/s&gt;&lt;s&gt;") &amp; "&lt;/s&gt;&lt;/t&gt;", "//s"),Writers!$A$3:$A$999,Writers!$B$3:$B$999,""))</f>
        <v>Glyn Jones</v>
      </c>
      <c r="V70" s="3"/>
      <c r="W70" s="3" t="str">
        <f>IF(V70="","",_xlfn.XLOOKUP(V70,Writers!$A$3:$A$999,Writers!$B$3:$B$999,""))</f>
        <v/>
      </c>
      <c r="X70" s="3">
        <v>10.5</v>
      </c>
      <c r="Y70" s="3"/>
      <c r="Z70" s="3"/>
      <c r="AA70" s="3">
        <f t="shared" si="3"/>
        <v>13.2</v>
      </c>
      <c r="AB70" s="3" t="str">
        <f t="shared" si="4"/>
        <v/>
      </c>
      <c r="AC70" s="3" t="str">
        <f t="shared" si="5"/>
        <v/>
      </c>
      <c r="AD70" s="3">
        <f>VLOOKUP(YEAR(Q70),Populations!$A$3:$B$999,2,0)</f>
        <v>54349500</v>
      </c>
      <c r="AE70" s="3">
        <f>(Calculations!B1/AD70)</f>
        <v>1.25677204022116</v>
      </c>
      <c r="AF70" s="3"/>
      <c r="AG70" s="3">
        <v>1</v>
      </c>
      <c r="AH70" s="3" t="str">
        <f>VLOOKUP(AG70,WikiFormats!$A$3:$B$999,2,0)</f>
        <v>Story</v>
      </c>
      <c r="AI70" s="3" t="s">
        <v>591</v>
      </c>
    </row>
    <row r="71" spans="1:35" s="8" customFormat="1" x14ac:dyDescent="0.55000000000000004">
      <c r="A71" s="3">
        <v>69</v>
      </c>
      <c r="B71" s="3">
        <v>1</v>
      </c>
      <c r="C71" s="3" t="str">
        <f>VLOOKUP(B71,Eras!$A$3:$B$999,2,0)</f>
        <v>Classic</v>
      </c>
      <c r="D71" s="3">
        <v>1</v>
      </c>
      <c r="E71" s="3" t="str">
        <f>VLOOKUP(D71,EpisodeFormats!$A$3:$B$999,2,0)</f>
        <v>Series</v>
      </c>
      <c r="F71" s="3">
        <v>1</v>
      </c>
      <c r="G71" s="3" t="str">
        <f>VLOOKUP(F71,Doctors!$A$3:$B$999,2,0)</f>
        <v>William Hartnell</v>
      </c>
      <c r="H71" s="3">
        <v>2</v>
      </c>
      <c r="I71" s="3">
        <v>1</v>
      </c>
      <c r="J71" s="3" t="str">
        <f>VLOOKUP(I71,SeasonFormats!$A$3:$B$999,2,0)</f>
        <v>Season</v>
      </c>
      <c r="K71" s="3">
        <v>15</v>
      </c>
      <c r="L71" s="3">
        <v>7</v>
      </c>
      <c r="M71" s="3" t="s">
        <v>274</v>
      </c>
      <c r="N71" s="3">
        <v>2</v>
      </c>
      <c r="O71" s="3" t="s">
        <v>297</v>
      </c>
      <c r="P71" s="3">
        <v>27</v>
      </c>
      <c r="Q71" s="7" t="d">
        <v>1965-05-01</v>
      </c>
      <c r="R71" s="3">
        <v>22</v>
      </c>
      <c r="S71" s="3"/>
      <c r="T71" s="4" t="s">
        <v>1130</v>
      </c>
      <c r="U71" s="3" t="str" cm="1">
        <f t="array" ref="U71">_xlfn.TEXTJOIN(",",TRUE,_xlfn.XLOOKUP(_xlfn.FILTERXML("&lt;t&gt;&lt;s&gt;" &amp; SUBSTITUTE(T71,",","&lt;/s&gt;&lt;s&gt;") &amp; "&lt;/s&gt;&lt;/t&gt;", "//s"),Writers!$A$3:$A$999,Writers!$B$3:$B$999,""))</f>
        <v>Glyn Jones</v>
      </c>
      <c r="V71" s="3"/>
      <c r="W71" s="3" t="str">
        <f>IF(V71="","",_xlfn.XLOOKUP(V71,Writers!$A$3:$A$999,Writers!$B$3:$B$999,""))</f>
        <v/>
      </c>
      <c r="X71" s="3">
        <v>9.1999999999999993</v>
      </c>
      <c r="Y71" s="3"/>
      <c r="Z71" s="3"/>
      <c r="AA71" s="3">
        <f t="shared" si="3"/>
        <v>11.56</v>
      </c>
      <c r="AB71" s="3" t="str">
        <f t="shared" si="4"/>
        <v/>
      </c>
      <c r="AC71" s="3" t="str">
        <f t="shared" si="5"/>
        <v/>
      </c>
      <c r="AD71" s="3">
        <f>VLOOKUP(YEAR(Q71),Populations!$A$3:$B$999,2,0)</f>
        <v>54349500</v>
      </c>
      <c r="AE71" s="3">
        <f>(Calculations!B1/AD71)</f>
        <v>1.25677204022116</v>
      </c>
      <c r="AF71" s="3"/>
      <c r="AG71" s="3">
        <v>1</v>
      </c>
      <c r="AH71" s="3" t="str">
        <f>VLOOKUP(AG71,WikiFormats!$A$3:$B$999,2,0)</f>
        <v>Story</v>
      </c>
      <c r="AI71" s="3" t="s">
        <v>591</v>
      </c>
    </row>
    <row r="72" spans="1:35" s="8" customFormat="1" x14ac:dyDescent="0.55000000000000004">
      <c r="A72" s="3">
        <v>70</v>
      </c>
      <c r="B72" s="3">
        <v>1</v>
      </c>
      <c r="C72" s="3" t="str">
        <f>VLOOKUP(B72,Eras!$A$3:$B$999,2,0)</f>
        <v>Classic</v>
      </c>
      <c r="D72" s="3">
        <v>1</v>
      </c>
      <c r="E72" s="3" t="str">
        <f>VLOOKUP(D72,EpisodeFormats!$A$3:$B$999,2,0)</f>
        <v>Series</v>
      </c>
      <c r="F72" s="3">
        <v>1</v>
      </c>
      <c r="G72" s="3" t="str">
        <f>VLOOKUP(F72,Doctors!$A$3:$B$999,2,0)</f>
        <v>William Hartnell</v>
      </c>
      <c r="H72" s="3">
        <v>2</v>
      </c>
      <c r="I72" s="3">
        <v>1</v>
      </c>
      <c r="J72" s="3" t="str">
        <f>VLOOKUP(I72,SeasonFormats!$A$3:$B$999,2,0)</f>
        <v>Season</v>
      </c>
      <c r="K72" s="3">
        <v>15</v>
      </c>
      <c r="L72" s="3">
        <v>7</v>
      </c>
      <c r="M72" s="3" t="s">
        <v>274</v>
      </c>
      <c r="N72" s="3">
        <v>3</v>
      </c>
      <c r="O72" s="3" t="s">
        <v>298</v>
      </c>
      <c r="P72" s="3">
        <v>28</v>
      </c>
      <c r="Q72" s="7" t="d">
        <v>1965-05-08</v>
      </c>
      <c r="R72" s="3">
        <v>24</v>
      </c>
      <c r="S72" s="3"/>
      <c r="T72" s="4" t="s">
        <v>1130</v>
      </c>
      <c r="U72" s="3" t="str" cm="1">
        <f t="array" ref="U72">_xlfn.TEXTJOIN(",",TRUE,_xlfn.XLOOKUP(_xlfn.FILTERXML("&lt;t&gt;&lt;s&gt;" &amp; SUBSTITUTE(T72,",","&lt;/s&gt;&lt;s&gt;") &amp; "&lt;/s&gt;&lt;/t&gt;", "//s"),Writers!$A$3:$A$999,Writers!$B$3:$B$999,""))</f>
        <v>Glyn Jones</v>
      </c>
      <c r="V72" s="3"/>
      <c r="W72" s="3" t="str">
        <f>IF(V72="","",_xlfn.XLOOKUP(V72,Writers!$A$3:$A$999,Writers!$B$3:$B$999,""))</f>
        <v/>
      </c>
      <c r="X72" s="3">
        <v>8.5</v>
      </c>
      <c r="Y72" s="3"/>
      <c r="Z72" s="3"/>
      <c r="AA72" s="3">
        <f t="shared" si="3"/>
        <v>10.68</v>
      </c>
      <c r="AB72" s="3" t="str">
        <f t="shared" si="4"/>
        <v/>
      </c>
      <c r="AC72" s="3" t="str">
        <f t="shared" si="5"/>
        <v/>
      </c>
      <c r="AD72" s="3">
        <f>VLOOKUP(YEAR(Q72),Populations!$A$3:$B$999,2,0)</f>
        <v>54349500</v>
      </c>
      <c r="AE72" s="3">
        <f>(Calculations!B1/AD72)</f>
        <v>1.25677204022116</v>
      </c>
      <c r="AF72" s="3"/>
      <c r="AG72" s="3">
        <v>1</v>
      </c>
      <c r="AH72" s="3" t="str">
        <f>VLOOKUP(AG72,WikiFormats!$A$3:$B$999,2,0)</f>
        <v>Story</v>
      </c>
      <c r="AI72" s="3" t="s">
        <v>591</v>
      </c>
    </row>
    <row r="73" spans="1:35" s="8" customFormat="1" x14ac:dyDescent="0.55000000000000004">
      <c r="A73" s="3">
        <v>71</v>
      </c>
      <c r="B73" s="3">
        <v>1</v>
      </c>
      <c r="C73" s="3" t="str">
        <f>VLOOKUP(B73,Eras!$A$3:$B$999,2,0)</f>
        <v>Classic</v>
      </c>
      <c r="D73" s="3">
        <v>1</v>
      </c>
      <c r="E73" s="3" t="str">
        <f>VLOOKUP(D73,EpisodeFormats!$A$3:$B$999,2,0)</f>
        <v>Series</v>
      </c>
      <c r="F73" s="3">
        <v>1</v>
      </c>
      <c r="G73" s="3" t="str">
        <f>VLOOKUP(F73,Doctors!$A$3:$B$999,2,0)</f>
        <v>William Hartnell</v>
      </c>
      <c r="H73" s="3">
        <v>2</v>
      </c>
      <c r="I73" s="3">
        <v>1</v>
      </c>
      <c r="J73" s="3" t="str">
        <f>VLOOKUP(I73,SeasonFormats!$A$3:$B$999,2,0)</f>
        <v>Season</v>
      </c>
      <c r="K73" s="3">
        <v>15</v>
      </c>
      <c r="L73" s="3">
        <v>7</v>
      </c>
      <c r="M73" s="3" t="s">
        <v>274</v>
      </c>
      <c r="N73" s="3">
        <v>4</v>
      </c>
      <c r="O73" s="3" t="s">
        <v>299</v>
      </c>
      <c r="P73" s="3">
        <v>29</v>
      </c>
      <c r="Q73" s="7" t="d">
        <v>1965-05-15</v>
      </c>
      <c r="R73" s="3">
        <v>22</v>
      </c>
      <c r="S73" s="3"/>
      <c r="T73" s="4" t="s">
        <v>1130</v>
      </c>
      <c r="U73" s="3" t="str" cm="1">
        <f t="array" ref="U73">_xlfn.TEXTJOIN(",",TRUE,_xlfn.XLOOKUP(_xlfn.FILTERXML("&lt;t&gt;&lt;s&gt;" &amp; SUBSTITUTE(T73,",","&lt;/s&gt;&lt;s&gt;") &amp; "&lt;/s&gt;&lt;/t&gt;", "//s"),Writers!$A$3:$A$999,Writers!$B$3:$B$999,""))</f>
        <v>Glyn Jones</v>
      </c>
      <c r="V73" s="3"/>
      <c r="W73" s="3" t="str">
        <f>IF(V73="","",_xlfn.XLOOKUP(V73,Writers!$A$3:$A$999,Writers!$B$3:$B$999,""))</f>
        <v/>
      </c>
      <c r="X73" s="3">
        <v>8.5</v>
      </c>
      <c r="Y73" s="3"/>
      <c r="Z73" s="3"/>
      <c r="AA73" s="3">
        <f t="shared" si="3"/>
        <v>10.68</v>
      </c>
      <c r="AB73" s="3" t="str">
        <f t="shared" si="4"/>
        <v/>
      </c>
      <c r="AC73" s="3" t="str">
        <f t="shared" si="5"/>
        <v/>
      </c>
      <c r="AD73" s="3">
        <f>VLOOKUP(YEAR(Q73),Populations!$A$3:$B$999,2,0)</f>
        <v>54349500</v>
      </c>
      <c r="AE73" s="3">
        <f>(Calculations!B1/AD73)</f>
        <v>1.25677204022116</v>
      </c>
      <c r="AF73" s="3"/>
      <c r="AG73" s="3">
        <v>1</v>
      </c>
      <c r="AH73" s="3" t="str">
        <f>VLOOKUP(AG73,WikiFormats!$A$3:$B$999,2,0)</f>
        <v>Story</v>
      </c>
      <c r="AI73" s="3" t="s">
        <v>591</v>
      </c>
    </row>
    <row r="74" spans="1:35" s="2" customFormat="1" x14ac:dyDescent="0.55000000000000004">
      <c r="A74">
        <v>72</v>
      </c>
      <c r="B74">
        <v>1</v>
      </c>
      <c r="C74" t="str">
        <f>VLOOKUP(B74,Eras!$A$3:$B$999,2,0)</f>
        <v>Classic</v>
      </c>
      <c r="D74">
        <v>1</v>
      </c>
      <c r="E74" t="str">
        <f>VLOOKUP(D74,EpisodeFormats!$A$3:$B$999,2,0)</f>
        <v>Series</v>
      </c>
      <c r="F74">
        <v>1</v>
      </c>
      <c r="G74" t="str">
        <f>VLOOKUP(F74,Doctors!$A$3:$B$999,2,0)</f>
        <v>William Hartnell</v>
      </c>
      <c r="H74">
        <v>2</v>
      </c>
      <c r="I74">
        <v>1</v>
      </c>
      <c r="J74" t="str">
        <f>VLOOKUP(I74,SeasonFormats!$A$3:$B$999,2,0)</f>
        <v>Season</v>
      </c>
      <c r="K74">
        <v>16</v>
      </c>
      <c r="L74">
        <v>8</v>
      </c>
      <c r="M74" t="s">
        <v>275</v>
      </c>
      <c r="N74">
        <v>1</v>
      </c>
      <c r="O74" t="s">
        <v>300</v>
      </c>
      <c r="P74">
        <v>30</v>
      </c>
      <c r="Q74" s="6" t="d">
        <v>1965-05-22</v>
      </c>
      <c r="R74">
        <v>24</v>
      </c>
      <c r="S74"/>
      <c r="T74" s="15" t="s">
        <v>1132</v>
      </c>
      <c r="U74" t="str" cm="1">
        <f t="array" ref="U74">_xlfn.TEXTJOIN(",",TRUE,_xlfn.XLOOKUP(_xlfn.FILTERXML("&lt;t&gt;&lt;s&gt;" &amp; SUBSTITUTE(T74,",","&lt;/s&gt;&lt;s&gt;") &amp; "&lt;/s&gt;&lt;/t&gt;", "//s"),Writers!$A$3:$A$999,Writers!$B$3:$B$999,""))</f>
        <v>Terry Nation</v>
      </c>
      <c r="V74"/>
      <c r="W74" t="str">
        <f>IF(V74="","",_xlfn.XLOOKUP(V74,Writers!$A$3:$A$999,Writers!$B$3:$B$999,""))</f>
        <v/>
      </c>
      <c r="X74">
        <v>10</v>
      </c>
      <c r="Y74"/>
      <c r="Z74"/>
      <c r="AA74">
        <f t="shared" si="3"/>
        <v>12.57</v>
      </c>
      <c r="AB74" t="str">
        <f t="shared" si="4"/>
        <v/>
      </c>
      <c r="AC74" t="str">
        <f t="shared" si="5"/>
        <v/>
      </c>
      <c r="AD74">
        <f>VLOOKUP(YEAR(Q74),Populations!$A$3:$B$999,2,0)</f>
        <v>54349500</v>
      </c>
      <c r="AE74">
        <f>(Calculations!B1/AD74)</f>
        <v>1.25677204022116</v>
      </c>
      <c r="AF74"/>
      <c r="AG74">
        <v>1</v>
      </c>
      <c r="AH74" t="str">
        <f>VLOOKUP(AG74,WikiFormats!$A$3:$B$999,2,0)</f>
        <v>Story</v>
      </c>
      <c r="AI74" t="s">
        <v>592</v>
      </c>
    </row>
    <row r="75" spans="1:35" s="2" customFormat="1" x14ac:dyDescent="0.55000000000000004">
      <c r="A75">
        <v>73</v>
      </c>
      <c r="B75">
        <v>1</v>
      </c>
      <c r="C75" t="str">
        <f>VLOOKUP(B75,Eras!$A$3:$B$999,2,0)</f>
        <v>Classic</v>
      </c>
      <c r="D75">
        <v>1</v>
      </c>
      <c r="E75" t="str">
        <f>VLOOKUP(D75,EpisodeFormats!$A$3:$B$999,2,0)</f>
        <v>Series</v>
      </c>
      <c r="F75">
        <v>1</v>
      </c>
      <c r="G75" t="str">
        <f>VLOOKUP(F75,Doctors!$A$3:$B$999,2,0)</f>
        <v>William Hartnell</v>
      </c>
      <c r="H75">
        <v>2</v>
      </c>
      <c r="I75">
        <v>1</v>
      </c>
      <c r="J75" t="str">
        <f>VLOOKUP(I75,SeasonFormats!$A$3:$B$999,2,0)</f>
        <v>Season</v>
      </c>
      <c r="K75">
        <v>16</v>
      </c>
      <c r="L75">
        <v>8</v>
      </c>
      <c r="M75" t="s">
        <v>275</v>
      </c>
      <c r="N75">
        <v>2</v>
      </c>
      <c r="O75" t="s">
        <v>301</v>
      </c>
      <c r="P75">
        <v>31</v>
      </c>
      <c r="Q75" s="6" t="d">
        <v>1965-05-29</v>
      </c>
      <c r="R75">
        <v>24</v>
      </c>
      <c r="S75"/>
      <c r="T75" s="15" t="s">
        <v>1132</v>
      </c>
      <c r="U75" t="str" cm="1">
        <f t="array" ref="U75">_xlfn.TEXTJOIN(",",TRUE,_xlfn.XLOOKUP(_xlfn.FILTERXML("&lt;t&gt;&lt;s&gt;" &amp; SUBSTITUTE(T75,",","&lt;/s&gt;&lt;s&gt;") &amp; "&lt;/s&gt;&lt;/t&gt;", "//s"),Writers!$A$3:$A$999,Writers!$B$3:$B$999,""))</f>
        <v>Terry Nation</v>
      </c>
      <c r="V75"/>
      <c r="W75" t="str">
        <f>IF(V75="","",_xlfn.XLOOKUP(V75,Writers!$A$3:$A$999,Writers!$B$3:$B$999,""))</f>
        <v/>
      </c>
      <c r="X75">
        <v>9.5</v>
      </c>
      <c r="Y75"/>
      <c r="Z75"/>
      <c r="AA75">
        <f t="shared" si="3"/>
        <v>11.94</v>
      </c>
      <c r="AB75" t="str">
        <f t="shared" si="4"/>
        <v/>
      </c>
      <c r="AC75" t="str">
        <f t="shared" si="5"/>
        <v/>
      </c>
      <c r="AD75">
        <f>VLOOKUP(YEAR(Q75),Populations!$A$3:$B$999,2,0)</f>
        <v>54349500</v>
      </c>
      <c r="AE75">
        <f>(Calculations!B1/AD75)</f>
        <v>1.25677204022116</v>
      </c>
      <c r="AF75"/>
      <c r="AG75">
        <v>1</v>
      </c>
      <c r="AH75" t="str">
        <f>VLOOKUP(AG75,WikiFormats!$A$3:$B$999,2,0)</f>
        <v>Story</v>
      </c>
      <c r="AI75" t="s">
        <v>592</v>
      </c>
    </row>
    <row r="76" spans="1:35" s="2" customFormat="1" x14ac:dyDescent="0.55000000000000004">
      <c r="A76">
        <v>74</v>
      </c>
      <c r="B76">
        <v>1</v>
      </c>
      <c r="C76" t="str">
        <f>VLOOKUP(B76,Eras!$A$3:$B$999,2,0)</f>
        <v>Classic</v>
      </c>
      <c r="D76">
        <v>1</v>
      </c>
      <c r="E76" t="str">
        <f>VLOOKUP(D76,EpisodeFormats!$A$3:$B$999,2,0)</f>
        <v>Series</v>
      </c>
      <c r="F76">
        <v>1</v>
      </c>
      <c r="G76" t="str">
        <f>VLOOKUP(F76,Doctors!$A$3:$B$999,2,0)</f>
        <v>William Hartnell</v>
      </c>
      <c r="H76">
        <v>2</v>
      </c>
      <c r="I76">
        <v>1</v>
      </c>
      <c r="J76" t="str">
        <f>VLOOKUP(I76,SeasonFormats!$A$3:$B$999,2,0)</f>
        <v>Season</v>
      </c>
      <c r="K76">
        <v>16</v>
      </c>
      <c r="L76">
        <v>8</v>
      </c>
      <c r="M76" t="s">
        <v>275</v>
      </c>
      <c r="N76">
        <v>3</v>
      </c>
      <c r="O76" t="s">
        <v>302</v>
      </c>
      <c r="P76">
        <v>32</v>
      </c>
      <c r="Q76" s="6" t="d">
        <v>1965-06-05</v>
      </c>
      <c r="R76">
        <v>25</v>
      </c>
      <c r="S76"/>
      <c r="T76" s="15" t="s">
        <v>1132</v>
      </c>
      <c r="U76" t="str" cm="1">
        <f t="array" ref="U76">_xlfn.TEXTJOIN(",",TRUE,_xlfn.XLOOKUP(_xlfn.FILTERXML("&lt;t&gt;&lt;s&gt;" &amp; SUBSTITUTE(T76,",","&lt;/s&gt;&lt;s&gt;") &amp; "&lt;/s&gt;&lt;/t&gt;", "//s"),Writers!$A$3:$A$999,Writers!$B$3:$B$999,""))</f>
        <v>Terry Nation</v>
      </c>
      <c r="V76"/>
      <c r="W76" t="str">
        <f>IF(V76="","",_xlfn.XLOOKUP(V76,Writers!$A$3:$A$999,Writers!$B$3:$B$999,""))</f>
        <v/>
      </c>
      <c r="X76">
        <v>9</v>
      </c>
      <c r="Y76"/>
      <c r="Z76"/>
      <c r="AA76">
        <f t="shared" si="3"/>
        <v>11.31</v>
      </c>
      <c r="AB76" t="str">
        <f t="shared" si="4"/>
        <v/>
      </c>
      <c r="AC76" t="str">
        <f t="shared" si="5"/>
        <v/>
      </c>
      <c r="AD76">
        <f>VLOOKUP(YEAR(Q76),Populations!$A$3:$B$999,2,0)</f>
        <v>54349500</v>
      </c>
      <c r="AE76">
        <f>(Calculations!B1/AD76)</f>
        <v>1.25677204022116</v>
      </c>
      <c r="AF76"/>
      <c r="AG76">
        <v>1</v>
      </c>
      <c r="AH76" t="str">
        <f>VLOOKUP(AG76,WikiFormats!$A$3:$B$999,2,0)</f>
        <v>Story</v>
      </c>
      <c r="AI76" t="s">
        <v>592</v>
      </c>
    </row>
    <row r="77" spans="1:35" s="2" customFormat="1" x14ac:dyDescent="0.55000000000000004">
      <c r="A77">
        <v>75</v>
      </c>
      <c r="B77">
        <v>1</v>
      </c>
      <c r="C77" t="str">
        <f>VLOOKUP(B77,Eras!$A$3:$B$999,2,0)</f>
        <v>Classic</v>
      </c>
      <c r="D77">
        <v>1</v>
      </c>
      <c r="E77" t="str">
        <f>VLOOKUP(D77,EpisodeFormats!$A$3:$B$999,2,0)</f>
        <v>Series</v>
      </c>
      <c r="F77">
        <v>1</v>
      </c>
      <c r="G77" t="str">
        <f>VLOOKUP(F77,Doctors!$A$3:$B$999,2,0)</f>
        <v>William Hartnell</v>
      </c>
      <c r="H77">
        <v>2</v>
      </c>
      <c r="I77">
        <v>1</v>
      </c>
      <c r="J77" t="str">
        <f>VLOOKUP(I77,SeasonFormats!$A$3:$B$999,2,0)</f>
        <v>Season</v>
      </c>
      <c r="K77">
        <v>16</v>
      </c>
      <c r="L77">
        <v>8</v>
      </c>
      <c r="M77" t="s">
        <v>275</v>
      </c>
      <c r="N77">
        <v>4</v>
      </c>
      <c r="O77" t="s">
        <v>303</v>
      </c>
      <c r="P77">
        <v>33</v>
      </c>
      <c r="Q77" s="6" t="d">
        <v>1965-06-12</v>
      </c>
      <c r="R77">
        <v>24</v>
      </c>
      <c r="S77"/>
      <c r="T77" s="15" t="s">
        <v>1132</v>
      </c>
      <c r="U77" t="str" cm="1">
        <f t="array" ref="U77">_xlfn.TEXTJOIN(",",TRUE,_xlfn.XLOOKUP(_xlfn.FILTERXML("&lt;t&gt;&lt;s&gt;" &amp; SUBSTITUTE(T77,",","&lt;/s&gt;&lt;s&gt;") &amp; "&lt;/s&gt;&lt;/t&gt;", "//s"),Writers!$A$3:$A$999,Writers!$B$3:$B$999,""))</f>
        <v>Terry Nation</v>
      </c>
      <c r="V77"/>
      <c r="W77" t="str">
        <f>IF(V77="","",_xlfn.XLOOKUP(V77,Writers!$A$3:$A$999,Writers!$B$3:$B$999,""))</f>
        <v/>
      </c>
      <c r="X77">
        <v>9.5</v>
      </c>
      <c r="Y77"/>
      <c r="Z77"/>
      <c r="AA77">
        <f t="shared" si="3"/>
        <v>11.94</v>
      </c>
      <c r="AB77" t="str">
        <f t="shared" si="4"/>
        <v/>
      </c>
      <c r="AC77" t="str">
        <f t="shared" si="5"/>
        <v/>
      </c>
      <c r="AD77">
        <f>VLOOKUP(YEAR(Q77),Populations!$A$3:$B$999,2,0)</f>
        <v>54349500</v>
      </c>
      <c r="AE77">
        <f>(Calculations!B1/AD77)</f>
        <v>1.25677204022116</v>
      </c>
      <c r="AF77"/>
      <c r="AG77">
        <v>1</v>
      </c>
      <c r="AH77" t="str">
        <f>VLOOKUP(AG77,WikiFormats!$A$3:$B$999,2,0)</f>
        <v>Story</v>
      </c>
      <c r="AI77" t="s">
        <v>592</v>
      </c>
    </row>
    <row r="78" spans="1:35" s="2" customFormat="1" x14ac:dyDescent="0.55000000000000004">
      <c r="A78">
        <v>76</v>
      </c>
      <c r="B78">
        <v>1</v>
      </c>
      <c r="C78" t="str">
        <f>VLOOKUP(B78,Eras!$A$3:$B$999,2,0)</f>
        <v>Classic</v>
      </c>
      <c r="D78">
        <v>1</v>
      </c>
      <c r="E78" t="str">
        <f>VLOOKUP(D78,EpisodeFormats!$A$3:$B$999,2,0)</f>
        <v>Series</v>
      </c>
      <c r="F78">
        <v>1</v>
      </c>
      <c r="G78" t="str">
        <f>VLOOKUP(F78,Doctors!$A$3:$B$999,2,0)</f>
        <v>William Hartnell</v>
      </c>
      <c r="H78">
        <v>2</v>
      </c>
      <c r="I78">
        <v>1</v>
      </c>
      <c r="J78" t="str">
        <f>VLOOKUP(I78,SeasonFormats!$A$3:$B$999,2,0)</f>
        <v>Season</v>
      </c>
      <c r="K78">
        <v>16</v>
      </c>
      <c r="L78">
        <v>8</v>
      </c>
      <c r="M78" t="s">
        <v>275</v>
      </c>
      <c r="N78">
        <v>5</v>
      </c>
      <c r="O78" t="s">
        <v>304</v>
      </c>
      <c r="P78">
        <v>34</v>
      </c>
      <c r="Q78" s="6" t="d">
        <v>1965-06-19</v>
      </c>
      <c r="R78">
        <v>23</v>
      </c>
      <c r="S78"/>
      <c r="T78" s="15" t="s">
        <v>1132</v>
      </c>
      <c r="U78" t="str" cm="1">
        <f t="array" ref="U78">_xlfn.TEXTJOIN(",",TRUE,_xlfn.XLOOKUP(_xlfn.FILTERXML("&lt;t&gt;&lt;s&gt;" &amp; SUBSTITUTE(T78,",","&lt;/s&gt;&lt;s&gt;") &amp; "&lt;/s&gt;&lt;/t&gt;", "//s"),Writers!$A$3:$A$999,Writers!$B$3:$B$999,""))</f>
        <v>Terry Nation</v>
      </c>
      <c r="V78"/>
      <c r="W78" t="str">
        <f>IF(V78="","",_xlfn.XLOOKUP(V78,Writers!$A$3:$A$999,Writers!$B$3:$B$999,""))</f>
        <v/>
      </c>
      <c r="X78">
        <v>9</v>
      </c>
      <c r="Y78"/>
      <c r="Z78"/>
      <c r="AA78">
        <f t="shared" si="3"/>
        <v>11.31</v>
      </c>
      <c r="AB78" t="str">
        <f t="shared" si="4"/>
        <v/>
      </c>
      <c r="AC78" t="str">
        <f t="shared" si="5"/>
        <v/>
      </c>
      <c r="AD78">
        <f>VLOOKUP(YEAR(Q78),Populations!$A$3:$B$999,2,0)</f>
        <v>54349500</v>
      </c>
      <c r="AE78">
        <f>(Calculations!B1/AD78)</f>
        <v>1.25677204022116</v>
      </c>
      <c r="AF78"/>
      <c r="AG78">
        <v>1</v>
      </c>
      <c r="AH78" t="str">
        <f>VLOOKUP(AG78,WikiFormats!$A$3:$B$999,2,0)</f>
        <v>Story</v>
      </c>
      <c r="AI78" t="s">
        <v>592</v>
      </c>
    </row>
    <row r="79" spans="1:35" s="2" customFormat="1" x14ac:dyDescent="0.55000000000000004">
      <c r="A79">
        <v>77</v>
      </c>
      <c r="B79">
        <v>1</v>
      </c>
      <c r="C79" t="str">
        <f>VLOOKUP(B79,Eras!$A$3:$B$999,2,0)</f>
        <v>Classic</v>
      </c>
      <c r="D79">
        <v>1</v>
      </c>
      <c r="E79" t="str">
        <f>VLOOKUP(D79,EpisodeFormats!$A$3:$B$999,2,0)</f>
        <v>Series</v>
      </c>
      <c r="F79">
        <v>1</v>
      </c>
      <c r="G79" t="str">
        <f>VLOOKUP(F79,Doctors!$A$3:$B$999,2,0)</f>
        <v>William Hartnell</v>
      </c>
      <c r="H79">
        <v>2</v>
      </c>
      <c r="I79">
        <v>1</v>
      </c>
      <c r="J79" t="str">
        <f>VLOOKUP(I79,SeasonFormats!$A$3:$B$999,2,0)</f>
        <v>Season</v>
      </c>
      <c r="K79">
        <v>16</v>
      </c>
      <c r="L79">
        <v>8</v>
      </c>
      <c r="M79" t="s">
        <v>275</v>
      </c>
      <c r="N79">
        <v>6</v>
      </c>
      <c r="O79" t="s">
        <v>305</v>
      </c>
      <c r="P79">
        <v>35</v>
      </c>
      <c r="Q79" s="6" t="d">
        <v>1965-06-26</v>
      </c>
      <c r="R79">
        <v>26</v>
      </c>
      <c r="S79"/>
      <c r="T79" s="15" t="s">
        <v>1132</v>
      </c>
      <c r="U79" t="str" cm="1">
        <f t="array" ref="U79">_xlfn.TEXTJOIN(",",TRUE,_xlfn.XLOOKUP(_xlfn.FILTERXML("&lt;t&gt;&lt;s&gt;" &amp; SUBSTITUTE(T79,",","&lt;/s&gt;&lt;s&gt;") &amp; "&lt;/s&gt;&lt;/t&gt;", "//s"),Writers!$A$3:$A$999,Writers!$B$3:$B$999,""))</f>
        <v>Terry Nation</v>
      </c>
      <c r="V79"/>
      <c r="W79" t="str">
        <f>IF(V79="","",_xlfn.XLOOKUP(V79,Writers!$A$3:$A$999,Writers!$B$3:$B$999,""))</f>
        <v/>
      </c>
      <c r="X79">
        <v>9.5</v>
      </c>
      <c r="Y79"/>
      <c r="Z79"/>
      <c r="AA79">
        <f t="shared" si="3"/>
        <v>11.94</v>
      </c>
      <c r="AB79" t="str">
        <f t="shared" si="4"/>
        <v/>
      </c>
      <c r="AC79" t="str">
        <f t="shared" si="5"/>
        <v/>
      </c>
      <c r="AD79">
        <f>VLOOKUP(YEAR(Q79),Populations!$A$3:$B$999,2,0)</f>
        <v>54349500</v>
      </c>
      <c r="AE79">
        <f>(Calculations!B1/AD79)</f>
        <v>1.25677204022116</v>
      </c>
      <c r="AF79"/>
      <c r="AG79">
        <v>1</v>
      </c>
      <c r="AH79" t="str">
        <f>VLOOKUP(AG79,WikiFormats!$A$3:$B$999,2,0)</f>
        <v>Story</v>
      </c>
      <c r="AI79" t="s">
        <v>592</v>
      </c>
    </row>
    <row r="80" spans="1:35" s="8" customFormat="1" x14ac:dyDescent="0.55000000000000004">
      <c r="A80" s="3">
        <v>78</v>
      </c>
      <c r="B80" s="3">
        <v>1</v>
      </c>
      <c r="C80" s="3" t="str">
        <f>VLOOKUP(B80,Eras!$A$3:$B$999,2,0)</f>
        <v>Classic</v>
      </c>
      <c r="D80" s="3">
        <v>1</v>
      </c>
      <c r="E80" s="3" t="str">
        <f>VLOOKUP(D80,EpisodeFormats!$A$3:$B$999,2,0)</f>
        <v>Series</v>
      </c>
      <c r="F80" s="3">
        <v>1</v>
      </c>
      <c r="G80" s="3" t="str">
        <f>VLOOKUP(F80,Doctors!$A$3:$B$999,2,0)</f>
        <v>William Hartnell</v>
      </c>
      <c r="H80" s="3">
        <v>2</v>
      </c>
      <c r="I80" s="3">
        <v>1</v>
      </c>
      <c r="J80" s="3" t="str">
        <f>VLOOKUP(I80,SeasonFormats!$A$3:$B$999,2,0)</f>
        <v>Season</v>
      </c>
      <c r="K80" s="3">
        <v>17</v>
      </c>
      <c r="L80" s="3">
        <v>9</v>
      </c>
      <c r="M80" s="3" t="s">
        <v>276</v>
      </c>
      <c r="N80" s="3">
        <v>1</v>
      </c>
      <c r="O80" s="3" t="s">
        <v>306</v>
      </c>
      <c r="P80" s="3">
        <v>36</v>
      </c>
      <c r="Q80" s="7" t="d">
        <v>1965-07-03</v>
      </c>
      <c r="R80" s="3">
        <v>24</v>
      </c>
      <c r="S80" s="3"/>
      <c r="T80" s="4" t="s">
        <v>1162</v>
      </c>
      <c r="U80" s="3" t="str" cm="1">
        <f t="array" ref="U80">_xlfn.TEXTJOIN(",",TRUE,_xlfn.XLOOKUP(_xlfn.FILTERXML("&lt;t&gt;&lt;s&gt;" &amp; SUBSTITUTE(T80,",","&lt;/s&gt;&lt;s&gt;") &amp; "&lt;/s&gt;&lt;/t&gt;", "//s"),Writers!$A$3:$A$999,Writers!$B$3:$B$999,""))</f>
        <v>Dennis Spooner</v>
      </c>
      <c r="V80" s="3"/>
      <c r="W80" s="3" t="str">
        <f>IF(V80="","",_xlfn.XLOOKUP(V80,Writers!$A$3:$A$999,Writers!$B$3:$B$999,""))</f>
        <v/>
      </c>
      <c r="X80" s="3">
        <v>8.9</v>
      </c>
      <c r="Y80" s="3"/>
      <c r="Z80" s="3"/>
      <c r="AA80" s="3">
        <f t="shared" si="3"/>
        <v>11.19</v>
      </c>
      <c r="AB80" s="3" t="str">
        <f t="shared" si="4"/>
        <v/>
      </c>
      <c r="AC80" s="3" t="str">
        <f t="shared" si="5"/>
        <v/>
      </c>
      <c r="AD80" s="3">
        <f>VLOOKUP(YEAR(Q80),Populations!$A$3:$B$999,2,0)</f>
        <v>54349500</v>
      </c>
      <c r="AE80" s="3">
        <f>(Calculations!B1/AD80)</f>
        <v>1.25677204022116</v>
      </c>
      <c r="AF80" s="3"/>
      <c r="AG80" s="3">
        <v>1</v>
      </c>
      <c r="AH80" s="3" t="str">
        <f>VLOOKUP(AG80,WikiFormats!$A$3:$B$999,2,0)</f>
        <v>Story</v>
      </c>
      <c r="AI80" s="3" t="s">
        <v>593</v>
      </c>
    </row>
    <row r="81" spans="1:35" s="8" customFormat="1" x14ac:dyDescent="0.55000000000000004">
      <c r="A81" s="3">
        <v>79</v>
      </c>
      <c r="B81" s="3">
        <v>1</v>
      </c>
      <c r="C81" s="3" t="str">
        <f>VLOOKUP(B81,Eras!$A$3:$B$999,2,0)</f>
        <v>Classic</v>
      </c>
      <c r="D81" s="3">
        <v>1</v>
      </c>
      <c r="E81" s="3" t="str">
        <f>VLOOKUP(D81,EpisodeFormats!$A$3:$B$999,2,0)</f>
        <v>Series</v>
      </c>
      <c r="F81" s="3">
        <v>1</v>
      </c>
      <c r="G81" s="3" t="str">
        <f>VLOOKUP(F81,Doctors!$A$3:$B$999,2,0)</f>
        <v>William Hartnell</v>
      </c>
      <c r="H81" s="3">
        <v>2</v>
      </c>
      <c r="I81" s="3">
        <v>1</v>
      </c>
      <c r="J81" s="3" t="str">
        <f>VLOOKUP(I81,SeasonFormats!$A$3:$B$999,2,0)</f>
        <v>Season</v>
      </c>
      <c r="K81" s="3">
        <v>17</v>
      </c>
      <c r="L81" s="3">
        <v>9</v>
      </c>
      <c r="M81" s="3" t="s">
        <v>276</v>
      </c>
      <c r="N81" s="3">
        <v>2</v>
      </c>
      <c r="O81" s="3" t="s">
        <v>307</v>
      </c>
      <c r="P81" s="3">
        <v>37</v>
      </c>
      <c r="Q81" s="7" t="d">
        <v>1965-07-10</v>
      </c>
      <c r="R81" s="3">
        <v>25</v>
      </c>
      <c r="S81" s="3"/>
      <c r="T81" s="4" t="s">
        <v>1162</v>
      </c>
      <c r="U81" s="3" t="str" cm="1">
        <f t="array" ref="U81">_xlfn.TEXTJOIN(",",TRUE,_xlfn.XLOOKUP(_xlfn.FILTERXML("&lt;t&gt;&lt;s&gt;" &amp; SUBSTITUTE(T81,",","&lt;/s&gt;&lt;s&gt;") &amp; "&lt;/s&gt;&lt;/t&gt;", "//s"),Writers!$A$3:$A$999,Writers!$B$3:$B$999,""))</f>
        <v>Dennis Spooner</v>
      </c>
      <c r="V81" s="3"/>
      <c r="W81" s="3" t="str">
        <f>IF(V81="","",_xlfn.XLOOKUP(V81,Writers!$A$3:$A$999,Writers!$B$3:$B$999,""))</f>
        <v/>
      </c>
      <c r="X81" s="3">
        <v>8.8000000000000007</v>
      </c>
      <c r="Y81" s="3"/>
      <c r="Z81" s="3"/>
      <c r="AA81" s="3">
        <f t="shared" si="3"/>
        <v>11.06</v>
      </c>
      <c r="AB81" s="3" t="str">
        <f t="shared" si="4"/>
        <v/>
      </c>
      <c r="AC81" s="3" t="str">
        <f t="shared" si="5"/>
        <v/>
      </c>
      <c r="AD81" s="3">
        <f>VLOOKUP(YEAR(Q81),Populations!$A$3:$B$999,2,0)</f>
        <v>54349500</v>
      </c>
      <c r="AE81" s="3">
        <f>(Calculations!B1/AD81)</f>
        <v>1.25677204022116</v>
      </c>
      <c r="AF81" s="3"/>
      <c r="AG81" s="3">
        <v>1</v>
      </c>
      <c r="AH81" s="3" t="str">
        <f>VLOOKUP(AG81,WikiFormats!$A$3:$B$999,2,0)</f>
        <v>Story</v>
      </c>
      <c r="AI81" s="3" t="s">
        <v>593</v>
      </c>
    </row>
    <row r="82" spans="1:35" s="8" customFormat="1" x14ac:dyDescent="0.55000000000000004">
      <c r="A82" s="3">
        <v>80</v>
      </c>
      <c r="B82" s="3">
        <v>1</v>
      </c>
      <c r="C82" s="3" t="str">
        <f>VLOOKUP(B82,Eras!$A$3:$B$999,2,0)</f>
        <v>Classic</v>
      </c>
      <c r="D82" s="3">
        <v>1</v>
      </c>
      <c r="E82" s="3" t="str">
        <f>VLOOKUP(D82,EpisodeFormats!$A$3:$B$999,2,0)</f>
        <v>Series</v>
      </c>
      <c r="F82" s="3">
        <v>1</v>
      </c>
      <c r="G82" s="3" t="str">
        <f>VLOOKUP(F82,Doctors!$A$3:$B$999,2,0)</f>
        <v>William Hartnell</v>
      </c>
      <c r="H82" s="3">
        <v>2</v>
      </c>
      <c r="I82" s="3">
        <v>1</v>
      </c>
      <c r="J82" s="3" t="str">
        <f>VLOOKUP(I82,SeasonFormats!$A$3:$B$999,2,0)</f>
        <v>Season</v>
      </c>
      <c r="K82" s="3">
        <v>17</v>
      </c>
      <c r="L82" s="3">
        <v>9</v>
      </c>
      <c r="M82" s="3" t="s">
        <v>276</v>
      </c>
      <c r="N82" s="3">
        <v>3</v>
      </c>
      <c r="O82" s="3" t="s">
        <v>308</v>
      </c>
      <c r="P82" s="3">
        <v>38</v>
      </c>
      <c r="Q82" s="7" t="d">
        <v>1965-07-17</v>
      </c>
      <c r="R82" s="3">
        <v>24</v>
      </c>
      <c r="S82" s="3"/>
      <c r="T82" s="4" t="s">
        <v>1162</v>
      </c>
      <c r="U82" s="3" t="str" cm="1">
        <f t="array" ref="U82">_xlfn.TEXTJOIN(",",TRUE,_xlfn.XLOOKUP(_xlfn.FILTERXML("&lt;t&gt;&lt;s&gt;" &amp; SUBSTITUTE(T82,",","&lt;/s&gt;&lt;s&gt;") &amp; "&lt;/s&gt;&lt;/t&gt;", "//s"),Writers!$A$3:$A$999,Writers!$B$3:$B$999,""))</f>
        <v>Dennis Spooner</v>
      </c>
      <c r="V82" s="3"/>
      <c r="W82" s="3" t="str">
        <f>IF(V82="","",_xlfn.XLOOKUP(V82,Writers!$A$3:$A$999,Writers!$B$3:$B$999,""))</f>
        <v/>
      </c>
      <c r="X82" s="3">
        <v>7.7</v>
      </c>
      <c r="Y82" s="3"/>
      <c r="Z82" s="3"/>
      <c r="AA82" s="3">
        <f t="shared" si="3"/>
        <v>9.68</v>
      </c>
      <c r="AB82" s="3" t="str">
        <f t="shared" si="4"/>
        <v/>
      </c>
      <c r="AC82" s="3" t="str">
        <f t="shared" si="5"/>
        <v/>
      </c>
      <c r="AD82" s="3">
        <f>VLOOKUP(YEAR(Q82),Populations!$A$3:$B$999,2,0)</f>
        <v>54349500</v>
      </c>
      <c r="AE82" s="3">
        <f>(Calculations!B1/AD82)</f>
        <v>1.25677204022116</v>
      </c>
      <c r="AF82" s="3"/>
      <c r="AG82" s="3">
        <v>1</v>
      </c>
      <c r="AH82" s="3" t="str">
        <f>VLOOKUP(AG82,WikiFormats!$A$3:$B$999,2,0)</f>
        <v>Story</v>
      </c>
      <c r="AI82" s="3" t="s">
        <v>593</v>
      </c>
    </row>
    <row r="83" spans="1:35" s="8" customFormat="1" x14ac:dyDescent="0.55000000000000004">
      <c r="A83" s="3">
        <v>81</v>
      </c>
      <c r="B83" s="3">
        <v>1</v>
      </c>
      <c r="C83" s="3" t="str">
        <f>VLOOKUP(B83,Eras!$A$3:$B$999,2,0)</f>
        <v>Classic</v>
      </c>
      <c r="D83" s="3">
        <v>1</v>
      </c>
      <c r="E83" s="3" t="str">
        <f>VLOOKUP(D83,EpisodeFormats!$A$3:$B$999,2,0)</f>
        <v>Series</v>
      </c>
      <c r="F83" s="3">
        <v>1</v>
      </c>
      <c r="G83" s="3" t="str">
        <f>VLOOKUP(F83,Doctors!$A$3:$B$999,2,0)</f>
        <v>William Hartnell</v>
      </c>
      <c r="H83" s="3">
        <v>2</v>
      </c>
      <c r="I83" s="3">
        <v>1</v>
      </c>
      <c r="J83" s="3" t="str">
        <f>VLOOKUP(I83,SeasonFormats!$A$3:$B$999,2,0)</f>
        <v>Season</v>
      </c>
      <c r="K83" s="3">
        <v>17</v>
      </c>
      <c r="L83" s="3">
        <v>9</v>
      </c>
      <c r="M83" s="3" t="s">
        <v>276</v>
      </c>
      <c r="N83" s="3">
        <v>4</v>
      </c>
      <c r="O83" s="3" t="s">
        <v>309</v>
      </c>
      <c r="P83" s="3">
        <v>39</v>
      </c>
      <c r="Q83" s="7" t="d">
        <v>1965-07-24</v>
      </c>
      <c r="R83" s="3">
        <v>24</v>
      </c>
      <c r="S83" s="3"/>
      <c r="T83" s="4" t="s">
        <v>1162</v>
      </c>
      <c r="U83" s="3" t="str" cm="1">
        <f t="array" ref="U83">_xlfn.TEXTJOIN(",",TRUE,_xlfn.XLOOKUP(_xlfn.FILTERXML("&lt;t&gt;&lt;s&gt;" &amp; SUBSTITUTE(T83,",","&lt;/s&gt;&lt;s&gt;") &amp; "&lt;/s&gt;&lt;/t&gt;", "//s"),Writers!$A$3:$A$999,Writers!$B$3:$B$999,""))</f>
        <v>Dennis Spooner</v>
      </c>
      <c r="V83" s="3"/>
      <c r="W83" s="3" t="str">
        <f>IF(V83="","",_xlfn.XLOOKUP(V83,Writers!$A$3:$A$999,Writers!$B$3:$B$999,""))</f>
        <v/>
      </c>
      <c r="X83" s="3">
        <v>8.3000000000000007</v>
      </c>
      <c r="Y83" s="3"/>
      <c r="Z83" s="3"/>
      <c r="AA83" s="3">
        <f t="shared" si="3"/>
        <v>10.43</v>
      </c>
      <c r="AB83" s="3" t="str">
        <f t="shared" si="4"/>
        <v/>
      </c>
      <c r="AC83" s="3" t="str">
        <f t="shared" si="5"/>
        <v/>
      </c>
      <c r="AD83" s="3">
        <f>VLOOKUP(YEAR(Q83),Populations!$A$3:$B$999,2,0)</f>
        <v>54349500</v>
      </c>
      <c r="AE83" s="3">
        <f>(Calculations!B1/AD83)</f>
        <v>1.25677204022116</v>
      </c>
      <c r="AF83" s="3"/>
      <c r="AG83" s="3">
        <v>1</v>
      </c>
      <c r="AH83" s="3" t="str">
        <f>VLOOKUP(AG83,WikiFormats!$A$3:$B$999,2,0)</f>
        <v>Story</v>
      </c>
      <c r="AI83" s="3" t="s">
        <v>593</v>
      </c>
    </row>
    <row r="84" spans="1:35" s="2" customFormat="1" x14ac:dyDescent="0.55000000000000004">
      <c r="A84">
        <v>82</v>
      </c>
      <c r="B84">
        <v>1</v>
      </c>
      <c r="C84" t="str">
        <f>VLOOKUP(B84,Eras!$A$3:$B$999,2,0)</f>
        <v>Classic</v>
      </c>
      <c r="D84">
        <v>1</v>
      </c>
      <c r="E84" t="str">
        <f>VLOOKUP(D84,EpisodeFormats!$A$3:$B$999,2,0)</f>
        <v>Series</v>
      </c>
      <c r="F84">
        <v>1</v>
      </c>
      <c r="G84" t="str">
        <f>VLOOKUP(F84,Doctors!$A$3:$B$999,2,0)</f>
        <v>William Hartnell</v>
      </c>
      <c r="H84">
        <v>3</v>
      </c>
      <c r="I84">
        <v>1</v>
      </c>
      <c r="J84" t="str">
        <f>VLOOKUP(I84,SeasonFormats!$A$3:$B$999,2,0)</f>
        <v>Season</v>
      </c>
      <c r="K84">
        <v>18</v>
      </c>
      <c r="L84">
        <v>1</v>
      </c>
      <c r="M84" t="s">
        <v>312</v>
      </c>
      <c r="N84">
        <v>1</v>
      </c>
      <c r="O84" t="s">
        <v>324</v>
      </c>
      <c r="P84">
        <v>1</v>
      </c>
      <c r="Q84" s="6" t="d">
        <v>1965-09-11</v>
      </c>
      <c r="R84">
        <v>23</v>
      </c>
      <c r="S84">
        <v>1</v>
      </c>
      <c r="T84" s="15" t="s">
        <v>1110</v>
      </c>
      <c r="U84" t="str" cm="1">
        <f t="array" ref="U84">_xlfn.TEXTJOIN(",",TRUE,_xlfn.XLOOKUP(_xlfn.FILTERXML("&lt;t&gt;&lt;s&gt;" &amp; SUBSTITUTE(T84,",","&lt;/s&gt;&lt;s&gt;") &amp; "&lt;/s&gt;&lt;/t&gt;", "//s"),Writers!$A$3:$A$999,Writers!$B$3:$B$999,""))</f>
        <v>William Emms</v>
      </c>
      <c r="V84"/>
      <c r="W84" t="str">
        <f>IF(V84="","",_xlfn.XLOOKUP(V84,Writers!$A$3:$A$999,Writers!$B$3:$B$999,""))</f>
        <v/>
      </c>
      <c r="X84">
        <v>9</v>
      </c>
      <c r="Y84"/>
      <c r="Z84"/>
      <c r="AA84">
        <f t="shared" si="3"/>
        <v>11.31</v>
      </c>
      <c r="AB84" t="str">
        <f t="shared" si="4"/>
        <v/>
      </c>
      <c r="AC84" t="str">
        <f t="shared" si="5"/>
        <v/>
      </c>
      <c r="AD84">
        <f>VLOOKUP(YEAR(Q84),Populations!$A$3:$B$999,2,0)</f>
        <v>54349500</v>
      </c>
      <c r="AE84">
        <f>(Calculations!B1/AD84)</f>
        <v>1.25677204022116</v>
      </c>
      <c r="AF84"/>
      <c r="AG84">
        <v>1</v>
      </c>
      <c r="AH84" t="str">
        <f>VLOOKUP(AG84,WikiFormats!$A$3:$B$999,2,0)</f>
        <v>Story</v>
      </c>
      <c r="AI84" t="s">
        <v>594</v>
      </c>
    </row>
    <row r="85" spans="1:35" s="2" customFormat="1" x14ac:dyDescent="0.55000000000000004">
      <c r="A85">
        <v>83</v>
      </c>
      <c r="B85">
        <v>1</v>
      </c>
      <c r="C85" t="str">
        <f>VLOOKUP(B85,Eras!$A$3:$B$999,2,0)</f>
        <v>Classic</v>
      </c>
      <c r="D85">
        <v>1</v>
      </c>
      <c r="E85" t="str">
        <f>VLOOKUP(D85,EpisodeFormats!$A$3:$B$999,2,0)</f>
        <v>Series</v>
      </c>
      <c r="F85">
        <v>1</v>
      </c>
      <c r="G85" t="str">
        <f>VLOOKUP(F85,Doctors!$A$3:$B$999,2,0)</f>
        <v>William Hartnell</v>
      </c>
      <c r="H85">
        <v>3</v>
      </c>
      <c r="I85">
        <v>1</v>
      </c>
      <c r="J85" t="str">
        <f>VLOOKUP(I85,SeasonFormats!$A$3:$B$999,2,0)</f>
        <v>Season</v>
      </c>
      <c r="K85">
        <v>18</v>
      </c>
      <c r="L85">
        <v>1</v>
      </c>
      <c r="M85" t="s">
        <v>312</v>
      </c>
      <c r="N85">
        <v>2</v>
      </c>
      <c r="O85" t="s">
        <v>325</v>
      </c>
      <c r="P85">
        <v>2</v>
      </c>
      <c r="Q85" s="6" t="d">
        <v>1965-09-18</v>
      </c>
      <c r="R85">
        <v>26</v>
      </c>
      <c r="S85">
        <v>1</v>
      </c>
      <c r="T85" s="15" t="s">
        <v>1110</v>
      </c>
      <c r="U85" t="str" cm="1">
        <f t="array" ref="U85">_xlfn.TEXTJOIN(",",TRUE,_xlfn.XLOOKUP(_xlfn.FILTERXML("&lt;t&gt;&lt;s&gt;" &amp; SUBSTITUTE(T85,",","&lt;/s&gt;&lt;s&gt;") &amp; "&lt;/s&gt;&lt;/t&gt;", "//s"),Writers!$A$3:$A$999,Writers!$B$3:$B$999,""))</f>
        <v>William Emms</v>
      </c>
      <c r="V85"/>
      <c r="W85" t="str">
        <f>IF(V85="","",_xlfn.XLOOKUP(V85,Writers!$A$3:$A$999,Writers!$B$3:$B$999,""))</f>
        <v/>
      </c>
      <c r="X85">
        <v>9.5</v>
      </c>
      <c r="Y85"/>
      <c r="Z85"/>
      <c r="AA85">
        <f t="shared" si="3"/>
        <v>11.94</v>
      </c>
      <c r="AB85" t="str">
        <f t="shared" si="4"/>
        <v/>
      </c>
      <c r="AC85" t="str">
        <f t="shared" si="5"/>
        <v/>
      </c>
      <c r="AD85">
        <f>VLOOKUP(YEAR(Q85),Populations!$A$3:$B$999,2,0)</f>
        <v>54349500</v>
      </c>
      <c r="AE85">
        <f>(Calculations!B1/AD85)</f>
        <v>1.25677204022116</v>
      </c>
      <c r="AF85"/>
      <c r="AG85">
        <v>1</v>
      </c>
      <c r="AH85" t="str">
        <f>VLOOKUP(AG85,WikiFormats!$A$3:$B$999,2,0)</f>
        <v>Story</v>
      </c>
      <c r="AI85" t="s">
        <v>594</v>
      </c>
    </row>
    <row r="86" spans="1:35" s="2" customFormat="1" x14ac:dyDescent="0.55000000000000004">
      <c r="A86">
        <v>84</v>
      </c>
      <c r="B86">
        <v>1</v>
      </c>
      <c r="C86" t="str">
        <f>VLOOKUP(B86,Eras!$A$3:$B$999,2,0)</f>
        <v>Classic</v>
      </c>
      <c r="D86">
        <v>1</v>
      </c>
      <c r="E86" t="str">
        <f>VLOOKUP(D86,EpisodeFormats!$A$3:$B$999,2,0)</f>
        <v>Series</v>
      </c>
      <c r="F86">
        <v>1</v>
      </c>
      <c r="G86" t="str">
        <f>VLOOKUP(F86,Doctors!$A$3:$B$999,2,0)</f>
        <v>William Hartnell</v>
      </c>
      <c r="H86">
        <v>3</v>
      </c>
      <c r="I86">
        <v>1</v>
      </c>
      <c r="J86" t="str">
        <f>VLOOKUP(I86,SeasonFormats!$A$3:$B$999,2,0)</f>
        <v>Season</v>
      </c>
      <c r="K86">
        <v>18</v>
      </c>
      <c r="L86">
        <v>1</v>
      </c>
      <c r="M86" t="s">
        <v>312</v>
      </c>
      <c r="N86">
        <v>3</v>
      </c>
      <c r="O86" t="s">
        <v>326</v>
      </c>
      <c r="P86">
        <v>3</v>
      </c>
      <c r="Q86" s="6" t="d">
        <v>1965-09-25</v>
      </c>
      <c r="R86">
        <v>25</v>
      </c>
      <c r="S86"/>
      <c r="T86" s="15" t="s">
        <v>1110</v>
      </c>
      <c r="U86" t="str" cm="1">
        <f t="array" ref="U86">_xlfn.TEXTJOIN(",",TRUE,_xlfn.XLOOKUP(_xlfn.FILTERXML("&lt;t&gt;&lt;s&gt;" &amp; SUBSTITUTE(T86,",","&lt;/s&gt;&lt;s&gt;") &amp; "&lt;/s&gt;&lt;/t&gt;", "//s"),Writers!$A$3:$A$999,Writers!$B$3:$B$999,""))</f>
        <v>William Emms</v>
      </c>
      <c r="V86"/>
      <c r="W86" t="str">
        <f>IF(V86="","",_xlfn.XLOOKUP(V86,Writers!$A$3:$A$999,Writers!$B$3:$B$999,""))</f>
        <v/>
      </c>
      <c r="X86">
        <v>11.3</v>
      </c>
      <c r="Y86"/>
      <c r="Z86"/>
      <c r="AA86">
        <f t="shared" si="3"/>
        <v>14.2</v>
      </c>
      <c r="AB86" t="str">
        <f t="shared" si="4"/>
        <v/>
      </c>
      <c r="AC86" t="str">
        <f t="shared" si="5"/>
        <v/>
      </c>
      <c r="AD86">
        <f>VLOOKUP(YEAR(Q86),Populations!$A$3:$B$999,2,0)</f>
        <v>54349500</v>
      </c>
      <c r="AE86">
        <f>(Calculations!B1/AD86)</f>
        <v>1.25677204022116</v>
      </c>
      <c r="AF86"/>
      <c r="AG86">
        <v>1</v>
      </c>
      <c r="AH86" t="str">
        <f>VLOOKUP(AG86,WikiFormats!$A$3:$B$999,2,0)</f>
        <v>Story</v>
      </c>
      <c r="AI86" t="s">
        <v>594</v>
      </c>
    </row>
    <row r="87" spans="1:35" s="2" customFormat="1" x14ac:dyDescent="0.55000000000000004">
      <c r="A87">
        <v>85</v>
      </c>
      <c r="B87">
        <v>1</v>
      </c>
      <c r="C87" t="str">
        <f>VLOOKUP(B87,Eras!$A$3:$B$999,2,0)</f>
        <v>Classic</v>
      </c>
      <c r="D87">
        <v>1</v>
      </c>
      <c r="E87" t="str">
        <f>VLOOKUP(D87,EpisodeFormats!$A$3:$B$999,2,0)</f>
        <v>Series</v>
      </c>
      <c r="F87">
        <v>1</v>
      </c>
      <c r="G87" t="str">
        <f>VLOOKUP(F87,Doctors!$A$3:$B$999,2,0)</f>
        <v>William Hartnell</v>
      </c>
      <c r="H87">
        <v>3</v>
      </c>
      <c r="I87">
        <v>1</v>
      </c>
      <c r="J87" t="str">
        <f>VLOOKUP(I87,SeasonFormats!$A$3:$B$999,2,0)</f>
        <v>Season</v>
      </c>
      <c r="K87">
        <v>18</v>
      </c>
      <c r="L87">
        <v>1</v>
      </c>
      <c r="M87" t="s">
        <v>312</v>
      </c>
      <c r="N87">
        <v>4</v>
      </c>
      <c r="O87" t="s">
        <v>327</v>
      </c>
      <c r="P87">
        <v>4</v>
      </c>
      <c r="Q87" s="6" t="d">
        <v>1965-10-02</v>
      </c>
      <c r="R87">
        <v>26</v>
      </c>
      <c r="S87">
        <v>1</v>
      </c>
      <c r="T87" s="15" t="s">
        <v>1110</v>
      </c>
      <c r="U87" t="str" cm="1">
        <f t="array" ref="U87">_xlfn.TEXTJOIN(",",TRUE,_xlfn.XLOOKUP(_xlfn.FILTERXML("&lt;t&gt;&lt;s&gt;" &amp; SUBSTITUTE(T87,",","&lt;/s&gt;&lt;s&gt;") &amp; "&lt;/s&gt;&lt;/t&gt;", "//s"),Writers!$A$3:$A$999,Writers!$B$3:$B$999,""))</f>
        <v>William Emms</v>
      </c>
      <c r="V87"/>
      <c r="W87" t="str">
        <f>IF(V87="","",_xlfn.XLOOKUP(V87,Writers!$A$3:$A$999,Writers!$B$3:$B$999,""))</f>
        <v/>
      </c>
      <c r="X87">
        <v>9.9</v>
      </c>
      <c r="Y87"/>
      <c r="Z87"/>
      <c r="AA87">
        <f t="shared" si="3"/>
        <v>12.44</v>
      </c>
      <c r="AB87" t="str">
        <f t="shared" si="4"/>
        <v/>
      </c>
      <c r="AC87" t="str">
        <f t="shared" si="5"/>
        <v/>
      </c>
      <c r="AD87">
        <f>VLOOKUP(YEAR(Q87),Populations!$A$3:$B$999,2,0)</f>
        <v>54349500</v>
      </c>
      <c r="AE87">
        <f>(Calculations!B1/AD87)</f>
        <v>1.25677204022116</v>
      </c>
      <c r="AF87"/>
      <c r="AG87">
        <v>1</v>
      </c>
      <c r="AH87" t="str">
        <f>VLOOKUP(AG87,WikiFormats!$A$3:$B$999,2,0)</f>
        <v>Story</v>
      </c>
      <c r="AI87" t="s">
        <v>594</v>
      </c>
    </row>
    <row r="88" spans="1:35" s="8" customFormat="1" x14ac:dyDescent="0.55000000000000004">
      <c r="A88" s="3">
        <v>86</v>
      </c>
      <c r="B88" s="3">
        <v>1</v>
      </c>
      <c r="C88" s="3" t="str">
        <f>VLOOKUP(B88,Eras!$A$3:$B$999,2,0)</f>
        <v>Classic</v>
      </c>
      <c r="D88" s="3">
        <v>1</v>
      </c>
      <c r="E88" s="3" t="str">
        <f>VLOOKUP(D88,EpisodeFormats!$A$3:$B$999,2,0)</f>
        <v>Series</v>
      </c>
      <c r="F88" s="3">
        <v>1</v>
      </c>
      <c r="G88" s="3" t="str">
        <f>VLOOKUP(F88,Doctors!$A$3:$B$999,2,0)</f>
        <v>William Hartnell</v>
      </c>
      <c r="H88" s="3">
        <v>3</v>
      </c>
      <c r="I88" s="3">
        <v>1</v>
      </c>
      <c r="J88" s="3" t="str">
        <f>VLOOKUP(I88,SeasonFormats!$A$3:$B$999,2,0)</f>
        <v>Season</v>
      </c>
      <c r="K88" s="3">
        <v>19</v>
      </c>
      <c r="L88" s="3">
        <v>2</v>
      </c>
      <c r="M88" s="3" t="s">
        <v>321</v>
      </c>
      <c r="N88" s="3">
        <v>1</v>
      </c>
      <c r="O88" s="3"/>
      <c r="P88" s="3">
        <v>5</v>
      </c>
      <c r="Q88" s="7" t="d">
        <v>1965-10-09</v>
      </c>
      <c r="R88" s="3">
        <v>-25</v>
      </c>
      <c r="S88" s="3">
        <v>1</v>
      </c>
      <c r="T88" s="4" t="s">
        <v>1132</v>
      </c>
      <c r="U88" s="3" t="str" cm="1">
        <f t="array" ref="U88">_xlfn.TEXTJOIN(",",TRUE,_xlfn.XLOOKUP(_xlfn.FILTERXML("&lt;t&gt;&lt;s&gt;" &amp; SUBSTITUTE(T88,",","&lt;/s&gt;&lt;s&gt;") &amp; "&lt;/s&gt;&lt;/t&gt;", "//s"),Writers!$A$3:$A$999,Writers!$B$3:$B$999,""))</f>
        <v>Terry Nation</v>
      </c>
      <c r="V88" s="3"/>
      <c r="W88" s="3" t="str">
        <f>IF(V88="","",_xlfn.XLOOKUP(V88,Writers!$A$3:$A$999,Writers!$B$3:$B$999,""))</f>
        <v/>
      </c>
      <c r="X88" s="3">
        <v>8.3000000000000007</v>
      </c>
      <c r="Y88" s="3"/>
      <c r="Z88" s="3"/>
      <c r="AA88" s="3">
        <f t="shared" si="3"/>
        <v>10.43</v>
      </c>
      <c r="AB88" s="3" t="str">
        <f t="shared" si="4"/>
        <v/>
      </c>
      <c r="AC88" s="3" t="str">
        <f t="shared" si="5"/>
        <v/>
      </c>
      <c r="AD88" s="3">
        <f>VLOOKUP(YEAR(Q88),Populations!$A$3:$B$999,2,0)</f>
        <v>54349500</v>
      </c>
      <c r="AE88" s="3">
        <f>(Calculations!B1/AD88)</f>
        <v>1.25677204022116</v>
      </c>
      <c r="AF88" s="3"/>
      <c r="AG88" s="3">
        <v>2</v>
      </c>
      <c r="AH88" s="3" t="str">
        <f>VLOOKUP(AG88,WikiFormats!$A$3:$B$999,2,0)</f>
        <v>Episode</v>
      </c>
      <c r="AI88" s="3" t="s">
        <v>595</v>
      </c>
    </row>
    <row r="89" spans="1:35" s="2" customFormat="1" x14ac:dyDescent="0.55000000000000004">
      <c r="A89">
        <v>87</v>
      </c>
      <c r="B89">
        <v>1</v>
      </c>
      <c r="C89" t="str">
        <f>VLOOKUP(B89,Eras!$A$3:$B$999,2,0)</f>
        <v>Classic</v>
      </c>
      <c r="D89">
        <v>1</v>
      </c>
      <c r="E89" t="str">
        <f>VLOOKUP(D89,EpisodeFormats!$A$3:$B$999,2,0)</f>
        <v>Series</v>
      </c>
      <c r="F89">
        <v>1</v>
      </c>
      <c r="G89" t="str">
        <f>VLOOKUP(F89,Doctors!$A$3:$B$999,2,0)</f>
        <v>William Hartnell</v>
      </c>
      <c r="H89">
        <v>3</v>
      </c>
      <c r="I89">
        <v>1</v>
      </c>
      <c r="J89" t="str">
        <f>VLOOKUP(I89,SeasonFormats!$A$3:$B$999,2,0)</f>
        <v>Season</v>
      </c>
      <c r="K89">
        <v>20</v>
      </c>
      <c r="L89">
        <v>3</v>
      </c>
      <c r="M89" t="s">
        <v>313</v>
      </c>
      <c r="N89">
        <v>1</v>
      </c>
      <c r="O89" t="s">
        <v>328</v>
      </c>
      <c r="P89">
        <v>6</v>
      </c>
      <c r="Q89" s="6" t="d">
        <v>1965-10-16</v>
      </c>
      <c r="R89">
        <v>-25</v>
      </c>
      <c r="S89">
        <v>1</v>
      </c>
      <c r="T89" s="15" t="s">
        <v>1095</v>
      </c>
      <c r="U89" t="str" cm="1">
        <f t="array" ref="U89">_xlfn.TEXTJOIN(",",TRUE,_xlfn.XLOOKUP(_xlfn.FILTERXML("&lt;t&gt;&lt;s&gt;" &amp; SUBSTITUTE(T89,",","&lt;/s&gt;&lt;s&gt;") &amp; "&lt;/s&gt;&lt;/t&gt;", "//s"),Writers!$A$3:$A$999,Writers!$B$3:$B$999,""))</f>
        <v>Donald Cotton</v>
      </c>
      <c r="V89"/>
      <c r="W89" t="str">
        <f>IF(V89="","",_xlfn.XLOOKUP(V89,Writers!$A$3:$A$999,Writers!$B$3:$B$999,""))</f>
        <v/>
      </c>
      <c r="X89">
        <v>8.3000000000000007</v>
      </c>
      <c r="Y89"/>
      <c r="Z89"/>
      <c r="AA89">
        <f t="shared" si="3"/>
        <v>10.43</v>
      </c>
      <c r="AB89" t="str">
        <f t="shared" si="4"/>
        <v/>
      </c>
      <c r="AC89" t="str">
        <f t="shared" si="5"/>
        <v/>
      </c>
      <c r="AD89">
        <f>VLOOKUP(YEAR(Q89),Populations!$A$3:$B$999,2,0)</f>
        <v>54349500</v>
      </c>
      <c r="AE89">
        <f>(Calculations!B1/AD89)</f>
        <v>1.25677204022116</v>
      </c>
      <c r="AF89"/>
      <c r="AG89">
        <v>1</v>
      </c>
      <c r="AH89" t="str">
        <f>VLOOKUP(AG89,WikiFormats!$A$3:$B$999,2,0)</f>
        <v>Story</v>
      </c>
      <c r="AI89" t="s">
        <v>596</v>
      </c>
    </row>
    <row r="90" spans="1:35" s="2" customFormat="1" x14ac:dyDescent="0.55000000000000004">
      <c r="A90">
        <v>88</v>
      </c>
      <c r="B90">
        <v>1</v>
      </c>
      <c r="C90" t="str">
        <f>VLOOKUP(B90,Eras!$A$3:$B$999,2,0)</f>
        <v>Classic</v>
      </c>
      <c r="D90">
        <v>1</v>
      </c>
      <c r="E90" t="str">
        <f>VLOOKUP(D90,EpisodeFormats!$A$3:$B$999,2,0)</f>
        <v>Series</v>
      </c>
      <c r="F90">
        <v>1</v>
      </c>
      <c r="G90" t="str">
        <f>VLOOKUP(F90,Doctors!$A$3:$B$999,2,0)</f>
        <v>William Hartnell</v>
      </c>
      <c r="H90">
        <v>3</v>
      </c>
      <c r="I90">
        <v>1</v>
      </c>
      <c r="J90" t="str">
        <f>VLOOKUP(I90,SeasonFormats!$A$3:$B$999,2,0)</f>
        <v>Season</v>
      </c>
      <c r="K90">
        <v>20</v>
      </c>
      <c r="L90">
        <v>3</v>
      </c>
      <c r="M90" t="s">
        <v>313</v>
      </c>
      <c r="N90">
        <v>2</v>
      </c>
      <c r="O90" t="s">
        <v>329</v>
      </c>
      <c r="P90">
        <v>7</v>
      </c>
      <c r="Q90" s="6" t="d">
        <v>1965-10-23</v>
      </c>
      <c r="R90">
        <v>-25</v>
      </c>
      <c r="S90">
        <v>1</v>
      </c>
      <c r="T90" s="15" t="s">
        <v>1095</v>
      </c>
      <c r="U90" t="str" cm="1">
        <f t="array" ref="U90">_xlfn.TEXTJOIN(",",TRUE,_xlfn.XLOOKUP(_xlfn.FILTERXML("&lt;t&gt;&lt;s&gt;" &amp; SUBSTITUTE(T90,",","&lt;/s&gt;&lt;s&gt;") &amp; "&lt;/s&gt;&lt;/t&gt;", "//s"),Writers!$A$3:$A$999,Writers!$B$3:$B$999,""))</f>
        <v>Donald Cotton</v>
      </c>
      <c r="V90"/>
      <c r="W90" t="str">
        <f>IF(V90="","",_xlfn.XLOOKUP(V90,Writers!$A$3:$A$999,Writers!$B$3:$B$999,""))</f>
        <v/>
      </c>
      <c r="X90">
        <v>8.1</v>
      </c>
      <c r="Y90"/>
      <c r="Z90"/>
      <c r="AA90">
        <f t="shared" si="3"/>
        <v>10.18</v>
      </c>
      <c r="AB90" t="str">
        <f t="shared" si="4"/>
        <v/>
      </c>
      <c r="AC90" t="str">
        <f t="shared" si="5"/>
        <v/>
      </c>
      <c r="AD90">
        <f>VLOOKUP(YEAR(Q90),Populations!$A$3:$B$999,2,0)</f>
        <v>54349500</v>
      </c>
      <c r="AE90">
        <f>(Calculations!B1/AD90)</f>
        <v>1.25677204022116</v>
      </c>
      <c r="AF90"/>
      <c r="AG90">
        <v>1</v>
      </c>
      <c r="AH90" t="str">
        <f>VLOOKUP(AG90,WikiFormats!$A$3:$B$999,2,0)</f>
        <v>Story</v>
      </c>
      <c r="AI90" t="s">
        <v>596</v>
      </c>
    </row>
    <row r="91" spans="1:35" s="2" customFormat="1" x14ac:dyDescent="0.55000000000000004">
      <c r="A91">
        <v>89</v>
      </c>
      <c r="B91">
        <v>1</v>
      </c>
      <c r="C91" t="str">
        <f>VLOOKUP(B91,Eras!$A$3:$B$999,2,0)</f>
        <v>Classic</v>
      </c>
      <c r="D91">
        <v>1</v>
      </c>
      <c r="E91" t="str">
        <f>VLOOKUP(D91,EpisodeFormats!$A$3:$B$999,2,0)</f>
        <v>Series</v>
      </c>
      <c r="F91">
        <v>1</v>
      </c>
      <c r="G91" t="str">
        <f>VLOOKUP(F91,Doctors!$A$3:$B$999,2,0)</f>
        <v>William Hartnell</v>
      </c>
      <c r="H91">
        <v>3</v>
      </c>
      <c r="I91">
        <v>1</v>
      </c>
      <c r="J91" t="str">
        <f>VLOOKUP(I91,SeasonFormats!$A$3:$B$999,2,0)</f>
        <v>Season</v>
      </c>
      <c r="K91">
        <v>20</v>
      </c>
      <c r="L91">
        <v>3</v>
      </c>
      <c r="M91" t="s">
        <v>313</v>
      </c>
      <c r="N91">
        <v>3</v>
      </c>
      <c r="O91" t="s">
        <v>330</v>
      </c>
      <c r="P91">
        <v>8</v>
      </c>
      <c r="Q91" s="6" t="d">
        <v>1965-10-30</v>
      </c>
      <c r="R91">
        <v>-25</v>
      </c>
      <c r="S91">
        <v>1</v>
      </c>
      <c r="T91" s="15" t="s">
        <v>1095</v>
      </c>
      <c r="U91" t="str" cm="1">
        <f t="array" ref="U91">_xlfn.TEXTJOIN(",",TRUE,_xlfn.XLOOKUP(_xlfn.FILTERXML("&lt;t&gt;&lt;s&gt;" &amp; SUBSTITUTE(T91,",","&lt;/s&gt;&lt;s&gt;") &amp; "&lt;/s&gt;&lt;/t&gt;", "//s"),Writers!$A$3:$A$999,Writers!$B$3:$B$999,""))</f>
        <v>Donald Cotton</v>
      </c>
      <c r="V91"/>
      <c r="W91" t="str">
        <f>IF(V91="","",_xlfn.XLOOKUP(V91,Writers!$A$3:$A$999,Writers!$B$3:$B$999,""))</f>
        <v/>
      </c>
      <c r="X91">
        <v>8.6999999999999993</v>
      </c>
      <c r="Y91"/>
      <c r="Z91"/>
      <c r="AA91">
        <f t="shared" si="3"/>
        <v>10.93</v>
      </c>
      <c r="AB91" t="str">
        <f t="shared" si="4"/>
        <v/>
      </c>
      <c r="AC91" t="str">
        <f t="shared" si="5"/>
        <v/>
      </c>
      <c r="AD91">
        <f>VLOOKUP(YEAR(Q91),Populations!$A$3:$B$999,2,0)</f>
        <v>54349500</v>
      </c>
      <c r="AE91">
        <f>(Calculations!B1/AD91)</f>
        <v>1.25677204022116</v>
      </c>
      <c r="AF91"/>
      <c r="AG91">
        <v>1</v>
      </c>
      <c r="AH91" t="str">
        <f>VLOOKUP(AG91,WikiFormats!$A$3:$B$999,2,0)</f>
        <v>Story</v>
      </c>
      <c r="AI91" t="s">
        <v>596</v>
      </c>
    </row>
    <row r="92" spans="1:35" s="2" customFormat="1" x14ac:dyDescent="0.55000000000000004">
      <c r="A92">
        <v>90</v>
      </c>
      <c r="B92">
        <v>1</v>
      </c>
      <c r="C92" t="str">
        <f>VLOOKUP(B92,Eras!$A$3:$B$999,2,0)</f>
        <v>Classic</v>
      </c>
      <c r="D92">
        <v>1</v>
      </c>
      <c r="E92" t="str">
        <f>VLOOKUP(D92,EpisodeFormats!$A$3:$B$999,2,0)</f>
        <v>Series</v>
      </c>
      <c r="F92">
        <v>1</v>
      </c>
      <c r="G92" t="str">
        <f>VLOOKUP(F92,Doctors!$A$3:$B$999,2,0)</f>
        <v>William Hartnell</v>
      </c>
      <c r="H92">
        <v>3</v>
      </c>
      <c r="I92">
        <v>1</v>
      </c>
      <c r="J92" t="str">
        <f>VLOOKUP(I92,SeasonFormats!$A$3:$B$999,2,0)</f>
        <v>Season</v>
      </c>
      <c r="K92">
        <v>20</v>
      </c>
      <c r="L92">
        <v>3</v>
      </c>
      <c r="M92" t="s">
        <v>313</v>
      </c>
      <c r="N92">
        <v>4</v>
      </c>
      <c r="O92" t="s">
        <v>331</v>
      </c>
      <c r="P92">
        <v>9</v>
      </c>
      <c r="Q92" s="6" t="d">
        <v>1965-11-06</v>
      </c>
      <c r="R92">
        <v>-25</v>
      </c>
      <c r="S92">
        <v>1</v>
      </c>
      <c r="T92" s="15" t="s">
        <v>1095</v>
      </c>
      <c r="U92" t="str" cm="1">
        <f t="array" ref="U92">_xlfn.TEXTJOIN(",",TRUE,_xlfn.XLOOKUP(_xlfn.FILTERXML("&lt;t&gt;&lt;s&gt;" &amp; SUBSTITUTE(T92,",","&lt;/s&gt;&lt;s&gt;") &amp; "&lt;/s&gt;&lt;/t&gt;", "//s"),Writers!$A$3:$A$999,Writers!$B$3:$B$999,""))</f>
        <v>Donald Cotton</v>
      </c>
      <c r="V92"/>
      <c r="W92" t="str">
        <f>IF(V92="","",_xlfn.XLOOKUP(V92,Writers!$A$3:$A$999,Writers!$B$3:$B$999,""))</f>
        <v/>
      </c>
      <c r="X92">
        <v>8.3000000000000007</v>
      </c>
      <c r="Y92"/>
      <c r="Z92"/>
      <c r="AA92">
        <f t="shared" si="3"/>
        <v>10.43</v>
      </c>
      <c r="AB92" t="str">
        <f t="shared" si="4"/>
        <v/>
      </c>
      <c r="AC92" t="str">
        <f t="shared" si="5"/>
        <v/>
      </c>
      <c r="AD92">
        <f>VLOOKUP(YEAR(Q92),Populations!$A$3:$B$999,2,0)</f>
        <v>54349500</v>
      </c>
      <c r="AE92">
        <f>(Calculations!B1/AD92)</f>
        <v>1.25677204022116</v>
      </c>
      <c r="AF92"/>
      <c r="AG92">
        <v>1</v>
      </c>
      <c r="AH92" t="str">
        <f>VLOOKUP(AG92,WikiFormats!$A$3:$B$999,2,0)</f>
        <v>Story</v>
      </c>
      <c r="AI92" t="s">
        <v>596</v>
      </c>
    </row>
    <row r="93" spans="1:35" s="8" customFormat="1" x14ac:dyDescent="0.55000000000000004">
      <c r="A93" s="3">
        <v>91</v>
      </c>
      <c r="B93" s="3">
        <v>1</v>
      </c>
      <c r="C93" s="3" t="str">
        <f>VLOOKUP(B93,Eras!$A$3:$B$999,2,0)</f>
        <v>Classic</v>
      </c>
      <c r="D93" s="3">
        <v>1</v>
      </c>
      <c r="E93" s="3" t="str">
        <f>VLOOKUP(D93,EpisodeFormats!$A$3:$B$999,2,0)</f>
        <v>Series</v>
      </c>
      <c r="F93" s="3">
        <v>1</v>
      </c>
      <c r="G93" s="3" t="str">
        <f>VLOOKUP(F93,Doctors!$A$3:$B$999,2,0)</f>
        <v>William Hartnell</v>
      </c>
      <c r="H93" s="3">
        <v>3</v>
      </c>
      <c r="I93" s="3">
        <v>1</v>
      </c>
      <c r="J93" s="3" t="str">
        <f>VLOOKUP(I93,SeasonFormats!$A$3:$B$999,2,0)</f>
        <v>Season</v>
      </c>
      <c r="K93" s="3">
        <v>21</v>
      </c>
      <c r="L93" s="3">
        <v>4</v>
      </c>
      <c r="M93" s="3" t="s">
        <v>314</v>
      </c>
      <c r="N93" s="3">
        <v>1</v>
      </c>
      <c r="O93" s="3" t="s">
        <v>332</v>
      </c>
      <c r="P93" s="3">
        <v>10</v>
      </c>
      <c r="Q93" s="7" t="d">
        <v>1965-11-13</v>
      </c>
      <c r="R93" s="3">
        <v>-25</v>
      </c>
      <c r="S93" s="3"/>
      <c r="T93" s="4" t="s">
        <v>1132</v>
      </c>
      <c r="U93" s="3" t="str" cm="1">
        <f t="array" ref="U93">_xlfn.TEXTJOIN(",",TRUE,_xlfn.XLOOKUP(_xlfn.FILTERXML("&lt;t&gt;&lt;s&gt;" &amp; SUBSTITUTE(T93,",","&lt;/s&gt;&lt;s&gt;") &amp; "&lt;/s&gt;&lt;/t&gt;", "//s"),Writers!$A$3:$A$999,Writers!$B$3:$B$999,""))</f>
        <v>Terry Nation</v>
      </c>
      <c r="V93" s="3"/>
      <c r="W93" s="3" t="str">
        <f>IF(V93="","",_xlfn.XLOOKUP(V93,Writers!$A$3:$A$999,Writers!$B$3:$B$999,""))</f>
        <v/>
      </c>
      <c r="X93" s="3">
        <v>9.1</v>
      </c>
      <c r="Y93" s="3"/>
      <c r="Z93" s="3"/>
      <c r="AA93" s="3">
        <f t="shared" si="3"/>
        <v>11.44</v>
      </c>
      <c r="AB93" s="3" t="str">
        <f t="shared" si="4"/>
        <v/>
      </c>
      <c r="AC93" s="3" t="str">
        <f t="shared" si="5"/>
        <v/>
      </c>
      <c r="AD93" s="3">
        <f>VLOOKUP(YEAR(Q93),Populations!$A$3:$B$999,2,0)</f>
        <v>54349500</v>
      </c>
      <c r="AE93" s="3">
        <f>(Calculations!B1/AD93)</f>
        <v>1.25677204022116</v>
      </c>
      <c r="AF93" s="3"/>
      <c r="AG93" s="3">
        <v>1</v>
      </c>
      <c r="AH93" s="3" t="str">
        <f>VLOOKUP(AG93,WikiFormats!$A$3:$B$999,2,0)</f>
        <v>Story</v>
      </c>
      <c r="AI93" s="3" t="s">
        <v>597</v>
      </c>
    </row>
    <row r="94" spans="1:35" s="8" customFormat="1" x14ac:dyDescent="0.55000000000000004">
      <c r="A94" s="3">
        <v>92</v>
      </c>
      <c r="B94" s="3">
        <v>1</v>
      </c>
      <c r="C94" s="3" t="str">
        <f>VLOOKUP(B94,Eras!$A$3:$B$999,2,0)</f>
        <v>Classic</v>
      </c>
      <c r="D94" s="3">
        <v>1</v>
      </c>
      <c r="E94" s="3" t="str">
        <f>VLOOKUP(D94,EpisodeFormats!$A$3:$B$999,2,0)</f>
        <v>Series</v>
      </c>
      <c r="F94" s="3">
        <v>1</v>
      </c>
      <c r="G94" s="3" t="str">
        <f>VLOOKUP(F94,Doctors!$A$3:$B$999,2,0)</f>
        <v>William Hartnell</v>
      </c>
      <c r="H94" s="3">
        <v>3</v>
      </c>
      <c r="I94" s="3">
        <v>1</v>
      </c>
      <c r="J94" s="3" t="str">
        <f>VLOOKUP(I94,SeasonFormats!$A$3:$B$999,2,0)</f>
        <v>Season</v>
      </c>
      <c r="K94" s="3">
        <v>21</v>
      </c>
      <c r="L94" s="3">
        <v>4</v>
      </c>
      <c r="M94" s="3" t="s">
        <v>314</v>
      </c>
      <c r="N94" s="3">
        <v>2</v>
      </c>
      <c r="O94" s="3" t="s">
        <v>333</v>
      </c>
      <c r="P94" s="3">
        <v>11</v>
      </c>
      <c r="Q94" s="7" t="d">
        <v>1965-11-20</v>
      </c>
      <c r="R94" s="3">
        <v>24</v>
      </c>
      <c r="S94" s="3"/>
      <c r="T94" s="4" t="s">
        <v>1132</v>
      </c>
      <c r="U94" s="3" t="str" cm="1">
        <f t="array" ref="U94">_xlfn.TEXTJOIN(",",TRUE,_xlfn.XLOOKUP(_xlfn.FILTERXML("&lt;t&gt;&lt;s&gt;" &amp; SUBSTITUTE(T94,",","&lt;/s&gt;&lt;s&gt;") &amp; "&lt;/s&gt;&lt;/t&gt;", "//s"),Writers!$A$3:$A$999,Writers!$B$3:$B$999,""))</f>
        <v>Terry Nation</v>
      </c>
      <c r="V94" s="3"/>
      <c r="W94" s="3" t="str">
        <f>IF(V94="","",_xlfn.XLOOKUP(V94,Writers!$A$3:$A$999,Writers!$B$3:$B$999,""))</f>
        <v/>
      </c>
      <c r="X94" s="3">
        <v>9.8000000000000007</v>
      </c>
      <c r="Y94" s="3"/>
      <c r="Z94" s="3"/>
      <c r="AA94" s="3">
        <f t="shared" si="3"/>
        <v>12.32</v>
      </c>
      <c r="AB94" s="3" t="str">
        <f t="shared" si="4"/>
        <v/>
      </c>
      <c r="AC94" s="3" t="str">
        <f t="shared" si="5"/>
        <v/>
      </c>
      <c r="AD94" s="3">
        <f>VLOOKUP(YEAR(Q94),Populations!$A$3:$B$999,2,0)</f>
        <v>54349500</v>
      </c>
      <c r="AE94" s="3">
        <f>(Calculations!B1/AD94)</f>
        <v>1.25677204022116</v>
      </c>
      <c r="AF94" s="3"/>
      <c r="AG94" s="3">
        <v>1</v>
      </c>
      <c r="AH94" s="3" t="str">
        <f>VLOOKUP(AG94,WikiFormats!$A$3:$B$999,2,0)</f>
        <v>Story</v>
      </c>
      <c r="AI94" s="3" t="s">
        <v>597</v>
      </c>
    </row>
    <row r="95" spans="1:35" s="8" customFormat="1" x14ac:dyDescent="0.55000000000000004">
      <c r="A95" s="3">
        <v>93</v>
      </c>
      <c r="B95" s="3">
        <v>1</v>
      </c>
      <c r="C95" s="3" t="str">
        <f>VLOOKUP(B95,Eras!$A$3:$B$999,2,0)</f>
        <v>Classic</v>
      </c>
      <c r="D95" s="3">
        <v>1</v>
      </c>
      <c r="E95" s="3" t="str">
        <f>VLOOKUP(D95,EpisodeFormats!$A$3:$B$999,2,0)</f>
        <v>Series</v>
      </c>
      <c r="F95" s="3">
        <v>1</v>
      </c>
      <c r="G95" s="3" t="str">
        <f>VLOOKUP(F95,Doctors!$A$3:$B$999,2,0)</f>
        <v>William Hartnell</v>
      </c>
      <c r="H95" s="3">
        <v>3</v>
      </c>
      <c r="I95" s="3">
        <v>1</v>
      </c>
      <c r="J95" s="3" t="str">
        <f>VLOOKUP(I95,SeasonFormats!$A$3:$B$999,2,0)</f>
        <v>Season</v>
      </c>
      <c r="K95" s="3">
        <v>21</v>
      </c>
      <c r="L95" s="3">
        <v>4</v>
      </c>
      <c r="M95" s="3" t="s">
        <v>314</v>
      </c>
      <c r="N95" s="3">
        <v>3</v>
      </c>
      <c r="O95" s="3" t="s">
        <v>334</v>
      </c>
      <c r="P95" s="3">
        <v>12</v>
      </c>
      <c r="Q95" s="7" t="d">
        <v>1965-11-27</v>
      </c>
      <c r="R95" s="3">
        <v>-25</v>
      </c>
      <c r="S95" s="3"/>
      <c r="T95" s="4" t="s">
        <v>1132</v>
      </c>
      <c r="U95" s="3" t="str" cm="1">
        <f t="array" ref="U95">_xlfn.TEXTJOIN(",",TRUE,_xlfn.XLOOKUP(_xlfn.FILTERXML("&lt;t&gt;&lt;s&gt;" &amp; SUBSTITUTE(T95,",","&lt;/s&gt;&lt;s&gt;") &amp; "&lt;/s&gt;&lt;/t&gt;", "//s"),Writers!$A$3:$A$999,Writers!$B$3:$B$999,""))</f>
        <v>Terry Nation</v>
      </c>
      <c r="V95" s="3"/>
      <c r="W95" s="3" t="str">
        <f>IF(V95="","",_xlfn.XLOOKUP(V95,Writers!$A$3:$A$999,Writers!$B$3:$B$999,""))</f>
        <v/>
      </c>
      <c r="X95" s="3">
        <v>10.3</v>
      </c>
      <c r="Y95" s="3"/>
      <c r="Z95" s="3"/>
      <c r="AA95" s="3">
        <f t="shared" si="3"/>
        <v>12.94</v>
      </c>
      <c r="AB95" s="3" t="str">
        <f t="shared" si="4"/>
        <v/>
      </c>
      <c r="AC95" s="3" t="str">
        <f t="shared" si="5"/>
        <v/>
      </c>
      <c r="AD95" s="3">
        <f>VLOOKUP(YEAR(Q95),Populations!$A$3:$B$999,2,0)</f>
        <v>54349500</v>
      </c>
      <c r="AE95" s="3">
        <f>(Calculations!B1/AD95)</f>
        <v>1.25677204022116</v>
      </c>
      <c r="AF95" s="3"/>
      <c r="AG95" s="3">
        <v>1</v>
      </c>
      <c r="AH95" s="3" t="str">
        <f>VLOOKUP(AG95,WikiFormats!$A$3:$B$999,2,0)</f>
        <v>Story</v>
      </c>
      <c r="AI95" s="3" t="s">
        <v>597</v>
      </c>
    </row>
    <row r="96" spans="1:35" s="8" customFormat="1" x14ac:dyDescent="0.55000000000000004">
      <c r="A96" s="3">
        <v>94</v>
      </c>
      <c r="B96" s="3">
        <v>1</v>
      </c>
      <c r="C96" s="3" t="str">
        <f>VLOOKUP(B96,Eras!$A$3:$B$999,2,0)</f>
        <v>Classic</v>
      </c>
      <c r="D96" s="3">
        <v>1</v>
      </c>
      <c r="E96" s="3" t="str">
        <f>VLOOKUP(D96,EpisodeFormats!$A$3:$B$999,2,0)</f>
        <v>Series</v>
      </c>
      <c r="F96" s="3">
        <v>1</v>
      </c>
      <c r="G96" s="3" t="str">
        <f>VLOOKUP(F96,Doctors!$A$3:$B$999,2,0)</f>
        <v>William Hartnell</v>
      </c>
      <c r="H96" s="3">
        <v>3</v>
      </c>
      <c r="I96" s="3">
        <v>1</v>
      </c>
      <c r="J96" s="3" t="str">
        <f>VLOOKUP(I96,SeasonFormats!$A$3:$B$999,2,0)</f>
        <v>Season</v>
      </c>
      <c r="K96" s="3">
        <v>21</v>
      </c>
      <c r="L96" s="3">
        <v>4</v>
      </c>
      <c r="M96" s="3" t="s">
        <v>314</v>
      </c>
      <c r="N96" s="3">
        <v>4</v>
      </c>
      <c r="O96" s="3" t="s">
        <v>335</v>
      </c>
      <c r="P96" s="3">
        <v>13</v>
      </c>
      <c r="Q96" s="7" t="d">
        <v>1965-12-04</v>
      </c>
      <c r="R96" s="3">
        <v>-25</v>
      </c>
      <c r="S96" s="3">
        <v>1</v>
      </c>
      <c r="T96" s="4" t="s">
        <v>1132</v>
      </c>
      <c r="U96" s="3" t="str" cm="1">
        <f t="array" ref="U96">_xlfn.TEXTJOIN(",",TRUE,_xlfn.XLOOKUP(_xlfn.FILTERXML("&lt;t&gt;&lt;s&gt;" &amp; SUBSTITUTE(T96,",","&lt;/s&gt;&lt;s&gt;") &amp; "&lt;/s&gt;&lt;/t&gt;", "//s"),Writers!$A$3:$A$999,Writers!$B$3:$B$999,""))</f>
        <v>Terry Nation</v>
      </c>
      <c r="V96" s="3"/>
      <c r="W96" s="3" t="str">
        <f>IF(V96="","",_xlfn.XLOOKUP(V96,Writers!$A$3:$A$999,Writers!$B$3:$B$999,""))</f>
        <v/>
      </c>
      <c r="X96" s="3">
        <v>9.5</v>
      </c>
      <c r="Y96" s="3"/>
      <c r="Z96" s="3"/>
      <c r="AA96" s="3">
        <f t="shared" si="3"/>
        <v>11.94</v>
      </c>
      <c r="AB96" s="3" t="str">
        <f t="shared" si="4"/>
        <v/>
      </c>
      <c r="AC96" s="3" t="str">
        <f t="shared" si="5"/>
        <v/>
      </c>
      <c r="AD96" s="3">
        <f>VLOOKUP(YEAR(Q96),Populations!$A$3:$B$999,2,0)</f>
        <v>54349500</v>
      </c>
      <c r="AE96" s="3">
        <f>(Calculations!B1/AD96)</f>
        <v>1.25677204022116</v>
      </c>
      <c r="AF96" s="3"/>
      <c r="AG96" s="3">
        <v>1</v>
      </c>
      <c r="AH96" s="3" t="str">
        <f>VLOOKUP(AG96,WikiFormats!$A$3:$B$999,2,0)</f>
        <v>Story</v>
      </c>
      <c r="AI96" s="3" t="s">
        <v>597</v>
      </c>
    </row>
    <row r="97" spans="1:35" s="8" customFormat="1" x14ac:dyDescent="0.55000000000000004">
      <c r="A97" s="3">
        <v>95</v>
      </c>
      <c r="B97" s="3">
        <v>1</v>
      </c>
      <c r="C97" s="3" t="str">
        <f>VLOOKUP(B97,Eras!$A$3:$B$999,2,0)</f>
        <v>Classic</v>
      </c>
      <c r="D97" s="3">
        <v>1</v>
      </c>
      <c r="E97" s="3" t="str">
        <f>VLOOKUP(D97,EpisodeFormats!$A$3:$B$999,2,0)</f>
        <v>Series</v>
      </c>
      <c r="F97" s="3">
        <v>1</v>
      </c>
      <c r="G97" s="3" t="str">
        <f>VLOOKUP(F97,Doctors!$A$3:$B$999,2,0)</f>
        <v>William Hartnell</v>
      </c>
      <c r="H97" s="3">
        <v>3</v>
      </c>
      <c r="I97" s="3">
        <v>1</v>
      </c>
      <c r="J97" s="3" t="str">
        <f>VLOOKUP(I97,SeasonFormats!$A$3:$B$999,2,0)</f>
        <v>Season</v>
      </c>
      <c r="K97" s="3">
        <v>21</v>
      </c>
      <c r="L97" s="3">
        <v>4</v>
      </c>
      <c r="M97" s="3" t="s">
        <v>314</v>
      </c>
      <c r="N97" s="3">
        <v>5</v>
      </c>
      <c r="O97" s="3" t="s">
        <v>336</v>
      </c>
      <c r="P97" s="3">
        <v>14</v>
      </c>
      <c r="Q97" s="7" t="d">
        <v>1965-12-11</v>
      </c>
      <c r="R97" s="3">
        <v>25</v>
      </c>
      <c r="S97" s="3"/>
      <c r="T97" s="4" t="s">
        <v>1132</v>
      </c>
      <c r="U97" s="3" t="str" cm="1">
        <f t="array" ref="U97">_xlfn.TEXTJOIN(",",TRUE,_xlfn.XLOOKUP(_xlfn.FILTERXML("&lt;t&gt;&lt;s&gt;" &amp; SUBSTITUTE(T97,",","&lt;/s&gt;&lt;s&gt;") &amp; "&lt;/s&gt;&lt;/t&gt;", "//s"),Writers!$A$3:$A$999,Writers!$B$3:$B$999,""))</f>
        <v>Terry Nation</v>
      </c>
      <c r="V97" s="3"/>
      <c r="W97" s="3" t="str">
        <f>IF(V97="","",_xlfn.XLOOKUP(V97,Writers!$A$3:$A$999,Writers!$B$3:$B$999,""))</f>
        <v/>
      </c>
      <c r="X97" s="3">
        <v>9.9</v>
      </c>
      <c r="Y97" s="3"/>
      <c r="Z97" s="3"/>
      <c r="AA97" s="3">
        <f t="shared" si="3"/>
        <v>12.44</v>
      </c>
      <c r="AB97" s="3" t="str">
        <f t="shared" si="4"/>
        <v/>
      </c>
      <c r="AC97" s="3" t="str">
        <f t="shared" si="5"/>
        <v/>
      </c>
      <c r="AD97" s="3">
        <f>VLOOKUP(YEAR(Q97),Populations!$A$3:$B$999,2,0)</f>
        <v>54349500</v>
      </c>
      <c r="AE97" s="3">
        <f>(Calculations!B1/AD97)</f>
        <v>1.25677204022116</v>
      </c>
      <c r="AF97" s="3"/>
      <c r="AG97" s="3">
        <v>1</v>
      </c>
      <c r="AH97" s="3" t="str">
        <f>VLOOKUP(AG97,WikiFormats!$A$3:$B$999,2,0)</f>
        <v>Story</v>
      </c>
      <c r="AI97" s="3" t="s">
        <v>597</v>
      </c>
    </row>
    <row r="98" spans="1:35" s="8" customFormat="1" x14ac:dyDescent="0.55000000000000004">
      <c r="A98" s="3">
        <v>96</v>
      </c>
      <c r="B98" s="3">
        <v>1</v>
      </c>
      <c r="C98" s="3" t="str">
        <f>VLOOKUP(B98,Eras!$A$3:$B$999,2,0)</f>
        <v>Classic</v>
      </c>
      <c r="D98" s="3">
        <v>1</v>
      </c>
      <c r="E98" s="3" t="str">
        <f>VLOOKUP(D98,EpisodeFormats!$A$3:$B$999,2,0)</f>
        <v>Series</v>
      </c>
      <c r="F98" s="3">
        <v>1</v>
      </c>
      <c r="G98" s="3" t="str">
        <f>VLOOKUP(F98,Doctors!$A$3:$B$999,2,0)</f>
        <v>William Hartnell</v>
      </c>
      <c r="H98" s="3">
        <v>3</v>
      </c>
      <c r="I98" s="3">
        <v>1</v>
      </c>
      <c r="J98" s="3" t="str">
        <f>VLOOKUP(I98,SeasonFormats!$A$3:$B$999,2,0)</f>
        <v>Season</v>
      </c>
      <c r="K98" s="3">
        <v>21</v>
      </c>
      <c r="L98" s="3">
        <v>4</v>
      </c>
      <c r="M98" s="3" t="s">
        <v>314</v>
      </c>
      <c r="N98" s="3">
        <v>6</v>
      </c>
      <c r="O98" s="3" t="s">
        <v>337</v>
      </c>
      <c r="P98" s="3">
        <v>15</v>
      </c>
      <c r="Q98" s="7" t="d">
        <v>1965-12-18</v>
      </c>
      <c r="R98" s="3">
        <v>-25</v>
      </c>
      <c r="S98" s="3">
        <v>1</v>
      </c>
      <c r="T98" s="4" t="s">
        <v>1162</v>
      </c>
      <c r="U98" s="3" t="str" cm="1">
        <f t="array" ref="U98">_xlfn.TEXTJOIN(",",TRUE,_xlfn.XLOOKUP(_xlfn.FILTERXML("&lt;t&gt;&lt;s&gt;" &amp; SUBSTITUTE(T98,",","&lt;/s&gt;&lt;s&gt;") &amp; "&lt;/s&gt;&lt;/t&gt;", "//s"),Writers!$A$3:$A$999,Writers!$B$3:$B$999,""))</f>
        <v>Dennis Spooner</v>
      </c>
      <c r="V98" s="3"/>
      <c r="W98" s="3" t="str">
        <f>IF(V98="","",_xlfn.XLOOKUP(V98,Writers!$A$3:$A$999,Writers!$B$3:$B$999,""))</f>
        <v/>
      </c>
      <c r="X98" s="3">
        <v>9.1</v>
      </c>
      <c r="Y98" s="3"/>
      <c r="Z98" s="3"/>
      <c r="AA98" s="3">
        <f t="shared" si="3"/>
        <v>11.44</v>
      </c>
      <c r="AB98" s="3" t="str">
        <f t="shared" si="4"/>
        <v/>
      </c>
      <c r="AC98" s="3" t="str">
        <f t="shared" si="5"/>
        <v/>
      </c>
      <c r="AD98" s="3">
        <f>VLOOKUP(YEAR(Q98),Populations!$A$3:$B$999,2,0)</f>
        <v>54349500</v>
      </c>
      <c r="AE98" s="3">
        <f>(Calculations!B1/AD98)</f>
        <v>1.25677204022116</v>
      </c>
      <c r="AF98" s="3"/>
      <c r="AG98" s="3">
        <v>1</v>
      </c>
      <c r="AH98" s="3" t="str">
        <f>VLOOKUP(AG98,WikiFormats!$A$3:$B$999,2,0)</f>
        <v>Story</v>
      </c>
      <c r="AI98" s="3" t="s">
        <v>597</v>
      </c>
    </row>
    <row r="99" spans="1:35" s="8" customFormat="1" x14ac:dyDescent="0.55000000000000004">
      <c r="A99" s="3">
        <v>97</v>
      </c>
      <c r="B99" s="3">
        <v>1</v>
      </c>
      <c r="C99" s="3" t="str">
        <f>VLOOKUP(B99,Eras!$A$3:$B$999,2,0)</f>
        <v>Classic</v>
      </c>
      <c r="D99" s="3">
        <v>1</v>
      </c>
      <c r="E99" s="3" t="str">
        <f>VLOOKUP(D99,EpisodeFormats!$A$3:$B$999,2,0)</f>
        <v>Series</v>
      </c>
      <c r="F99" s="3">
        <v>1</v>
      </c>
      <c r="G99" s="3" t="str">
        <f>VLOOKUP(F99,Doctors!$A$3:$B$999,2,0)</f>
        <v>William Hartnell</v>
      </c>
      <c r="H99" s="3">
        <v>3</v>
      </c>
      <c r="I99" s="3">
        <v>1</v>
      </c>
      <c r="J99" s="3" t="str">
        <f>VLOOKUP(I99,SeasonFormats!$A$3:$B$999,2,0)</f>
        <v>Season</v>
      </c>
      <c r="K99" s="3">
        <v>21</v>
      </c>
      <c r="L99" s="3">
        <v>4</v>
      </c>
      <c r="M99" s="3" t="s">
        <v>314</v>
      </c>
      <c r="N99" s="3">
        <v>7</v>
      </c>
      <c r="O99" s="3" t="s">
        <v>338</v>
      </c>
      <c r="P99" s="3">
        <v>16</v>
      </c>
      <c r="Q99" s="7" t="d">
        <v>1965-12-25</v>
      </c>
      <c r="R99" s="3">
        <v>-25</v>
      </c>
      <c r="S99" s="3">
        <v>1</v>
      </c>
      <c r="T99" s="4" t="s">
        <v>1132</v>
      </c>
      <c r="U99" s="3" t="str" cm="1">
        <f t="array" ref="U99">_xlfn.TEXTJOIN(",",TRUE,_xlfn.XLOOKUP(_xlfn.FILTERXML("&lt;t&gt;&lt;s&gt;" &amp; SUBSTITUTE(T99,",","&lt;/s&gt;&lt;s&gt;") &amp; "&lt;/s&gt;&lt;/t&gt;", "//s"),Writers!$A$3:$A$999,Writers!$B$3:$B$999,""))</f>
        <v>Terry Nation</v>
      </c>
      <c r="V99" s="3"/>
      <c r="W99" s="3" t="str">
        <f>IF(V99="","",_xlfn.XLOOKUP(V99,Writers!$A$3:$A$999,Writers!$B$3:$B$999,""))</f>
        <v/>
      </c>
      <c r="X99" s="3">
        <v>7.9</v>
      </c>
      <c r="Y99" s="3"/>
      <c r="Z99" s="3"/>
      <c r="AA99" s="3">
        <f t="shared" si="3"/>
        <v>9.93</v>
      </c>
      <c r="AB99" s="3" t="str">
        <f t="shared" si="4"/>
        <v/>
      </c>
      <c r="AC99" s="3" t="str">
        <f t="shared" si="5"/>
        <v/>
      </c>
      <c r="AD99" s="3">
        <f>VLOOKUP(YEAR(Q99),Populations!$A$3:$B$999,2,0)</f>
        <v>54349500</v>
      </c>
      <c r="AE99" s="3">
        <f>(Calculations!B1/AD99)</f>
        <v>1.25677204022116</v>
      </c>
      <c r="AF99" s="3"/>
      <c r="AG99" s="3">
        <v>1</v>
      </c>
      <c r="AH99" s="3" t="str">
        <f>VLOOKUP(AG99,WikiFormats!$A$3:$B$999,2,0)</f>
        <v>Story</v>
      </c>
      <c r="AI99" s="3" t="s">
        <v>597</v>
      </c>
    </row>
    <row r="100" spans="1:35" s="8" customFormat="1" x14ac:dyDescent="0.55000000000000004">
      <c r="A100" s="3">
        <v>98</v>
      </c>
      <c r="B100" s="3">
        <v>1</v>
      </c>
      <c r="C100" s="3" t="str">
        <f>VLOOKUP(B100,Eras!$A$3:$B$999,2,0)</f>
        <v>Classic</v>
      </c>
      <c r="D100" s="3">
        <v>1</v>
      </c>
      <c r="E100" s="3" t="str">
        <f>VLOOKUP(D100,EpisodeFormats!$A$3:$B$999,2,0)</f>
        <v>Series</v>
      </c>
      <c r="F100" s="3">
        <v>1</v>
      </c>
      <c r="G100" s="3" t="str">
        <f>VLOOKUP(F100,Doctors!$A$3:$B$999,2,0)</f>
        <v>William Hartnell</v>
      </c>
      <c r="H100" s="3">
        <v>3</v>
      </c>
      <c r="I100" s="3">
        <v>1</v>
      </c>
      <c r="J100" s="3" t="str">
        <f>VLOOKUP(I100,SeasonFormats!$A$3:$B$999,2,0)</f>
        <v>Season</v>
      </c>
      <c r="K100" s="3">
        <v>21</v>
      </c>
      <c r="L100" s="3">
        <v>4</v>
      </c>
      <c r="M100" s="3" t="s">
        <v>314</v>
      </c>
      <c r="N100" s="3">
        <v>8</v>
      </c>
      <c r="O100" s="3" t="s">
        <v>339</v>
      </c>
      <c r="P100" s="3">
        <v>17</v>
      </c>
      <c r="Q100" s="7" t="d">
        <v>1966-01-01</v>
      </c>
      <c r="R100" s="3">
        <v>-25</v>
      </c>
      <c r="S100" s="3">
        <v>1</v>
      </c>
      <c r="T100" s="4" t="s">
        <v>1162</v>
      </c>
      <c r="U100" s="3" t="str" cm="1">
        <f t="array" ref="U100">_xlfn.TEXTJOIN(",",TRUE,_xlfn.XLOOKUP(_xlfn.FILTERXML("&lt;t&gt;&lt;s&gt;" &amp; SUBSTITUTE(T100,",","&lt;/s&gt;&lt;s&gt;") &amp; "&lt;/s&gt;&lt;/t&gt;", "//s"),Writers!$A$3:$A$999,Writers!$B$3:$B$999,""))</f>
        <v>Dennis Spooner</v>
      </c>
      <c r="V100" s="3"/>
      <c r="W100" s="3" t="str">
        <f>IF(V100="","",_xlfn.XLOOKUP(V100,Writers!$A$3:$A$999,Writers!$B$3:$B$999,""))</f>
        <v/>
      </c>
      <c r="X100" s="3">
        <v>9.6</v>
      </c>
      <c r="Y100" s="3"/>
      <c r="Z100" s="3"/>
      <c r="AA100" s="3">
        <f t="shared" si="3"/>
        <v>12</v>
      </c>
      <c r="AB100" s="3" t="str">
        <f t="shared" si="4"/>
        <v/>
      </c>
      <c r="AC100" s="3" t="str">
        <f t="shared" si="5"/>
        <v/>
      </c>
      <c r="AD100" s="3">
        <f>VLOOKUP(YEAR(Q100),Populations!$A$3:$B$999,2,0)</f>
        <v>54642700</v>
      </c>
      <c r="AE100" s="3">
        <f>(Calculations!B1/AD100)</f>
        <v>1.2500284941995901</v>
      </c>
      <c r="AF100" s="3"/>
      <c r="AG100" s="3">
        <v>1</v>
      </c>
      <c r="AH100" s="3" t="str">
        <f>VLOOKUP(AG100,WikiFormats!$A$3:$B$999,2,0)</f>
        <v>Story</v>
      </c>
      <c r="AI100" s="3" t="s">
        <v>597</v>
      </c>
    </row>
    <row r="101" spans="1:35" s="8" customFormat="1" x14ac:dyDescent="0.55000000000000004">
      <c r="A101" s="3">
        <v>99</v>
      </c>
      <c r="B101" s="3">
        <v>1</v>
      </c>
      <c r="C101" s="3" t="str">
        <f>VLOOKUP(B101,Eras!$A$3:$B$999,2,0)</f>
        <v>Classic</v>
      </c>
      <c r="D101" s="3">
        <v>1</v>
      </c>
      <c r="E101" s="3" t="str">
        <f>VLOOKUP(D101,EpisodeFormats!$A$3:$B$999,2,0)</f>
        <v>Series</v>
      </c>
      <c r="F101" s="3">
        <v>1</v>
      </c>
      <c r="G101" s="3" t="str">
        <f>VLOOKUP(F101,Doctors!$A$3:$B$999,2,0)</f>
        <v>William Hartnell</v>
      </c>
      <c r="H101" s="3">
        <v>3</v>
      </c>
      <c r="I101" s="3">
        <v>1</v>
      </c>
      <c r="J101" s="3" t="str">
        <f>VLOOKUP(I101,SeasonFormats!$A$3:$B$999,2,0)</f>
        <v>Season</v>
      </c>
      <c r="K101" s="3">
        <v>21</v>
      </c>
      <c r="L101" s="3">
        <v>4</v>
      </c>
      <c r="M101" s="3" t="s">
        <v>314</v>
      </c>
      <c r="N101" s="3">
        <v>9</v>
      </c>
      <c r="O101" s="3" t="s">
        <v>340</v>
      </c>
      <c r="P101" s="3">
        <v>18</v>
      </c>
      <c r="Q101" s="7" t="d">
        <v>1966-01-08</v>
      </c>
      <c r="R101" s="3">
        <v>-25</v>
      </c>
      <c r="S101" s="3">
        <v>1</v>
      </c>
      <c r="T101" s="4" t="s">
        <v>1162</v>
      </c>
      <c r="U101" s="3" t="str" cm="1">
        <f t="array" ref="U101">_xlfn.TEXTJOIN(",",TRUE,_xlfn.XLOOKUP(_xlfn.FILTERXML("&lt;t&gt;&lt;s&gt;" &amp; SUBSTITUTE(T101,",","&lt;/s&gt;&lt;s&gt;") &amp; "&lt;/s&gt;&lt;/t&gt;", "//s"),Writers!$A$3:$A$999,Writers!$B$3:$B$999,""))</f>
        <v>Dennis Spooner</v>
      </c>
      <c r="V101" s="3"/>
      <c r="W101" s="3" t="str">
        <f>IF(V101="","",_xlfn.XLOOKUP(V101,Writers!$A$3:$A$999,Writers!$B$3:$B$999,""))</f>
        <v/>
      </c>
      <c r="X101" s="3">
        <v>9.1999999999999993</v>
      </c>
      <c r="Y101" s="3"/>
      <c r="Z101" s="3"/>
      <c r="AA101" s="3">
        <f t="shared" si="3"/>
        <v>11.5</v>
      </c>
      <c r="AB101" s="3" t="str">
        <f t="shared" si="4"/>
        <v/>
      </c>
      <c r="AC101" s="3" t="str">
        <f t="shared" si="5"/>
        <v/>
      </c>
      <c r="AD101" s="3">
        <f>VLOOKUP(YEAR(Q101),Populations!$A$3:$B$999,2,0)</f>
        <v>54642700</v>
      </c>
      <c r="AE101" s="3">
        <f>(Calculations!B1/AD101)</f>
        <v>1.2500284941995901</v>
      </c>
      <c r="AF101" s="3"/>
      <c r="AG101" s="3">
        <v>1</v>
      </c>
      <c r="AH101" s="3" t="str">
        <f>VLOOKUP(AG101,WikiFormats!$A$3:$B$999,2,0)</f>
        <v>Story</v>
      </c>
      <c r="AI101" s="3" t="s">
        <v>597</v>
      </c>
    </row>
    <row r="102" spans="1:35" s="8" customFormat="1" x14ac:dyDescent="0.55000000000000004">
      <c r="A102" s="3">
        <v>100</v>
      </c>
      <c r="B102" s="3">
        <v>1</v>
      </c>
      <c r="C102" s="3" t="str">
        <f>VLOOKUP(B102,Eras!$A$3:$B$999,2,0)</f>
        <v>Classic</v>
      </c>
      <c r="D102" s="3">
        <v>1</v>
      </c>
      <c r="E102" s="3" t="str">
        <f>VLOOKUP(D102,EpisodeFormats!$A$3:$B$999,2,0)</f>
        <v>Series</v>
      </c>
      <c r="F102" s="3">
        <v>1</v>
      </c>
      <c r="G102" s="3" t="str">
        <f>VLOOKUP(F102,Doctors!$A$3:$B$999,2,0)</f>
        <v>William Hartnell</v>
      </c>
      <c r="H102" s="3">
        <v>3</v>
      </c>
      <c r="I102" s="3">
        <v>1</v>
      </c>
      <c r="J102" s="3" t="str">
        <f>VLOOKUP(I102,SeasonFormats!$A$3:$B$999,2,0)</f>
        <v>Season</v>
      </c>
      <c r="K102" s="3">
        <v>21</v>
      </c>
      <c r="L102" s="3">
        <v>4</v>
      </c>
      <c r="M102" s="3" t="s">
        <v>314</v>
      </c>
      <c r="N102" s="3">
        <v>10</v>
      </c>
      <c r="O102" s="3" t="s">
        <v>341</v>
      </c>
      <c r="P102" s="3">
        <v>19</v>
      </c>
      <c r="Q102" s="7" t="d">
        <v>1966-01-15</v>
      </c>
      <c r="R102" s="3">
        <v>24</v>
      </c>
      <c r="S102" s="3"/>
      <c r="T102" s="4" t="s">
        <v>1162</v>
      </c>
      <c r="U102" s="3" t="str" cm="1">
        <f t="array" ref="U102">_xlfn.TEXTJOIN(",",TRUE,_xlfn.XLOOKUP(_xlfn.FILTERXML("&lt;t&gt;&lt;s&gt;" &amp; SUBSTITUTE(T102,",","&lt;/s&gt;&lt;s&gt;") &amp; "&lt;/s&gt;&lt;/t&gt;", "//s"),Writers!$A$3:$A$999,Writers!$B$3:$B$999,""))</f>
        <v>Dennis Spooner</v>
      </c>
      <c r="V102" s="3"/>
      <c r="W102" s="3" t="str">
        <f>IF(V102="","",_xlfn.XLOOKUP(V102,Writers!$A$3:$A$999,Writers!$B$3:$B$999,""))</f>
        <v/>
      </c>
      <c r="X102" s="3">
        <v>9.5</v>
      </c>
      <c r="Y102" s="3"/>
      <c r="Z102" s="3"/>
      <c r="AA102" s="3">
        <f t="shared" si="3"/>
        <v>11.88</v>
      </c>
      <c r="AB102" s="3" t="str">
        <f t="shared" si="4"/>
        <v/>
      </c>
      <c r="AC102" s="3" t="str">
        <f t="shared" si="5"/>
        <v/>
      </c>
      <c r="AD102" s="3">
        <f>VLOOKUP(YEAR(Q102),Populations!$A$3:$B$999,2,0)</f>
        <v>54642700</v>
      </c>
      <c r="AE102" s="3">
        <f>(Calculations!B1/AD102)</f>
        <v>1.2500284941995901</v>
      </c>
      <c r="AF102" s="3"/>
      <c r="AG102" s="3">
        <v>1</v>
      </c>
      <c r="AH102" s="3" t="str">
        <f>VLOOKUP(AG102,WikiFormats!$A$3:$B$999,2,0)</f>
        <v>Story</v>
      </c>
      <c r="AI102" s="3" t="s">
        <v>597</v>
      </c>
    </row>
    <row r="103" spans="1:35" s="8" customFormat="1" x14ac:dyDescent="0.55000000000000004">
      <c r="A103" s="3">
        <v>101</v>
      </c>
      <c r="B103" s="3">
        <v>1</v>
      </c>
      <c r="C103" s="3" t="str">
        <f>VLOOKUP(B103,Eras!$A$3:$B$999,2,0)</f>
        <v>Classic</v>
      </c>
      <c r="D103" s="3">
        <v>1</v>
      </c>
      <c r="E103" s="3" t="str">
        <f>VLOOKUP(D103,EpisodeFormats!$A$3:$B$999,2,0)</f>
        <v>Series</v>
      </c>
      <c r="F103" s="3">
        <v>1</v>
      </c>
      <c r="G103" s="3" t="str">
        <f>VLOOKUP(F103,Doctors!$A$3:$B$999,2,0)</f>
        <v>William Hartnell</v>
      </c>
      <c r="H103" s="3">
        <v>3</v>
      </c>
      <c r="I103" s="3">
        <v>1</v>
      </c>
      <c r="J103" s="3" t="str">
        <f>VLOOKUP(I103,SeasonFormats!$A$3:$B$999,2,0)</f>
        <v>Season</v>
      </c>
      <c r="K103" s="3">
        <v>21</v>
      </c>
      <c r="L103" s="3">
        <v>4</v>
      </c>
      <c r="M103" s="3" t="s">
        <v>314</v>
      </c>
      <c r="N103" s="3">
        <v>11</v>
      </c>
      <c r="O103" s="3" t="s">
        <v>342</v>
      </c>
      <c r="P103" s="3">
        <v>20</v>
      </c>
      <c r="Q103" s="7" t="d">
        <v>1966-01-22</v>
      </c>
      <c r="R103" s="3">
        <v>-25</v>
      </c>
      <c r="S103" s="3">
        <v>1</v>
      </c>
      <c r="T103" s="4" t="s">
        <v>1162</v>
      </c>
      <c r="U103" s="3" t="str" cm="1">
        <f t="array" ref="U103">_xlfn.TEXTJOIN(",",TRUE,_xlfn.XLOOKUP(_xlfn.FILTERXML("&lt;t&gt;&lt;s&gt;" &amp; SUBSTITUTE(T103,",","&lt;/s&gt;&lt;s&gt;") &amp; "&lt;/s&gt;&lt;/t&gt;", "//s"),Writers!$A$3:$A$999,Writers!$B$3:$B$999,""))</f>
        <v>Dennis Spooner</v>
      </c>
      <c r="V103" s="3"/>
      <c r="W103" s="3" t="str">
        <f>IF(V103="","",_xlfn.XLOOKUP(V103,Writers!$A$3:$A$999,Writers!$B$3:$B$999,""))</f>
        <v/>
      </c>
      <c r="X103" s="3">
        <v>9.8000000000000007</v>
      </c>
      <c r="Y103" s="3"/>
      <c r="Z103" s="3"/>
      <c r="AA103" s="3">
        <f t="shared" si="3"/>
        <v>12.25</v>
      </c>
      <c r="AB103" s="3" t="str">
        <f t="shared" si="4"/>
        <v/>
      </c>
      <c r="AC103" s="3" t="str">
        <f t="shared" si="5"/>
        <v/>
      </c>
      <c r="AD103" s="3">
        <f>VLOOKUP(YEAR(Q103),Populations!$A$3:$B$999,2,0)</f>
        <v>54642700</v>
      </c>
      <c r="AE103" s="3">
        <f>(Calculations!B1/AD103)</f>
        <v>1.2500284941995901</v>
      </c>
      <c r="AF103" s="3"/>
      <c r="AG103" s="3">
        <v>1</v>
      </c>
      <c r="AH103" s="3" t="str">
        <f>VLOOKUP(AG103,WikiFormats!$A$3:$B$999,2,0)</f>
        <v>Story</v>
      </c>
      <c r="AI103" s="3" t="s">
        <v>597</v>
      </c>
    </row>
    <row r="104" spans="1:35" s="8" customFormat="1" x14ac:dyDescent="0.55000000000000004">
      <c r="A104" s="3">
        <v>102</v>
      </c>
      <c r="B104" s="3">
        <v>1</v>
      </c>
      <c r="C104" s="3" t="str">
        <f>VLOOKUP(B104,Eras!$A$3:$B$999,2,0)</f>
        <v>Classic</v>
      </c>
      <c r="D104" s="3">
        <v>1</v>
      </c>
      <c r="E104" s="3" t="str">
        <f>VLOOKUP(D104,EpisodeFormats!$A$3:$B$999,2,0)</f>
        <v>Series</v>
      </c>
      <c r="F104" s="3">
        <v>1</v>
      </c>
      <c r="G104" s="3" t="str">
        <f>VLOOKUP(F104,Doctors!$A$3:$B$999,2,0)</f>
        <v>William Hartnell</v>
      </c>
      <c r="H104" s="3">
        <v>3</v>
      </c>
      <c r="I104" s="3">
        <v>1</v>
      </c>
      <c r="J104" s="3" t="str">
        <f>VLOOKUP(I104,SeasonFormats!$A$3:$B$999,2,0)</f>
        <v>Season</v>
      </c>
      <c r="K104" s="3">
        <v>21</v>
      </c>
      <c r="L104" s="3">
        <v>4</v>
      </c>
      <c r="M104" s="3" t="s">
        <v>314</v>
      </c>
      <c r="N104" s="3">
        <v>12</v>
      </c>
      <c r="O104" s="3" t="s">
        <v>343</v>
      </c>
      <c r="P104" s="3">
        <v>21</v>
      </c>
      <c r="Q104" s="7" t="d">
        <v>1966-01-29</v>
      </c>
      <c r="R104" s="3">
        <v>-25</v>
      </c>
      <c r="S104" s="3">
        <v>1</v>
      </c>
      <c r="T104" s="4" t="s">
        <v>1162</v>
      </c>
      <c r="U104" s="3" t="str" cm="1">
        <f t="array" ref="U104">_xlfn.TEXTJOIN(",",TRUE,_xlfn.XLOOKUP(_xlfn.FILTERXML("&lt;t&gt;&lt;s&gt;" &amp; SUBSTITUTE(T104,",","&lt;/s&gt;&lt;s&gt;") &amp; "&lt;/s&gt;&lt;/t&gt;", "//s"),Writers!$A$3:$A$999,Writers!$B$3:$B$999,""))</f>
        <v>Dennis Spooner</v>
      </c>
      <c r="V104" s="3"/>
      <c r="W104" s="3" t="str">
        <f>IF(V104="","",_xlfn.XLOOKUP(V104,Writers!$A$3:$A$999,Writers!$B$3:$B$999,""))</f>
        <v/>
      </c>
      <c r="X104" s="3">
        <v>8.6</v>
      </c>
      <c r="Y104" s="3"/>
      <c r="Z104" s="3"/>
      <c r="AA104" s="3">
        <f t="shared" si="3"/>
        <v>10.75</v>
      </c>
      <c r="AB104" s="3" t="str">
        <f t="shared" si="4"/>
        <v/>
      </c>
      <c r="AC104" s="3" t="str">
        <f t="shared" si="5"/>
        <v/>
      </c>
      <c r="AD104" s="3">
        <f>VLOOKUP(YEAR(Q104),Populations!$A$3:$B$999,2,0)</f>
        <v>54642700</v>
      </c>
      <c r="AE104" s="3">
        <f>(Calculations!B1/AD104)</f>
        <v>1.2500284941995901</v>
      </c>
      <c r="AF104" s="3"/>
      <c r="AG104" s="3">
        <v>1</v>
      </c>
      <c r="AH104" s="3" t="str">
        <f>VLOOKUP(AG104,WikiFormats!$A$3:$B$999,2,0)</f>
        <v>Story</v>
      </c>
      <c r="AI104" s="3" t="s">
        <v>597</v>
      </c>
    </row>
    <row r="105" spans="1:35" s="2" customFormat="1" x14ac:dyDescent="0.55000000000000004">
      <c r="A105">
        <v>103</v>
      </c>
      <c r="B105">
        <v>1</v>
      </c>
      <c r="C105" t="str">
        <f>VLOOKUP(B105,Eras!$A$3:$B$999,2,0)</f>
        <v>Classic</v>
      </c>
      <c r="D105">
        <v>1</v>
      </c>
      <c r="E105" t="str">
        <f>VLOOKUP(D105,EpisodeFormats!$A$3:$B$999,2,0)</f>
        <v>Series</v>
      </c>
      <c r="F105">
        <v>1</v>
      </c>
      <c r="G105" t="str">
        <f>VLOOKUP(F105,Doctors!$A$3:$B$999,2,0)</f>
        <v>William Hartnell</v>
      </c>
      <c r="H105">
        <v>3</v>
      </c>
      <c r="I105">
        <v>1</v>
      </c>
      <c r="J105" t="str">
        <f>VLOOKUP(I105,SeasonFormats!$A$3:$B$999,2,0)</f>
        <v>Season</v>
      </c>
      <c r="K105">
        <v>22</v>
      </c>
      <c r="L105">
        <v>5</v>
      </c>
      <c r="M105" t="s">
        <v>315</v>
      </c>
      <c r="N105">
        <v>1</v>
      </c>
      <c r="O105" t="s">
        <v>344</v>
      </c>
      <c r="P105">
        <v>22</v>
      </c>
      <c r="Q105" s="6" t="d">
        <v>1966-02-05</v>
      </c>
      <c r="R105">
        <v>-25</v>
      </c>
      <c r="S105">
        <v>1</v>
      </c>
      <c r="T105" s="15" t="s">
        <v>1137</v>
      </c>
      <c r="U105" t="str" cm="1">
        <f t="array" ref="U105">_xlfn.TEXTJOIN(",",TRUE,_xlfn.XLOOKUP(_xlfn.FILTERXML("&lt;t&gt;&lt;s&gt;" &amp; SUBSTITUTE(T105,",","&lt;/s&gt;&lt;s&gt;") &amp; "&lt;/s&gt;&lt;/t&gt;", "//s"),Writers!$A$3:$A$999,Writers!$B$3:$B$999,""))</f>
        <v>John Lucarotti</v>
      </c>
      <c r="V105"/>
      <c r="W105" t="str">
        <f>IF(V105="","",_xlfn.XLOOKUP(V105,Writers!$A$3:$A$999,Writers!$B$3:$B$999,""))</f>
        <v/>
      </c>
      <c r="X105">
        <v>8</v>
      </c>
      <c r="Y105"/>
      <c r="Z105"/>
      <c r="AA105">
        <f t="shared" si="3"/>
        <v>10</v>
      </c>
      <c r="AB105" t="str">
        <f t="shared" si="4"/>
        <v/>
      </c>
      <c r="AC105" t="str">
        <f t="shared" si="5"/>
        <v/>
      </c>
      <c r="AD105">
        <f>VLOOKUP(YEAR(Q105),Populations!$A$3:$B$999,2,0)</f>
        <v>54642700</v>
      </c>
      <c r="AE105">
        <f>(Calculations!B1/AD105)</f>
        <v>1.2500284941995901</v>
      </c>
      <c r="AF105"/>
      <c r="AG105">
        <v>1</v>
      </c>
      <c r="AH105" t="str">
        <f>VLOOKUP(AG105,WikiFormats!$A$3:$B$999,2,0)</f>
        <v>Story</v>
      </c>
      <c r="AI105" t="s">
        <v>598</v>
      </c>
    </row>
    <row r="106" spans="1:35" s="2" customFormat="1" x14ac:dyDescent="0.55000000000000004">
      <c r="A106">
        <v>104</v>
      </c>
      <c r="B106">
        <v>1</v>
      </c>
      <c r="C106" t="str">
        <f>VLOOKUP(B106,Eras!$A$3:$B$999,2,0)</f>
        <v>Classic</v>
      </c>
      <c r="D106">
        <v>1</v>
      </c>
      <c r="E106" t="str">
        <f>VLOOKUP(D106,EpisodeFormats!$A$3:$B$999,2,0)</f>
        <v>Series</v>
      </c>
      <c r="F106">
        <v>1</v>
      </c>
      <c r="G106" t="str">
        <f>VLOOKUP(F106,Doctors!$A$3:$B$999,2,0)</f>
        <v>William Hartnell</v>
      </c>
      <c r="H106">
        <v>3</v>
      </c>
      <c r="I106">
        <v>1</v>
      </c>
      <c r="J106" t="str">
        <f>VLOOKUP(I106,SeasonFormats!$A$3:$B$999,2,0)</f>
        <v>Season</v>
      </c>
      <c r="K106">
        <v>22</v>
      </c>
      <c r="L106">
        <v>5</v>
      </c>
      <c r="M106" t="s">
        <v>315</v>
      </c>
      <c r="N106">
        <v>2</v>
      </c>
      <c r="O106" t="s">
        <v>345</v>
      </c>
      <c r="P106">
        <v>23</v>
      </c>
      <c r="Q106" s="6" t="d">
        <v>1966-02-12</v>
      </c>
      <c r="R106">
        <v>-25</v>
      </c>
      <c r="S106">
        <v>1</v>
      </c>
      <c r="T106" s="15" t="s">
        <v>1137</v>
      </c>
      <c r="U106" t="str" cm="1">
        <f t="array" ref="U106">_xlfn.TEXTJOIN(",",TRUE,_xlfn.XLOOKUP(_xlfn.FILTERXML("&lt;t&gt;&lt;s&gt;" &amp; SUBSTITUTE(T106,",","&lt;/s&gt;&lt;s&gt;") &amp; "&lt;/s&gt;&lt;/t&gt;", "//s"),Writers!$A$3:$A$999,Writers!$B$3:$B$999,""))</f>
        <v>John Lucarotti</v>
      </c>
      <c r="V106"/>
      <c r="W106" t="str">
        <f>IF(V106="","",_xlfn.XLOOKUP(V106,Writers!$A$3:$A$999,Writers!$B$3:$B$999,""))</f>
        <v/>
      </c>
      <c r="X106">
        <v>6</v>
      </c>
      <c r="Y106"/>
      <c r="Z106"/>
      <c r="AA106">
        <f t="shared" si="3"/>
        <v>7.5</v>
      </c>
      <c r="AB106" t="str">
        <f t="shared" si="4"/>
        <v/>
      </c>
      <c r="AC106" t="str">
        <f t="shared" si="5"/>
        <v/>
      </c>
      <c r="AD106">
        <f>VLOOKUP(YEAR(Q106),Populations!$A$3:$B$999,2,0)</f>
        <v>54642700</v>
      </c>
      <c r="AE106">
        <f>(Calculations!B1/AD106)</f>
        <v>1.2500284941995901</v>
      </c>
      <c r="AF106"/>
      <c r="AG106">
        <v>1</v>
      </c>
      <c r="AH106" t="str">
        <f>VLOOKUP(AG106,WikiFormats!$A$3:$B$999,2,0)</f>
        <v>Story</v>
      </c>
      <c r="AI106" t="s">
        <v>598</v>
      </c>
    </row>
    <row r="107" spans="1:35" s="2" customFormat="1" x14ac:dyDescent="0.55000000000000004">
      <c r="A107">
        <v>105</v>
      </c>
      <c r="B107">
        <v>1</v>
      </c>
      <c r="C107" t="str">
        <f>VLOOKUP(B107,Eras!$A$3:$B$999,2,0)</f>
        <v>Classic</v>
      </c>
      <c r="D107">
        <v>1</v>
      </c>
      <c r="E107" t="str">
        <f>VLOOKUP(D107,EpisodeFormats!$A$3:$B$999,2,0)</f>
        <v>Series</v>
      </c>
      <c r="F107">
        <v>1</v>
      </c>
      <c r="G107" t="str">
        <f>VLOOKUP(F107,Doctors!$A$3:$B$999,2,0)</f>
        <v>William Hartnell</v>
      </c>
      <c r="H107">
        <v>3</v>
      </c>
      <c r="I107">
        <v>1</v>
      </c>
      <c r="J107" t="str">
        <f>VLOOKUP(I107,SeasonFormats!$A$3:$B$999,2,0)</f>
        <v>Season</v>
      </c>
      <c r="K107">
        <v>22</v>
      </c>
      <c r="L107">
        <v>5</v>
      </c>
      <c r="M107" t="s">
        <v>315</v>
      </c>
      <c r="N107">
        <v>3</v>
      </c>
      <c r="O107" t="s">
        <v>346</v>
      </c>
      <c r="P107">
        <v>24</v>
      </c>
      <c r="Q107" s="6" t="d">
        <v>1966-02-19</v>
      </c>
      <c r="R107">
        <v>-25</v>
      </c>
      <c r="S107">
        <v>1</v>
      </c>
      <c r="T107" s="15" t="s">
        <v>1137</v>
      </c>
      <c r="U107" t="str" cm="1">
        <f t="array" ref="U107">_xlfn.TEXTJOIN(",",TRUE,_xlfn.XLOOKUP(_xlfn.FILTERXML("&lt;t&gt;&lt;s&gt;" &amp; SUBSTITUTE(T107,",","&lt;/s&gt;&lt;s&gt;") &amp; "&lt;/s&gt;&lt;/t&gt;", "//s"),Writers!$A$3:$A$999,Writers!$B$3:$B$999,""))</f>
        <v>John Lucarotti</v>
      </c>
      <c r="V107"/>
      <c r="W107" t="str">
        <f>IF(V107="","",_xlfn.XLOOKUP(V107,Writers!$A$3:$A$999,Writers!$B$3:$B$999,""))</f>
        <v/>
      </c>
      <c r="X107">
        <v>5.9</v>
      </c>
      <c r="Y107"/>
      <c r="Z107"/>
      <c r="AA107">
        <f t="shared" si="3"/>
        <v>7.38</v>
      </c>
      <c r="AB107" t="str">
        <f t="shared" si="4"/>
        <v/>
      </c>
      <c r="AC107" t="str">
        <f t="shared" si="5"/>
        <v/>
      </c>
      <c r="AD107">
        <f>VLOOKUP(YEAR(Q107),Populations!$A$3:$B$999,2,0)</f>
        <v>54642700</v>
      </c>
      <c r="AE107">
        <f>(Calculations!B1/AD107)</f>
        <v>1.2500284941995901</v>
      </c>
      <c r="AF107"/>
      <c r="AG107">
        <v>1</v>
      </c>
      <c r="AH107" t="str">
        <f>VLOOKUP(AG107,WikiFormats!$A$3:$B$999,2,0)</f>
        <v>Story</v>
      </c>
      <c r="AI107" t="s">
        <v>598</v>
      </c>
    </row>
    <row r="108" spans="1:35" s="2" customFormat="1" x14ac:dyDescent="0.55000000000000004">
      <c r="A108">
        <v>106</v>
      </c>
      <c r="B108">
        <v>1</v>
      </c>
      <c r="C108" t="str">
        <f>VLOOKUP(B108,Eras!$A$3:$B$999,2,0)</f>
        <v>Classic</v>
      </c>
      <c r="D108">
        <v>1</v>
      </c>
      <c r="E108" t="str">
        <f>VLOOKUP(D108,EpisodeFormats!$A$3:$B$999,2,0)</f>
        <v>Series</v>
      </c>
      <c r="F108">
        <v>1</v>
      </c>
      <c r="G108" t="str">
        <f>VLOOKUP(F108,Doctors!$A$3:$B$999,2,0)</f>
        <v>William Hartnell</v>
      </c>
      <c r="H108">
        <v>3</v>
      </c>
      <c r="I108">
        <v>1</v>
      </c>
      <c r="J108" t="str">
        <f>VLOOKUP(I108,SeasonFormats!$A$3:$B$999,2,0)</f>
        <v>Season</v>
      </c>
      <c r="K108">
        <v>22</v>
      </c>
      <c r="L108">
        <v>5</v>
      </c>
      <c r="M108" t="s">
        <v>315</v>
      </c>
      <c r="N108">
        <v>4</v>
      </c>
      <c r="O108" t="s">
        <v>347</v>
      </c>
      <c r="P108">
        <v>25</v>
      </c>
      <c r="Q108" s="6" t="d">
        <v>1966-02-26</v>
      </c>
      <c r="R108">
        <v>-25</v>
      </c>
      <c r="S108">
        <v>1</v>
      </c>
      <c r="T108" s="15" t="s">
        <v>1150</v>
      </c>
      <c r="U108" t="str" cm="1">
        <f t="array" ref="U108">_xlfn.TEXTJOIN(",",TRUE,_xlfn.XLOOKUP(_xlfn.FILTERXML("&lt;t&gt;&lt;s&gt;" &amp; SUBSTITUTE(T108,",","&lt;/s&gt;&lt;s&gt;") &amp; "&lt;/s&gt;&lt;/t&gt;", "//s"),Writers!$A$3:$A$999,Writers!$B$3:$B$999,""))</f>
        <v>John Lucarotti,Donald Tosh</v>
      </c>
      <c r="V108"/>
      <c r="W108" t="str">
        <f>IF(V108="","",_xlfn.XLOOKUP(V108,Writers!$A$3:$A$999,Writers!$B$3:$B$999,""))</f>
        <v/>
      </c>
      <c r="X108">
        <v>5.8</v>
      </c>
      <c r="Y108"/>
      <c r="Z108"/>
      <c r="AA108">
        <f t="shared" si="3"/>
        <v>7.25</v>
      </c>
      <c r="AB108" t="str">
        <f t="shared" si="4"/>
        <v/>
      </c>
      <c r="AC108" t="str">
        <f t="shared" si="5"/>
        <v/>
      </c>
      <c r="AD108">
        <f>VLOOKUP(YEAR(Q108),Populations!$A$3:$B$999,2,0)</f>
        <v>54642700</v>
      </c>
      <c r="AE108">
        <f>(Calculations!B1/AD108)</f>
        <v>1.2500284941995901</v>
      </c>
      <c r="AF108"/>
      <c r="AG108">
        <v>1</v>
      </c>
      <c r="AH108" t="str">
        <f>VLOOKUP(AG108,WikiFormats!$A$3:$B$999,2,0)</f>
        <v>Story</v>
      </c>
      <c r="AI108" t="s">
        <v>598</v>
      </c>
    </row>
    <row r="109" spans="1:35" s="8" customFormat="1" x14ac:dyDescent="0.55000000000000004">
      <c r="A109" s="3">
        <v>107</v>
      </c>
      <c r="B109" s="3">
        <v>1</v>
      </c>
      <c r="C109" s="3" t="str">
        <f>VLOOKUP(B109,Eras!$A$3:$B$999,2,0)</f>
        <v>Classic</v>
      </c>
      <c r="D109" s="3">
        <v>1</v>
      </c>
      <c r="E109" s="3" t="str">
        <f>VLOOKUP(D109,EpisodeFormats!$A$3:$B$999,2,0)</f>
        <v>Series</v>
      </c>
      <c r="F109" s="3">
        <v>1</v>
      </c>
      <c r="G109" s="3" t="str">
        <f>VLOOKUP(F109,Doctors!$A$3:$B$999,2,0)</f>
        <v>William Hartnell</v>
      </c>
      <c r="H109" s="3">
        <v>3</v>
      </c>
      <c r="I109" s="3">
        <v>1</v>
      </c>
      <c r="J109" s="3" t="str">
        <f>VLOOKUP(I109,SeasonFormats!$A$3:$B$999,2,0)</f>
        <v>Season</v>
      </c>
      <c r="K109" s="3">
        <v>23</v>
      </c>
      <c r="L109" s="3">
        <v>6</v>
      </c>
      <c r="M109" s="3" t="s">
        <v>316</v>
      </c>
      <c r="N109" s="3">
        <v>1</v>
      </c>
      <c r="O109" s="3" t="s">
        <v>348</v>
      </c>
      <c r="P109" s="3">
        <v>26</v>
      </c>
      <c r="Q109" s="7" t="d">
        <v>1966-03-05</v>
      </c>
      <c r="R109" s="3">
        <v>-25</v>
      </c>
      <c r="S109" s="3"/>
      <c r="T109" s="4" t="s">
        <v>1167</v>
      </c>
      <c r="U109" s="3" t="str" cm="1">
        <f t="array" ref="U109">_xlfn.TEXTJOIN(",",TRUE,_xlfn.XLOOKUP(_xlfn.FILTERXML("&lt;t&gt;&lt;s&gt;" &amp; SUBSTITUTE(T109,",","&lt;/s&gt;&lt;s&gt;") &amp; "&lt;/s&gt;&lt;/t&gt;", "//s"),Writers!$A$3:$A$999,Writers!$B$3:$B$999,""))</f>
        <v>Paul Erickson,Lesley Scott</v>
      </c>
      <c r="V109" s="3"/>
      <c r="W109" s="3" t="str">
        <f>IF(V109="","",_xlfn.XLOOKUP(V109,Writers!$A$3:$A$999,Writers!$B$3:$B$999,""))</f>
        <v/>
      </c>
      <c r="X109" s="3">
        <v>5.5</v>
      </c>
      <c r="Y109" s="3"/>
      <c r="Z109" s="3"/>
      <c r="AA109" s="3">
        <f t="shared" si="3"/>
        <v>6.88</v>
      </c>
      <c r="AB109" s="3" t="str">
        <f t="shared" si="4"/>
        <v/>
      </c>
      <c r="AC109" s="3" t="str">
        <f t="shared" si="5"/>
        <v/>
      </c>
      <c r="AD109" s="3">
        <f>VLOOKUP(YEAR(Q109),Populations!$A$3:$B$999,2,0)</f>
        <v>54642700</v>
      </c>
      <c r="AE109" s="3">
        <f>(Calculations!B1/AD109)</f>
        <v>1.2500284941995901</v>
      </c>
      <c r="AF109" s="3"/>
      <c r="AG109" s="3">
        <v>1</v>
      </c>
      <c r="AH109" s="3" t="str">
        <f>VLOOKUP(AG109,WikiFormats!$A$3:$B$999,2,0)</f>
        <v>Story</v>
      </c>
      <c r="AI109" s="3" t="s">
        <v>599</v>
      </c>
    </row>
    <row r="110" spans="1:35" s="8" customFormat="1" x14ac:dyDescent="0.55000000000000004">
      <c r="A110" s="3">
        <v>108</v>
      </c>
      <c r="B110" s="3">
        <v>1</v>
      </c>
      <c r="C110" s="3" t="str">
        <f>VLOOKUP(B110,Eras!$A$3:$B$999,2,0)</f>
        <v>Classic</v>
      </c>
      <c r="D110" s="3">
        <v>1</v>
      </c>
      <c r="E110" s="3" t="str">
        <f>VLOOKUP(D110,EpisodeFormats!$A$3:$B$999,2,0)</f>
        <v>Series</v>
      </c>
      <c r="F110" s="3">
        <v>1</v>
      </c>
      <c r="G110" s="3" t="str">
        <f>VLOOKUP(F110,Doctors!$A$3:$B$999,2,0)</f>
        <v>William Hartnell</v>
      </c>
      <c r="H110" s="3">
        <v>3</v>
      </c>
      <c r="I110" s="3">
        <v>1</v>
      </c>
      <c r="J110" s="3" t="str">
        <f>VLOOKUP(I110,SeasonFormats!$A$3:$B$999,2,0)</f>
        <v>Season</v>
      </c>
      <c r="K110" s="3">
        <v>23</v>
      </c>
      <c r="L110" s="3">
        <v>6</v>
      </c>
      <c r="M110" s="3" t="s">
        <v>316</v>
      </c>
      <c r="N110" s="3">
        <v>2</v>
      </c>
      <c r="O110" s="3" t="s">
        <v>349</v>
      </c>
      <c r="P110" s="3">
        <v>27</v>
      </c>
      <c r="Q110" s="7" t="d">
        <v>1966-03-12</v>
      </c>
      <c r="R110" s="3">
        <v>-25</v>
      </c>
      <c r="S110" s="3"/>
      <c r="T110" s="4" t="s">
        <v>1167</v>
      </c>
      <c r="U110" s="3" t="str" cm="1">
        <f t="array" ref="U110">_xlfn.TEXTJOIN(",",TRUE,_xlfn.XLOOKUP(_xlfn.FILTERXML("&lt;t&gt;&lt;s&gt;" &amp; SUBSTITUTE(T110,",","&lt;/s&gt;&lt;s&gt;") &amp; "&lt;/s&gt;&lt;/t&gt;", "//s"),Writers!$A$3:$A$999,Writers!$B$3:$B$999,""))</f>
        <v>Paul Erickson,Lesley Scott</v>
      </c>
      <c r="V110" s="3"/>
      <c r="W110" s="3" t="str">
        <f>IF(V110="","",_xlfn.XLOOKUP(V110,Writers!$A$3:$A$999,Writers!$B$3:$B$999,""))</f>
        <v/>
      </c>
      <c r="X110" s="3">
        <v>6.9</v>
      </c>
      <c r="Y110" s="3"/>
      <c r="Z110" s="3"/>
      <c r="AA110" s="3">
        <f t="shared" si="3"/>
        <v>8.6300000000000008</v>
      </c>
      <c r="AB110" s="3" t="str">
        <f t="shared" si="4"/>
        <v/>
      </c>
      <c r="AC110" s="3" t="str">
        <f t="shared" si="5"/>
        <v/>
      </c>
      <c r="AD110" s="3">
        <f>VLOOKUP(YEAR(Q110),Populations!$A$3:$B$999,2,0)</f>
        <v>54642700</v>
      </c>
      <c r="AE110" s="3">
        <f>(Calculations!B1/AD110)</f>
        <v>1.2500284941995901</v>
      </c>
      <c r="AF110" s="3"/>
      <c r="AG110" s="3">
        <v>1</v>
      </c>
      <c r="AH110" s="3" t="str">
        <f>VLOOKUP(AG110,WikiFormats!$A$3:$B$999,2,0)</f>
        <v>Story</v>
      </c>
      <c r="AI110" s="3" t="s">
        <v>599</v>
      </c>
    </row>
    <row r="111" spans="1:35" s="8" customFormat="1" x14ac:dyDescent="0.55000000000000004">
      <c r="A111" s="3">
        <v>109</v>
      </c>
      <c r="B111" s="3">
        <v>1</v>
      </c>
      <c r="C111" s="3" t="str">
        <f>VLOOKUP(B111,Eras!$A$3:$B$999,2,0)</f>
        <v>Classic</v>
      </c>
      <c r="D111" s="3">
        <v>1</v>
      </c>
      <c r="E111" s="3" t="str">
        <f>VLOOKUP(D111,EpisodeFormats!$A$3:$B$999,2,0)</f>
        <v>Series</v>
      </c>
      <c r="F111" s="3">
        <v>1</v>
      </c>
      <c r="G111" s="3" t="str">
        <f>VLOOKUP(F111,Doctors!$A$3:$B$999,2,0)</f>
        <v>William Hartnell</v>
      </c>
      <c r="H111" s="3">
        <v>3</v>
      </c>
      <c r="I111" s="3">
        <v>1</v>
      </c>
      <c r="J111" s="3" t="str">
        <f>VLOOKUP(I111,SeasonFormats!$A$3:$B$999,2,0)</f>
        <v>Season</v>
      </c>
      <c r="K111" s="3">
        <v>23</v>
      </c>
      <c r="L111" s="3">
        <v>6</v>
      </c>
      <c r="M111" s="3" t="s">
        <v>316</v>
      </c>
      <c r="N111" s="3">
        <v>3</v>
      </c>
      <c r="O111" s="3" t="s">
        <v>350</v>
      </c>
      <c r="P111" s="3">
        <v>28</v>
      </c>
      <c r="Q111" s="7" t="d">
        <v>1966-03-19</v>
      </c>
      <c r="R111" s="3">
        <v>24</v>
      </c>
      <c r="S111" s="3"/>
      <c r="T111" s="4" t="s">
        <v>1167</v>
      </c>
      <c r="U111" s="3" t="str" cm="1">
        <f t="array" ref="U111">_xlfn.TEXTJOIN(",",TRUE,_xlfn.XLOOKUP(_xlfn.FILTERXML("&lt;t&gt;&lt;s&gt;" &amp; SUBSTITUTE(T111,",","&lt;/s&gt;&lt;s&gt;") &amp; "&lt;/s&gt;&lt;/t&gt;", "//s"),Writers!$A$3:$A$999,Writers!$B$3:$B$999,""))</f>
        <v>Paul Erickson,Lesley Scott</v>
      </c>
      <c r="V111" s="3"/>
      <c r="W111" s="3" t="str">
        <f>IF(V111="","",_xlfn.XLOOKUP(V111,Writers!$A$3:$A$999,Writers!$B$3:$B$999,""))</f>
        <v/>
      </c>
      <c r="X111" s="3">
        <v>6.2</v>
      </c>
      <c r="Y111" s="3"/>
      <c r="Z111" s="3"/>
      <c r="AA111" s="3">
        <f t="shared" si="3"/>
        <v>7.75</v>
      </c>
      <c r="AB111" s="3" t="str">
        <f t="shared" si="4"/>
        <v/>
      </c>
      <c r="AC111" s="3" t="str">
        <f t="shared" si="5"/>
        <v/>
      </c>
      <c r="AD111" s="3">
        <f>VLOOKUP(YEAR(Q111),Populations!$A$3:$B$999,2,0)</f>
        <v>54642700</v>
      </c>
      <c r="AE111" s="3">
        <f>(Calculations!B1/AD111)</f>
        <v>1.2500284941995901</v>
      </c>
      <c r="AF111" s="3"/>
      <c r="AG111" s="3">
        <v>1</v>
      </c>
      <c r="AH111" s="3" t="str">
        <f>VLOOKUP(AG111,WikiFormats!$A$3:$B$999,2,0)</f>
        <v>Story</v>
      </c>
      <c r="AI111" s="3" t="s">
        <v>599</v>
      </c>
    </row>
    <row r="112" spans="1:35" s="8" customFormat="1" x14ac:dyDescent="0.55000000000000004">
      <c r="A112" s="3">
        <v>110</v>
      </c>
      <c r="B112" s="3">
        <v>1</v>
      </c>
      <c r="C112" s="3" t="str">
        <f>VLOOKUP(B112,Eras!$A$3:$B$999,2,0)</f>
        <v>Classic</v>
      </c>
      <c r="D112" s="3">
        <v>1</v>
      </c>
      <c r="E112" s="3" t="str">
        <f>VLOOKUP(D112,EpisodeFormats!$A$3:$B$999,2,0)</f>
        <v>Series</v>
      </c>
      <c r="F112" s="3">
        <v>1</v>
      </c>
      <c r="G112" s="3" t="str">
        <f>VLOOKUP(F112,Doctors!$A$3:$B$999,2,0)</f>
        <v>William Hartnell</v>
      </c>
      <c r="H112" s="3">
        <v>3</v>
      </c>
      <c r="I112" s="3">
        <v>1</v>
      </c>
      <c r="J112" s="3" t="str">
        <f>VLOOKUP(I112,SeasonFormats!$A$3:$B$999,2,0)</f>
        <v>Season</v>
      </c>
      <c r="K112" s="3">
        <v>23</v>
      </c>
      <c r="L112" s="3">
        <v>6</v>
      </c>
      <c r="M112" s="3" t="s">
        <v>316</v>
      </c>
      <c r="N112" s="3">
        <v>4</v>
      </c>
      <c r="O112" s="3" t="s">
        <v>351</v>
      </c>
      <c r="P112" s="3">
        <v>29</v>
      </c>
      <c r="Q112" s="7" t="d">
        <v>1966-03-26</v>
      </c>
      <c r="R112" s="3">
        <v>25</v>
      </c>
      <c r="S112" s="3"/>
      <c r="T112" s="4" t="s">
        <v>1167</v>
      </c>
      <c r="U112" s="3" t="str" cm="1">
        <f t="array" ref="U112">_xlfn.TEXTJOIN(",",TRUE,_xlfn.XLOOKUP(_xlfn.FILTERXML("&lt;t&gt;&lt;s&gt;" &amp; SUBSTITUTE(T112,",","&lt;/s&gt;&lt;s&gt;") &amp; "&lt;/s&gt;&lt;/t&gt;", "//s"),Writers!$A$3:$A$999,Writers!$B$3:$B$999,""))</f>
        <v>Paul Erickson,Lesley Scott</v>
      </c>
      <c r="V112" s="3"/>
      <c r="W112" s="3" t="str">
        <f>IF(V112="","",_xlfn.XLOOKUP(V112,Writers!$A$3:$A$999,Writers!$B$3:$B$999,""))</f>
        <v/>
      </c>
      <c r="X112" s="3">
        <v>7.3</v>
      </c>
      <c r="Y112" s="3"/>
      <c r="Z112" s="3"/>
      <c r="AA112" s="3">
        <f t="shared" si="3"/>
        <v>9.1300000000000008</v>
      </c>
      <c r="AB112" s="3" t="str">
        <f t="shared" si="4"/>
        <v/>
      </c>
      <c r="AC112" s="3" t="str">
        <f t="shared" si="5"/>
        <v/>
      </c>
      <c r="AD112" s="3">
        <f>VLOOKUP(YEAR(Q112),Populations!$A$3:$B$999,2,0)</f>
        <v>54642700</v>
      </c>
      <c r="AE112" s="3">
        <f>(Calculations!B1/AD112)</f>
        <v>1.2500284941995901</v>
      </c>
      <c r="AF112" s="3"/>
      <c r="AG112" s="3">
        <v>1</v>
      </c>
      <c r="AH112" s="3" t="str">
        <f>VLOOKUP(AG112,WikiFormats!$A$3:$B$999,2,0)</f>
        <v>Story</v>
      </c>
      <c r="AI112" s="3" t="s">
        <v>599</v>
      </c>
    </row>
    <row r="113" spans="1:35" s="2" customFormat="1" x14ac:dyDescent="0.55000000000000004">
      <c r="A113">
        <v>111</v>
      </c>
      <c r="B113">
        <v>1</v>
      </c>
      <c r="C113" t="str">
        <f>VLOOKUP(B113,Eras!$A$3:$B$999,2,0)</f>
        <v>Classic</v>
      </c>
      <c r="D113">
        <v>1</v>
      </c>
      <c r="E113" t="str">
        <f>VLOOKUP(D113,EpisodeFormats!$A$3:$B$999,2,0)</f>
        <v>Series</v>
      </c>
      <c r="F113">
        <v>1</v>
      </c>
      <c r="G113" t="str">
        <f>VLOOKUP(F113,Doctors!$A$3:$B$999,2,0)</f>
        <v>William Hartnell</v>
      </c>
      <c r="H113">
        <v>3</v>
      </c>
      <c r="I113">
        <v>1</v>
      </c>
      <c r="J113" t="str">
        <f>VLOOKUP(I113,SeasonFormats!$A$3:$B$999,2,0)</f>
        <v>Season</v>
      </c>
      <c r="K113">
        <v>24</v>
      </c>
      <c r="L113">
        <v>7</v>
      </c>
      <c r="M113" t="s">
        <v>317</v>
      </c>
      <c r="N113">
        <v>1</v>
      </c>
      <c r="O113" t="s">
        <v>352</v>
      </c>
      <c r="P113">
        <v>30</v>
      </c>
      <c r="Q113" s="6" t="d">
        <v>1966-04-02</v>
      </c>
      <c r="R113">
        <v>-25</v>
      </c>
      <c r="S113">
        <v>1</v>
      </c>
      <c r="T113" s="15" t="s">
        <v>1106</v>
      </c>
      <c r="U113" t="str" cm="1">
        <f t="array" ref="U113">_xlfn.TEXTJOIN(",",TRUE,_xlfn.XLOOKUP(_xlfn.FILTERXML("&lt;t&gt;&lt;s&gt;" &amp; SUBSTITUTE(T113,",","&lt;/s&gt;&lt;s&gt;") &amp; "&lt;/s&gt;&lt;/t&gt;", "//s"),Writers!$A$3:$A$999,Writers!$B$3:$B$999,""))</f>
        <v>Brian Hayles</v>
      </c>
      <c r="V113"/>
      <c r="W113" t="str">
        <f>IF(V113="","",_xlfn.XLOOKUP(V113,Writers!$A$3:$A$999,Writers!$B$3:$B$999,""))</f>
        <v/>
      </c>
      <c r="X113">
        <v>8</v>
      </c>
      <c r="Y113"/>
      <c r="Z113"/>
      <c r="AA113">
        <f t="shared" si="3"/>
        <v>10</v>
      </c>
      <c r="AB113" t="str">
        <f t="shared" si="4"/>
        <v/>
      </c>
      <c r="AC113" t="str">
        <f t="shared" si="5"/>
        <v/>
      </c>
      <c r="AD113">
        <f>VLOOKUP(YEAR(Q113),Populations!$A$3:$B$999,2,0)</f>
        <v>54642700</v>
      </c>
      <c r="AE113">
        <f>(Calculations!B1/AD113)</f>
        <v>1.2500284941995901</v>
      </c>
      <c r="AF113"/>
      <c r="AG113">
        <v>1</v>
      </c>
      <c r="AH113" t="str">
        <f>VLOOKUP(AG113,WikiFormats!$A$3:$B$999,2,0)</f>
        <v>Story</v>
      </c>
      <c r="AI113" t="s">
        <v>600</v>
      </c>
    </row>
    <row r="114" spans="1:35" s="2" customFormat="1" x14ac:dyDescent="0.55000000000000004">
      <c r="A114">
        <v>112</v>
      </c>
      <c r="B114">
        <v>1</v>
      </c>
      <c r="C114" t="str">
        <f>VLOOKUP(B114,Eras!$A$3:$B$999,2,0)</f>
        <v>Classic</v>
      </c>
      <c r="D114">
        <v>1</v>
      </c>
      <c r="E114" t="str">
        <f>VLOOKUP(D114,EpisodeFormats!$A$3:$B$999,2,0)</f>
        <v>Series</v>
      </c>
      <c r="F114">
        <v>1</v>
      </c>
      <c r="G114" t="str">
        <f>VLOOKUP(F114,Doctors!$A$3:$B$999,2,0)</f>
        <v>William Hartnell</v>
      </c>
      <c r="H114">
        <v>3</v>
      </c>
      <c r="I114">
        <v>1</v>
      </c>
      <c r="J114" t="str">
        <f>VLOOKUP(I114,SeasonFormats!$A$3:$B$999,2,0)</f>
        <v>Season</v>
      </c>
      <c r="K114">
        <v>24</v>
      </c>
      <c r="L114">
        <v>7</v>
      </c>
      <c r="M114" t="s">
        <v>317</v>
      </c>
      <c r="N114">
        <v>2</v>
      </c>
      <c r="O114" t="s">
        <v>353</v>
      </c>
      <c r="P114">
        <v>31</v>
      </c>
      <c r="Q114" s="6" t="d">
        <v>1966-04-09</v>
      </c>
      <c r="R114">
        <v>-25</v>
      </c>
      <c r="S114">
        <v>1</v>
      </c>
      <c r="T114" s="15" t="s">
        <v>1106</v>
      </c>
      <c r="U114" t="str" cm="1">
        <f t="array" ref="U114">_xlfn.TEXTJOIN(",",TRUE,_xlfn.XLOOKUP(_xlfn.FILTERXML("&lt;t&gt;&lt;s&gt;" &amp; SUBSTITUTE(T114,",","&lt;/s&gt;&lt;s&gt;") &amp; "&lt;/s&gt;&lt;/t&gt;", "//s"),Writers!$A$3:$A$999,Writers!$B$3:$B$999,""))</f>
        <v>Brian Hayles</v>
      </c>
      <c r="V114"/>
      <c r="W114" t="str">
        <f>IF(V114="","",_xlfn.XLOOKUP(V114,Writers!$A$3:$A$999,Writers!$B$3:$B$999,""))</f>
        <v/>
      </c>
      <c r="X114">
        <v>8</v>
      </c>
      <c r="Y114"/>
      <c r="Z114"/>
      <c r="AA114">
        <f t="shared" si="3"/>
        <v>10</v>
      </c>
      <c r="AB114" t="str">
        <f t="shared" si="4"/>
        <v/>
      </c>
      <c r="AC114" t="str">
        <f t="shared" si="5"/>
        <v/>
      </c>
      <c r="AD114">
        <f>VLOOKUP(YEAR(Q114),Populations!$A$3:$B$999,2,0)</f>
        <v>54642700</v>
      </c>
      <c r="AE114">
        <f>(Calculations!B1/AD114)</f>
        <v>1.2500284941995901</v>
      </c>
      <c r="AF114"/>
      <c r="AG114">
        <v>1</v>
      </c>
      <c r="AH114" t="str">
        <f>VLOOKUP(AG114,WikiFormats!$A$3:$B$999,2,0)</f>
        <v>Story</v>
      </c>
      <c r="AI114" t="s">
        <v>600</v>
      </c>
    </row>
    <row r="115" spans="1:35" s="2" customFormat="1" x14ac:dyDescent="0.55000000000000004">
      <c r="A115">
        <v>113</v>
      </c>
      <c r="B115">
        <v>1</v>
      </c>
      <c r="C115" t="str">
        <f>VLOOKUP(B115,Eras!$A$3:$B$999,2,0)</f>
        <v>Classic</v>
      </c>
      <c r="D115">
        <v>1</v>
      </c>
      <c r="E115" t="str">
        <f>VLOOKUP(D115,EpisodeFormats!$A$3:$B$999,2,0)</f>
        <v>Series</v>
      </c>
      <c r="F115">
        <v>1</v>
      </c>
      <c r="G115" t="str">
        <f>VLOOKUP(F115,Doctors!$A$3:$B$999,2,0)</f>
        <v>William Hartnell</v>
      </c>
      <c r="H115">
        <v>3</v>
      </c>
      <c r="I115">
        <v>1</v>
      </c>
      <c r="J115" t="str">
        <f>VLOOKUP(I115,SeasonFormats!$A$3:$B$999,2,0)</f>
        <v>Season</v>
      </c>
      <c r="K115">
        <v>24</v>
      </c>
      <c r="L115">
        <v>7</v>
      </c>
      <c r="M115" t="s">
        <v>317</v>
      </c>
      <c r="N115">
        <v>3</v>
      </c>
      <c r="O115" t="s">
        <v>354</v>
      </c>
      <c r="P115">
        <v>32</v>
      </c>
      <c r="Q115" s="6" t="d">
        <v>1966-04-16</v>
      </c>
      <c r="R115">
        <v>-25</v>
      </c>
      <c r="S115">
        <v>1</v>
      </c>
      <c r="T115" s="15" t="s">
        <v>1106</v>
      </c>
      <c r="U115" t="str" cm="1">
        <f t="array" ref="U115">_xlfn.TEXTJOIN(",",TRUE,_xlfn.XLOOKUP(_xlfn.FILTERXML("&lt;t&gt;&lt;s&gt;" &amp; SUBSTITUTE(T115,",","&lt;/s&gt;&lt;s&gt;") &amp; "&lt;/s&gt;&lt;/t&gt;", "//s"),Writers!$A$3:$A$999,Writers!$B$3:$B$999,""))</f>
        <v>Brian Hayles</v>
      </c>
      <c r="V115"/>
      <c r="W115" t="str">
        <f>IF(V115="","",_xlfn.XLOOKUP(V115,Writers!$A$3:$A$999,Writers!$B$3:$B$999,""))</f>
        <v/>
      </c>
      <c r="X115">
        <v>9.4</v>
      </c>
      <c r="Y115"/>
      <c r="Z115"/>
      <c r="AA115">
        <f t="shared" si="3"/>
        <v>11.75</v>
      </c>
      <c r="AB115" t="str">
        <f t="shared" si="4"/>
        <v/>
      </c>
      <c r="AC115" t="str">
        <f t="shared" si="5"/>
        <v/>
      </c>
      <c r="AD115">
        <f>VLOOKUP(YEAR(Q115),Populations!$A$3:$B$999,2,0)</f>
        <v>54642700</v>
      </c>
      <c r="AE115">
        <f>(Calculations!B1/AD115)</f>
        <v>1.2500284941995901</v>
      </c>
      <c r="AF115"/>
      <c r="AG115">
        <v>1</v>
      </c>
      <c r="AH115" t="str">
        <f>VLOOKUP(AG115,WikiFormats!$A$3:$B$999,2,0)</f>
        <v>Story</v>
      </c>
      <c r="AI115" t="s">
        <v>600</v>
      </c>
    </row>
    <row r="116" spans="1:35" s="2" customFormat="1" x14ac:dyDescent="0.55000000000000004">
      <c r="A116">
        <v>114</v>
      </c>
      <c r="B116">
        <v>1</v>
      </c>
      <c r="C116" t="str">
        <f>VLOOKUP(B116,Eras!$A$3:$B$999,2,0)</f>
        <v>Classic</v>
      </c>
      <c r="D116">
        <v>1</v>
      </c>
      <c r="E116" t="str">
        <f>VLOOKUP(D116,EpisodeFormats!$A$3:$B$999,2,0)</f>
        <v>Series</v>
      </c>
      <c r="F116">
        <v>1</v>
      </c>
      <c r="G116" t="str">
        <f>VLOOKUP(F116,Doctors!$A$3:$B$999,2,0)</f>
        <v>William Hartnell</v>
      </c>
      <c r="H116">
        <v>3</v>
      </c>
      <c r="I116">
        <v>1</v>
      </c>
      <c r="J116" t="str">
        <f>VLOOKUP(I116,SeasonFormats!$A$3:$B$999,2,0)</f>
        <v>Season</v>
      </c>
      <c r="K116">
        <v>24</v>
      </c>
      <c r="L116">
        <v>7</v>
      </c>
      <c r="M116" t="s">
        <v>317</v>
      </c>
      <c r="N116">
        <v>4</v>
      </c>
      <c r="O116" t="s">
        <v>355</v>
      </c>
      <c r="P116">
        <v>33</v>
      </c>
      <c r="Q116" s="6" t="d">
        <v>1966-04-23</v>
      </c>
      <c r="R116">
        <v>24</v>
      </c>
      <c r="S116"/>
      <c r="T116" s="15" t="s">
        <v>1106</v>
      </c>
      <c r="U116" t="str" cm="1">
        <f t="array" ref="U116">_xlfn.TEXTJOIN(",",TRUE,_xlfn.XLOOKUP(_xlfn.FILTERXML("&lt;t&gt;&lt;s&gt;" &amp; SUBSTITUTE(T116,",","&lt;/s&gt;&lt;s&gt;") &amp; "&lt;/s&gt;&lt;/t&gt;", "//s"),Writers!$A$3:$A$999,Writers!$B$3:$B$999,""))</f>
        <v>Brian Hayles</v>
      </c>
      <c r="V116"/>
      <c r="W116" t="str">
        <f>IF(V116="","",_xlfn.XLOOKUP(V116,Writers!$A$3:$A$999,Writers!$B$3:$B$999,""))</f>
        <v/>
      </c>
      <c r="X116">
        <v>7.8</v>
      </c>
      <c r="Y116"/>
      <c r="Z116"/>
      <c r="AA116">
        <f t="shared" si="3"/>
        <v>9.75</v>
      </c>
      <c r="AB116" t="str">
        <f t="shared" si="4"/>
        <v/>
      </c>
      <c r="AC116" t="str">
        <f t="shared" si="5"/>
        <v/>
      </c>
      <c r="AD116">
        <f>VLOOKUP(YEAR(Q116),Populations!$A$3:$B$999,2,0)</f>
        <v>54642700</v>
      </c>
      <c r="AE116">
        <f>(Calculations!B1/AD116)</f>
        <v>1.2500284941995901</v>
      </c>
      <c r="AF116"/>
      <c r="AG116">
        <v>1</v>
      </c>
      <c r="AH116" t="str">
        <f>VLOOKUP(AG116,WikiFormats!$A$3:$B$999,2,0)</f>
        <v>Story</v>
      </c>
      <c r="AI116" t="s">
        <v>600</v>
      </c>
    </row>
    <row r="117" spans="1:35" s="8" customFormat="1" x14ac:dyDescent="0.55000000000000004">
      <c r="A117" s="3">
        <v>115</v>
      </c>
      <c r="B117" s="3">
        <v>1</v>
      </c>
      <c r="C117" s="3" t="str">
        <f>VLOOKUP(B117,Eras!$A$3:$B$999,2,0)</f>
        <v>Classic</v>
      </c>
      <c r="D117" s="3">
        <v>1</v>
      </c>
      <c r="E117" s="3" t="str">
        <f>VLOOKUP(D117,EpisodeFormats!$A$3:$B$999,2,0)</f>
        <v>Series</v>
      </c>
      <c r="F117" s="3">
        <v>1</v>
      </c>
      <c r="G117" s="3" t="str">
        <f>VLOOKUP(F117,Doctors!$A$3:$B$999,2,0)</f>
        <v>William Hartnell</v>
      </c>
      <c r="H117" s="3">
        <v>3</v>
      </c>
      <c r="I117" s="3">
        <v>1</v>
      </c>
      <c r="J117" s="3" t="str">
        <f>VLOOKUP(I117,SeasonFormats!$A$3:$B$999,2,0)</f>
        <v>Season</v>
      </c>
      <c r="K117" s="3">
        <v>25</v>
      </c>
      <c r="L117" s="3">
        <v>8</v>
      </c>
      <c r="M117" s="3" t="s">
        <v>318</v>
      </c>
      <c r="N117" s="3">
        <v>1</v>
      </c>
      <c r="O117" s="3" t="s">
        <v>356</v>
      </c>
      <c r="P117" s="3">
        <v>34</v>
      </c>
      <c r="Q117" s="7" t="d">
        <v>1966-04-30</v>
      </c>
      <c r="R117" s="3">
        <v>24</v>
      </c>
      <c r="S117" s="3"/>
      <c r="T117" s="4" t="s">
        <v>1095</v>
      </c>
      <c r="U117" s="3" t="str" cm="1">
        <f t="array" ref="U117">_xlfn.TEXTJOIN(",",TRUE,_xlfn.XLOOKUP(_xlfn.FILTERXML("&lt;t&gt;&lt;s&gt;" &amp; SUBSTITUTE(T117,",","&lt;/s&gt;&lt;s&gt;") &amp; "&lt;/s&gt;&lt;/t&gt;", "//s"),Writers!$A$3:$A$999,Writers!$B$3:$B$999,""))</f>
        <v>Donald Cotton</v>
      </c>
      <c r="V117" s="3"/>
      <c r="W117" s="3" t="str">
        <f>IF(V117="","",_xlfn.XLOOKUP(V117,Writers!$A$3:$A$999,Writers!$B$3:$B$999,""))</f>
        <v/>
      </c>
      <c r="X117" s="3">
        <v>6.5</v>
      </c>
      <c r="Y117" s="3"/>
      <c r="Z117" s="3"/>
      <c r="AA117" s="3">
        <f t="shared" si="3"/>
        <v>8.1300000000000008</v>
      </c>
      <c r="AB117" s="3" t="str">
        <f t="shared" si="4"/>
        <v/>
      </c>
      <c r="AC117" s="3" t="str">
        <f t="shared" si="5"/>
        <v/>
      </c>
      <c r="AD117" s="3">
        <f>VLOOKUP(YEAR(Q117),Populations!$A$3:$B$999,2,0)</f>
        <v>54642700</v>
      </c>
      <c r="AE117" s="3">
        <f>(Calculations!B1/AD117)</f>
        <v>1.2500284941995901</v>
      </c>
      <c r="AF117" s="3"/>
      <c r="AG117" s="3">
        <v>1</v>
      </c>
      <c r="AH117" s="3" t="str">
        <f>VLOOKUP(AG117,WikiFormats!$A$3:$B$999,2,0)</f>
        <v>Story</v>
      </c>
      <c r="AI117" s="3" t="s">
        <v>601</v>
      </c>
    </row>
    <row r="118" spans="1:35" s="8" customFormat="1" x14ac:dyDescent="0.55000000000000004">
      <c r="A118" s="3">
        <v>116</v>
      </c>
      <c r="B118" s="3">
        <v>1</v>
      </c>
      <c r="C118" s="3" t="str">
        <f>VLOOKUP(B118,Eras!$A$3:$B$999,2,0)</f>
        <v>Classic</v>
      </c>
      <c r="D118" s="3">
        <v>1</v>
      </c>
      <c r="E118" s="3" t="str">
        <f>VLOOKUP(D118,EpisodeFormats!$A$3:$B$999,2,0)</f>
        <v>Series</v>
      </c>
      <c r="F118" s="3">
        <v>1</v>
      </c>
      <c r="G118" s="3" t="str">
        <f>VLOOKUP(F118,Doctors!$A$3:$B$999,2,0)</f>
        <v>William Hartnell</v>
      </c>
      <c r="H118" s="3">
        <v>3</v>
      </c>
      <c r="I118" s="3">
        <v>1</v>
      </c>
      <c r="J118" s="3" t="str">
        <f>VLOOKUP(I118,SeasonFormats!$A$3:$B$999,2,0)</f>
        <v>Season</v>
      </c>
      <c r="K118" s="3">
        <v>25</v>
      </c>
      <c r="L118" s="3">
        <v>8</v>
      </c>
      <c r="M118" s="3" t="s">
        <v>318</v>
      </c>
      <c r="N118" s="3">
        <v>2</v>
      </c>
      <c r="O118" s="3" t="s">
        <v>357</v>
      </c>
      <c r="P118" s="3">
        <v>35</v>
      </c>
      <c r="Q118" s="7" t="d">
        <v>1966-05-07</v>
      </c>
      <c r="R118" s="3">
        <v>24</v>
      </c>
      <c r="S118" s="3"/>
      <c r="T118" s="4" t="s">
        <v>1095</v>
      </c>
      <c r="U118" s="3" t="str" cm="1">
        <f t="array" ref="U118">_xlfn.TEXTJOIN(",",TRUE,_xlfn.XLOOKUP(_xlfn.FILTERXML("&lt;t&gt;&lt;s&gt;" &amp; SUBSTITUTE(T118,",","&lt;/s&gt;&lt;s&gt;") &amp; "&lt;/s&gt;&lt;/t&gt;", "//s"),Writers!$A$3:$A$999,Writers!$B$3:$B$999,""))</f>
        <v>Donald Cotton</v>
      </c>
      <c r="V118" s="3"/>
      <c r="W118" s="3" t="str">
        <f>IF(V118="","",_xlfn.XLOOKUP(V118,Writers!$A$3:$A$999,Writers!$B$3:$B$999,""))</f>
        <v/>
      </c>
      <c r="X118" s="3">
        <v>6.6</v>
      </c>
      <c r="Y118" s="3"/>
      <c r="Z118" s="3"/>
      <c r="AA118" s="3">
        <f t="shared" si="3"/>
        <v>8.25</v>
      </c>
      <c r="AB118" s="3" t="str">
        <f t="shared" si="4"/>
        <v/>
      </c>
      <c r="AC118" s="3" t="str">
        <f t="shared" si="5"/>
        <v/>
      </c>
      <c r="AD118" s="3">
        <f>VLOOKUP(YEAR(Q118),Populations!$A$3:$B$999,2,0)</f>
        <v>54642700</v>
      </c>
      <c r="AE118" s="3">
        <f>(Calculations!B1/AD118)</f>
        <v>1.2500284941995901</v>
      </c>
      <c r="AF118" s="3"/>
      <c r="AG118" s="3">
        <v>1</v>
      </c>
      <c r="AH118" s="3" t="str">
        <f>VLOOKUP(AG118,WikiFormats!$A$3:$B$999,2,0)</f>
        <v>Story</v>
      </c>
      <c r="AI118" s="3" t="s">
        <v>601</v>
      </c>
    </row>
    <row r="119" spans="1:35" s="8" customFormat="1" x14ac:dyDescent="0.55000000000000004">
      <c r="A119" s="3">
        <v>117</v>
      </c>
      <c r="B119" s="3">
        <v>1</v>
      </c>
      <c r="C119" s="3" t="str">
        <f>VLOOKUP(B119,Eras!$A$3:$B$999,2,0)</f>
        <v>Classic</v>
      </c>
      <c r="D119" s="3">
        <v>1</v>
      </c>
      <c r="E119" s="3" t="str">
        <f>VLOOKUP(D119,EpisodeFormats!$A$3:$B$999,2,0)</f>
        <v>Series</v>
      </c>
      <c r="F119" s="3">
        <v>1</v>
      </c>
      <c r="G119" s="3" t="str">
        <f>VLOOKUP(F119,Doctors!$A$3:$B$999,2,0)</f>
        <v>William Hartnell</v>
      </c>
      <c r="H119" s="3">
        <v>3</v>
      </c>
      <c r="I119" s="3">
        <v>1</v>
      </c>
      <c r="J119" s="3" t="str">
        <f>VLOOKUP(I119,SeasonFormats!$A$3:$B$999,2,0)</f>
        <v>Season</v>
      </c>
      <c r="K119" s="3">
        <v>25</v>
      </c>
      <c r="L119" s="3">
        <v>8</v>
      </c>
      <c r="M119" s="3" t="s">
        <v>318</v>
      </c>
      <c r="N119" s="3">
        <v>3</v>
      </c>
      <c r="O119" s="3" t="s">
        <v>358</v>
      </c>
      <c r="P119" s="3">
        <v>36</v>
      </c>
      <c r="Q119" s="7" t="d">
        <v>1966-05-14</v>
      </c>
      <c r="R119" s="3">
        <v>25</v>
      </c>
      <c r="S119" s="3"/>
      <c r="T119" s="4" t="s">
        <v>1095</v>
      </c>
      <c r="U119" s="3" t="str" cm="1">
        <f t="array" ref="U119">_xlfn.TEXTJOIN(",",TRUE,_xlfn.XLOOKUP(_xlfn.FILTERXML("&lt;t&gt;&lt;s&gt;" &amp; SUBSTITUTE(T119,",","&lt;/s&gt;&lt;s&gt;") &amp; "&lt;/s&gt;&lt;/t&gt;", "//s"),Writers!$A$3:$A$999,Writers!$B$3:$B$999,""))</f>
        <v>Donald Cotton</v>
      </c>
      <c r="V119" s="3"/>
      <c r="W119" s="3" t="str">
        <f>IF(V119="","",_xlfn.XLOOKUP(V119,Writers!$A$3:$A$999,Writers!$B$3:$B$999,""))</f>
        <v/>
      </c>
      <c r="X119" s="3">
        <v>6.2</v>
      </c>
      <c r="Y119" s="3"/>
      <c r="Z119" s="3"/>
      <c r="AA119" s="3">
        <f t="shared" si="3"/>
        <v>7.75</v>
      </c>
      <c r="AB119" s="3" t="str">
        <f t="shared" si="4"/>
        <v/>
      </c>
      <c r="AC119" s="3" t="str">
        <f t="shared" si="5"/>
        <v/>
      </c>
      <c r="AD119" s="3">
        <f>VLOOKUP(YEAR(Q119),Populations!$A$3:$B$999,2,0)</f>
        <v>54642700</v>
      </c>
      <c r="AE119" s="3">
        <f>(Calculations!B1/AD119)</f>
        <v>1.2500284941995901</v>
      </c>
      <c r="AF119" s="3"/>
      <c r="AG119" s="3">
        <v>1</v>
      </c>
      <c r="AH119" s="3" t="str">
        <f>VLOOKUP(AG119,WikiFormats!$A$3:$B$999,2,0)</f>
        <v>Story</v>
      </c>
      <c r="AI119" s="3" t="s">
        <v>601</v>
      </c>
    </row>
    <row r="120" spans="1:35" s="8" customFormat="1" x14ac:dyDescent="0.55000000000000004">
      <c r="A120" s="3">
        <v>118</v>
      </c>
      <c r="B120" s="3">
        <v>1</v>
      </c>
      <c r="C120" s="3" t="str">
        <f>VLOOKUP(B120,Eras!$A$3:$B$999,2,0)</f>
        <v>Classic</v>
      </c>
      <c r="D120" s="3">
        <v>1</v>
      </c>
      <c r="E120" s="3" t="str">
        <f>VLOOKUP(D120,EpisodeFormats!$A$3:$B$999,2,0)</f>
        <v>Series</v>
      </c>
      <c r="F120" s="3">
        <v>1</v>
      </c>
      <c r="G120" s="3" t="str">
        <f>VLOOKUP(F120,Doctors!$A$3:$B$999,2,0)</f>
        <v>William Hartnell</v>
      </c>
      <c r="H120" s="3">
        <v>3</v>
      </c>
      <c r="I120" s="3">
        <v>1</v>
      </c>
      <c r="J120" s="3" t="str">
        <f>VLOOKUP(I120,SeasonFormats!$A$3:$B$999,2,0)</f>
        <v>Season</v>
      </c>
      <c r="K120" s="3">
        <v>25</v>
      </c>
      <c r="L120" s="3">
        <v>8</v>
      </c>
      <c r="M120" s="3" t="s">
        <v>318</v>
      </c>
      <c r="N120" s="3">
        <v>4</v>
      </c>
      <c r="O120" s="3" t="s">
        <v>359</v>
      </c>
      <c r="P120" s="3">
        <v>37</v>
      </c>
      <c r="Q120" s="7" t="d">
        <v>1966-05-21</v>
      </c>
      <c r="R120" s="3">
        <v>24</v>
      </c>
      <c r="S120" s="3"/>
      <c r="T120" s="4" t="s">
        <v>1095</v>
      </c>
      <c r="U120" s="3" t="str" cm="1">
        <f t="array" ref="U120">_xlfn.TEXTJOIN(",",TRUE,_xlfn.XLOOKUP(_xlfn.FILTERXML("&lt;t&gt;&lt;s&gt;" &amp; SUBSTITUTE(T120,",","&lt;/s&gt;&lt;s&gt;") &amp; "&lt;/s&gt;&lt;/t&gt;", "//s"),Writers!$A$3:$A$999,Writers!$B$3:$B$999,""))</f>
        <v>Donald Cotton</v>
      </c>
      <c r="V120" s="3"/>
      <c r="W120" s="3" t="str">
        <f>IF(V120="","",_xlfn.XLOOKUP(V120,Writers!$A$3:$A$999,Writers!$B$3:$B$999,""))</f>
        <v/>
      </c>
      <c r="X120" s="3">
        <v>5.7</v>
      </c>
      <c r="Y120" s="3"/>
      <c r="Z120" s="3"/>
      <c r="AA120" s="3">
        <f t="shared" si="3"/>
        <v>7.13</v>
      </c>
      <c r="AB120" s="3" t="str">
        <f t="shared" si="4"/>
        <v/>
      </c>
      <c r="AC120" s="3" t="str">
        <f t="shared" si="5"/>
        <v/>
      </c>
      <c r="AD120" s="3">
        <f>VLOOKUP(YEAR(Q120),Populations!$A$3:$B$999,2,0)</f>
        <v>54642700</v>
      </c>
      <c r="AE120" s="3">
        <f>(Calculations!B1/AD120)</f>
        <v>1.2500284941995901</v>
      </c>
      <c r="AF120" s="3"/>
      <c r="AG120" s="3">
        <v>1</v>
      </c>
      <c r="AH120" s="3" t="str">
        <f>VLOOKUP(AG120,WikiFormats!$A$3:$B$999,2,0)</f>
        <v>Story</v>
      </c>
      <c r="AI120" s="3" t="s">
        <v>601</v>
      </c>
    </row>
    <row r="121" spans="1:35" s="2" customFormat="1" x14ac:dyDescent="0.55000000000000004">
      <c r="A121">
        <v>119</v>
      </c>
      <c r="B121">
        <v>1</v>
      </c>
      <c r="C121" t="str">
        <f>VLOOKUP(B121,Eras!$A$3:$B$999,2,0)</f>
        <v>Classic</v>
      </c>
      <c r="D121">
        <v>1</v>
      </c>
      <c r="E121" t="str">
        <f>VLOOKUP(D121,EpisodeFormats!$A$3:$B$999,2,0)</f>
        <v>Series</v>
      </c>
      <c r="F121">
        <v>1</v>
      </c>
      <c r="G121" t="str">
        <f>VLOOKUP(F121,Doctors!$A$3:$B$999,2,0)</f>
        <v>William Hartnell</v>
      </c>
      <c r="H121">
        <v>3</v>
      </c>
      <c r="I121">
        <v>1</v>
      </c>
      <c r="J121" t="str">
        <f>VLOOKUP(I121,SeasonFormats!$A$3:$B$999,2,0)</f>
        <v>Season</v>
      </c>
      <c r="K121">
        <v>26</v>
      </c>
      <c r="L121">
        <v>9</v>
      </c>
      <c r="M121" t="s">
        <v>319</v>
      </c>
      <c r="N121">
        <v>1</v>
      </c>
      <c r="O121" t="s">
        <v>360</v>
      </c>
      <c r="P121">
        <v>38</v>
      </c>
      <c r="Q121" s="6" t="d">
        <v>1966-05-28</v>
      </c>
      <c r="R121">
        <v>-25</v>
      </c>
      <c r="S121">
        <v>1</v>
      </c>
      <c r="T121" s="15" t="s">
        <v>1079</v>
      </c>
      <c r="U121" t="str" cm="1">
        <f t="array" ref="U121">_xlfn.TEXTJOIN(",",TRUE,_xlfn.XLOOKUP(_xlfn.FILTERXML("&lt;t&gt;&lt;s&gt;" &amp; SUBSTITUTE(T121,",","&lt;/s&gt;&lt;s&gt;") &amp; "&lt;/s&gt;&lt;/t&gt;", "//s"),Writers!$A$3:$A$999,Writers!$B$3:$B$999,""))</f>
        <v>Ian Stuart Black</v>
      </c>
      <c r="V121"/>
      <c r="W121" t="str">
        <f>IF(V121="","",_xlfn.XLOOKUP(V121,Writers!$A$3:$A$999,Writers!$B$3:$B$999,""))</f>
        <v/>
      </c>
      <c r="X121">
        <v>4.8</v>
      </c>
      <c r="Y121"/>
      <c r="Z121"/>
      <c r="AA121">
        <f t="shared" si="3"/>
        <v>6</v>
      </c>
      <c r="AB121" t="str">
        <f t="shared" si="4"/>
        <v/>
      </c>
      <c r="AC121" t="str">
        <f t="shared" si="5"/>
        <v/>
      </c>
      <c r="AD121">
        <f>VLOOKUP(YEAR(Q121),Populations!$A$3:$B$999,2,0)</f>
        <v>54642700</v>
      </c>
      <c r="AE121">
        <f>(Calculations!B1/AD121)</f>
        <v>1.2500284941995901</v>
      </c>
      <c r="AF121"/>
      <c r="AG121">
        <v>1</v>
      </c>
      <c r="AH121" t="str">
        <f>VLOOKUP(AG121,WikiFormats!$A$3:$B$999,2,0)</f>
        <v>Story</v>
      </c>
      <c r="AI121" t="s">
        <v>602</v>
      </c>
    </row>
    <row r="122" spans="1:35" s="2" customFormat="1" x14ac:dyDescent="0.55000000000000004">
      <c r="A122">
        <v>120</v>
      </c>
      <c r="B122">
        <v>1</v>
      </c>
      <c r="C122" t="str">
        <f>VLOOKUP(B122,Eras!$A$3:$B$999,2,0)</f>
        <v>Classic</v>
      </c>
      <c r="D122">
        <v>1</v>
      </c>
      <c r="E122" t="str">
        <f>VLOOKUP(D122,EpisodeFormats!$A$3:$B$999,2,0)</f>
        <v>Series</v>
      </c>
      <c r="F122">
        <v>1</v>
      </c>
      <c r="G122" t="str">
        <f>VLOOKUP(F122,Doctors!$A$3:$B$999,2,0)</f>
        <v>William Hartnell</v>
      </c>
      <c r="H122">
        <v>3</v>
      </c>
      <c r="I122">
        <v>1</v>
      </c>
      <c r="J122" t="str">
        <f>VLOOKUP(I122,SeasonFormats!$A$3:$B$999,2,0)</f>
        <v>Season</v>
      </c>
      <c r="K122">
        <v>26</v>
      </c>
      <c r="L122">
        <v>9</v>
      </c>
      <c r="M122" t="s">
        <v>319</v>
      </c>
      <c r="N122">
        <v>2</v>
      </c>
      <c r="O122" t="s">
        <v>361</v>
      </c>
      <c r="P122">
        <v>39</v>
      </c>
      <c r="Q122" s="6" t="d">
        <v>1966-06-04</v>
      </c>
      <c r="R122">
        <v>-25</v>
      </c>
      <c r="S122">
        <v>1</v>
      </c>
      <c r="T122" s="15" t="s">
        <v>1079</v>
      </c>
      <c r="U122" t="str" cm="1">
        <f t="array" ref="U122">_xlfn.TEXTJOIN(",",TRUE,_xlfn.XLOOKUP(_xlfn.FILTERXML("&lt;t&gt;&lt;s&gt;" &amp; SUBSTITUTE(T122,",","&lt;/s&gt;&lt;s&gt;") &amp; "&lt;/s&gt;&lt;/t&gt;", "//s"),Writers!$A$3:$A$999,Writers!$B$3:$B$999,""))</f>
        <v>Ian Stuart Black</v>
      </c>
      <c r="V122"/>
      <c r="W122" t="str">
        <f>IF(V122="","",_xlfn.XLOOKUP(V122,Writers!$A$3:$A$999,Writers!$B$3:$B$999,""))</f>
        <v/>
      </c>
      <c r="X122">
        <v>5.6</v>
      </c>
      <c r="Y122"/>
      <c r="Z122"/>
      <c r="AA122">
        <f t="shared" si="3"/>
        <v>7</v>
      </c>
      <c r="AB122" t="str">
        <f t="shared" si="4"/>
        <v/>
      </c>
      <c r="AC122" t="str">
        <f t="shared" si="5"/>
        <v/>
      </c>
      <c r="AD122">
        <f>VLOOKUP(YEAR(Q122),Populations!$A$3:$B$999,2,0)</f>
        <v>54642700</v>
      </c>
      <c r="AE122">
        <f>(Calculations!B1/AD122)</f>
        <v>1.2500284941995901</v>
      </c>
      <c r="AF122"/>
      <c r="AG122">
        <v>1</v>
      </c>
      <c r="AH122" t="str">
        <f>VLOOKUP(AG122,WikiFormats!$A$3:$B$999,2,0)</f>
        <v>Story</v>
      </c>
      <c r="AI122" t="s">
        <v>602</v>
      </c>
    </row>
    <row r="123" spans="1:35" s="2" customFormat="1" x14ac:dyDescent="0.55000000000000004">
      <c r="A123">
        <v>121</v>
      </c>
      <c r="B123">
        <v>1</v>
      </c>
      <c r="C123" t="str">
        <f>VLOOKUP(B123,Eras!$A$3:$B$999,2,0)</f>
        <v>Classic</v>
      </c>
      <c r="D123">
        <v>1</v>
      </c>
      <c r="E123" t="str">
        <f>VLOOKUP(D123,EpisodeFormats!$A$3:$B$999,2,0)</f>
        <v>Series</v>
      </c>
      <c r="F123">
        <v>1</v>
      </c>
      <c r="G123" t="str">
        <f>VLOOKUP(F123,Doctors!$A$3:$B$999,2,0)</f>
        <v>William Hartnell</v>
      </c>
      <c r="H123">
        <v>3</v>
      </c>
      <c r="I123">
        <v>1</v>
      </c>
      <c r="J123" t="str">
        <f>VLOOKUP(I123,SeasonFormats!$A$3:$B$999,2,0)</f>
        <v>Season</v>
      </c>
      <c r="K123">
        <v>26</v>
      </c>
      <c r="L123">
        <v>9</v>
      </c>
      <c r="M123" t="s">
        <v>319</v>
      </c>
      <c r="N123">
        <v>3</v>
      </c>
      <c r="O123" t="s">
        <v>362</v>
      </c>
      <c r="P123">
        <v>40</v>
      </c>
      <c r="Q123" s="6" t="d">
        <v>1966-06-11</v>
      </c>
      <c r="R123">
        <v>-25</v>
      </c>
      <c r="S123">
        <v>1</v>
      </c>
      <c r="T123" s="15" t="s">
        <v>1079</v>
      </c>
      <c r="U123" t="str" cm="1">
        <f t="array" ref="U123">_xlfn.TEXTJOIN(",",TRUE,_xlfn.XLOOKUP(_xlfn.FILTERXML("&lt;t&gt;&lt;s&gt;" &amp; SUBSTITUTE(T123,",","&lt;/s&gt;&lt;s&gt;") &amp; "&lt;/s&gt;&lt;/t&gt;", "//s"),Writers!$A$3:$A$999,Writers!$B$3:$B$999,""))</f>
        <v>Ian Stuart Black</v>
      </c>
      <c r="V123"/>
      <c r="W123" t="str">
        <f>IF(V123="","",_xlfn.XLOOKUP(V123,Writers!$A$3:$A$999,Writers!$B$3:$B$999,""))</f>
        <v/>
      </c>
      <c r="X123">
        <v>5</v>
      </c>
      <c r="Y123"/>
      <c r="Z123"/>
      <c r="AA123">
        <f t="shared" si="3"/>
        <v>6.25</v>
      </c>
      <c r="AB123" t="str">
        <f t="shared" si="4"/>
        <v/>
      </c>
      <c r="AC123" t="str">
        <f t="shared" si="5"/>
        <v/>
      </c>
      <c r="AD123">
        <f>VLOOKUP(YEAR(Q123),Populations!$A$3:$B$999,2,0)</f>
        <v>54642700</v>
      </c>
      <c r="AE123">
        <f>(Calculations!B1/AD123)</f>
        <v>1.2500284941995901</v>
      </c>
      <c r="AF123"/>
      <c r="AG123">
        <v>1</v>
      </c>
      <c r="AH123" t="str">
        <f>VLOOKUP(AG123,WikiFormats!$A$3:$B$999,2,0)</f>
        <v>Story</v>
      </c>
      <c r="AI123" t="s">
        <v>602</v>
      </c>
    </row>
    <row r="124" spans="1:35" s="2" customFormat="1" x14ac:dyDescent="0.55000000000000004">
      <c r="A124">
        <v>122</v>
      </c>
      <c r="B124">
        <v>1</v>
      </c>
      <c r="C124" t="str">
        <f>VLOOKUP(B124,Eras!$A$3:$B$999,2,0)</f>
        <v>Classic</v>
      </c>
      <c r="D124">
        <v>1</v>
      </c>
      <c r="E124" t="str">
        <f>VLOOKUP(D124,EpisodeFormats!$A$3:$B$999,2,0)</f>
        <v>Series</v>
      </c>
      <c r="F124">
        <v>1</v>
      </c>
      <c r="G124" t="str">
        <f>VLOOKUP(F124,Doctors!$A$3:$B$999,2,0)</f>
        <v>William Hartnell</v>
      </c>
      <c r="H124">
        <v>3</v>
      </c>
      <c r="I124">
        <v>1</v>
      </c>
      <c r="J124" t="str">
        <f>VLOOKUP(I124,SeasonFormats!$A$3:$B$999,2,0)</f>
        <v>Season</v>
      </c>
      <c r="K124">
        <v>26</v>
      </c>
      <c r="L124">
        <v>9</v>
      </c>
      <c r="M124" t="s">
        <v>319</v>
      </c>
      <c r="N124">
        <v>4</v>
      </c>
      <c r="O124" t="s">
        <v>363</v>
      </c>
      <c r="P124">
        <v>41</v>
      </c>
      <c r="Q124" s="6" t="d">
        <v>1966-06-18</v>
      </c>
      <c r="R124">
        <v>-25</v>
      </c>
      <c r="S124">
        <v>1</v>
      </c>
      <c r="T124" s="15" t="s">
        <v>1079</v>
      </c>
      <c r="U124" t="str" cm="1">
        <f t="array" ref="U124">_xlfn.TEXTJOIN(",",TRUE,_xlfn.XLOOKUP(_xlfn.FILTERXML("&lt;t&gt;&lt;s&gt;" &amp; SUBSTITUTE(T124,",","&lt;/s&gt;&lt;s&gt;") &amp; "&lt;/s&gt;&lt;/t&gt;", "//s"),Writers!$A$3:$A$999,Writers!$B$3:$B$999,""))</f>
        <v>Ian Stuart Black</v>
      </c>
      <c r="V124"/>
      <c r="W124" t="str">
        <f>IF(V124="","",_xlfn.XLOOKUP(V124,Writers!$A$3:$A$999,Writers!$B$3:$B$999,""))</f>
        <v/>
      </c>
      <c r="X124">
        <v>4.5</v>
      </c>
      <c r="Y124"/>
      <c r="Z124"/>
      <c r="AA124">
        <f t="shared" si="3"/>
        <v>5.63</v>
      </c>
      <c r="AB124" t="str">
        <f t="shared" si="4"/>
        <v/>
      </c>
      <c r="AC124" t="str">
        <f t="shared" si="5"/>
        <v/>
      </c>
      <c r="AD124">
        <f>VLOOKUP(YEAR(Q124),Populations!$A$3:$B$999,2,0)</f>
        <v>54642700</v>
      </c>
      <c r="AE124">
        <f>(Calculations!B1/AD124)</f>
        <v>1.2500284941995901</v>
      </c>
      <c r="AF124"/>
      <c r="AG124">
        <v>1</v>
      </c>
      <c r="AH124" t="str">
        <f>VLOOKUP(AG124,WikiFormats!$A$3:$B$999,2,0)</f>
        <v>Story</v>
      </c>
      <c r="AI124" t="s">
        <v>602</v>
      </c>
    </row>
    <row r="125" spans="1:35" s="8" customFormat="1" x14ac:dyDescent="0.55000000000000004">
      <c r="A125" s="3">
        <v>123</v>
      </c>
      <c r="B125" s="3">
        <v>1</v>
      </c>
      <c r="C125" s="3" t="str">
        <f>VLOOKUP(B125,Eras!$A$3:$B$999,2,0)</f>
        <v>Classic</v>
      </c>
      <c r="D125" s="3">
        <v>1</v>
      </c>
      <c r="E125" s="3" t="str">
        <f>VLOOKUP(D125,EpisodeFormats!$A$3:$B$999,2,0)</f>
        <v>Series</v>
      </c>
      <c r="F125" s="3">
        <v>1</v>
      </c>
      <c r="G125" s="3" t="str">
        <f>VLOOKUP(F125,Doctors!$A$3:$B$999,2,0)</f>
        <v>William Hartnell</v>
      </c>
      <c r="H125" s="3">
        <v>3</v>
      </c>
      <c r="I125" s="3">
        <v>1</v>
      </c>
      <c r="J125" s="3" t="str">
        <f>VLOOKUP(I125,SeasonFormats!$A$3:$B$999,2,0)</f>
        <v>Season</v>
      </c>
      <c r="K125" s="3">
        <v>27</v>
      </c>
      <c r="L125" s="3">
        <v>10</v>
      </c>
      <c r="M125" s="3" t="s">
        <v>320</v>
      </c>
      <c r="N125" s="3">
        <v>1</v>
      </c>
      <c r="O125" s="3" t="s">
        <v>360</v>
      </c>
      <c r="P125" s="3">
        <v>42</v>
      </c>
      <c r="Q125" s="7" t="d">
        <v>1966-06-25</v>
      </c>
      <c r="R125" s="3">
        <v>24</v>
      </c>
      <c r="S125" s="3"/>
      <c r="T125" s="4" t="s">
        <v>1079</v>
      </c>
      <c r="U125" s="3" t="str" cm="1">
        <f t="array" ref="U125">_xlfn.TEXTJOIN(",",TRUE,_xlfn.XLOOKUP(_xlfn.FILTERXML("&lt;t&gt;&lt;s&gt;" &amp; SUBSTITUTE(T125,",","&lt;/s&gt;&lt;s&gt;") &amp; "&lt;/s&gt;&lt;/t&gt;", "//s"),Writers!$A$3:$A$999,Writers!$B$3:$B$999,""))</f>
        <v>Ian Stuart Black</v>
      </c>
      <c r="V125" s="3"/>
      <c r="W125" s="3" t="str">
        <f>IF(V125="","",_xlfn.XLOOKUP(V125,Writers!$A$3:$A$999,Writers!$B$3:$B$999,""))</f>
        <v/>
      </c>
      <c r="X125" s="3">
        <v>5.4</v>
      </c>
      <c r="Y125" s="3"/>
      <c r="Z125" s="3"/>
      <c r="AA125" s="3">
        <f t="shared" si="3"/>
        <v>6.75</v>
      </c>
      <c r="AB125" s="3" t="str">
        <f t="shared" si="4"/>
        <v/>
      </c>
      <c r="AC125" s="3" t="str">
        <f t="shared" si="5"/>
        <v/>
      </c>
      <c r="AD125" s="3">
        <f>VLOOKUP(YEAR(Q125),Populations!$A$3:$B$999,2,0)</f>
        <v>54642700</v>
      </c>
      <c r="AE125" s="3">
        <f>(Calculations!B1/AD125)</f>
        <v>1.2500284941995901</v>
      </c>
      <c r="AF125" s="3"/>
      <c r="AG125" s="3">
        <v>1</v>
      </c>
      <c r="AH125" s="3" t="str">
        <f>VLOOKUP(AG125,WikiFormats!$A$3:$B$999,2,0)</f>
        <v>Story</v>
      </c>
      <c r="AI125" s="3" t="s">
        <v>603</v>
      </c>
    </row>
    <row r="126" spans="1:35" s="8" customFormat="1" x14ac:dyDescent="0.55000000000000004">
      <c r="A126" s="3">
        <v>124</v>
      </c>
      <c r="B126" s="3">
        <v>1</v>
      </c>
      <c r="C126" s="3" t="str">
        <f>VLOOKUP(B126,Eras!$A$3:$B$999,2,0)</f>
        <v>Classic</v>
      </c>
      <c r="D126" s="3">
        <v>1</v>
      </c>
      <c r="E126" s="3" t="str">
        <f>VLOOKUP(D126,EpisodeFormats!$A$3:$B$999,2,0)</f>
        <v>Series</v>
      </c>
      <c r="F126" s="3">
        <v>1</v>
      </c>
      <c r="G126" s="3" t="str">
        <f>VLOOKUP(F126,Doctors!$A$3:$B$999,2,0)</f>
        <v>William Hartnell</v>
      </c>
      <c r="H126" s="3">
        <v>3</v>
      </c>
      <c r="I126" s="3">
        <v>1</v>
      </c>
      <c r="J126" s="3" t="str">
        <f>VLOOKUP(I126,SeasonFormats!$A$3:$B$999,2,0)</f>
        <v>Season</v>
      </c>
      <c r="K126" s="3">
        <v>27</v>
      </c>
      <c r="L126" s="3">
        <v>10</v>
      </c>
      <c r="M126" s="3" t="s">
        <v>320</v>
      </c>
      <c r="N126" s="3">
        <v>2</v>
      </c>
      <c r="O126" s="3" t="s">
        <v>361</v>
      </c>
      <c r="P126" s="3">
        <v>43</v>
      </c>
      <c r="Q126" s="7" t="d">
        <v>1966-07-02</v>
      </c>
      <c r="R126" s="3">
        <v>24</v>
      </c>
      <c r="S126" s="3"/>
      <c r="T126" s="4" t="s">
        <v>1079</v>
      </c>
      <c r="U126" s="3" t="str" cm="1">
        <f t="array" ref="U126">_xlfn.TEXTJOIN(",",TRUE,_xlfn.XLOOKUP(_xlfn.FILTERXML("&lt;t&gt;&lt;s&gt;" &amp; SUBSTITUTE(T126,",","&lt;/s&gt;&lt;s&gt;") &amp; "&lt;/s&gt;&lt;/t&gt;", "//s"),Writers!$A$3:$A$999,Writers!$B$3:$B$999,""))</f>
        <v>Ian Stuart Black</v>
      </c>
      <c r="V126" s="3"/>
      <c r="W126" s="3" t="str">
        <f>IF(V126="","",_xlfn.XLOOKUP(V126,Writers!$A$3:$A$999,Writers!$B$3:$B$999,""))</f>
        <v/>
      </c>
      <c r="X126" s="3">
        <v>4.7</v>
      </c>
      <c r="Y126" s="3"/>
      <c r="Z126" s="3"/>
      <c r="AA126" s="3">
        <f t="shared" si="3"/>
        <v>5.88</v>
      </c>
      <c r="AB126" s="3" t="str">
        <f t="shared" si="4"/>
        <v/>
      </c>
      <c r="AC126" s="3" t="str">
        <f t="shared" si="5"/>
        <v/>
      </c>
      <c r="AD126" s="3">
        <f>VLOOKUP(YEAR(Q126),Populations!$A$3:$B$999,2,0)</f>
        <v>54642700</v>
      </c>
      <c r="AE126" s="3">
        <f>(Calculations!B1/AD126)</f>
        <v>1.2500284941995901</v>
      </c>
      <c r="AF126" s="3"/>
      <c r="AG126" s="3">
        <v>1</v>
      </c>
      <c r="AH126" s="3" t="str">
        <f>VLOOKUP(AG126,WikiFormats!$A$3:$B$999,2,0)</f>
        <v>Story</v>
      </c>
      <c r="AI126" s="3" t="s">
        <v>603</v>
      </c>
    </row>
    <row r="127" spans="1:35" s="8" customFormat="1" x14ac:dyDescent="0.55000000000000004">
      <c r="A127" s="3">
        <v>125</v>
      </c>
      <c r="B127" s="3">
        <v>1</v>
      </c>
      <c r="C127" s="3" t="str">
        <f>VLOOKUP(B127,Eras!$A$3:$B$999,2,0)</f>
        <v>Classic</v>
      </c>
      <c r="D127" s="3">
        <v>1</v>
      </c>
      <c r="E127" s="3" t="str">
        <f>VLOOKUP(D127,EpisodeFormats!$A$3:$B$999,2,0)</f>
        <v>Series</v>
      </c>
      <c r="F127" s="3">
        <v>1</v>
      </c>
      <c r="G127" s="3" t="str">
        <f>VLOOKUP(F127,Doctors!$A$3:$B$999,2,0)</f>
        <v>William Hartnell</v>
      </c>
      <c r="H127" s="3">
        <v>3</v>
      </c>
      <c r="I127" s="3">
        <v>1</v>
      </c>
      <c r="J127" s="3" t="str">
        <f>VLOOKUP(I127,SeasonFormats!$A$3:$B$999,2,0)</f>
        <v>Season</v>
      </c>
      <c r="K127" s="3">
        <v>27</v>
      </c>
      <c r="L127" s="3">
        <v>10</v>
      </c>
      <c r="M127" s="3" t="s">
        <v>320</v>
      </c>
      <c r="N127" s="3">
        <v>3</v>
      </c>
      <c r="O127" s="3" t="s">
        <v>362</v>
      </c>
      <c r="P127" s="3">
        <v>44</v>
      </c>
      <c r="Q127" s="7" t="d">
        <v>1966-07-09</v>
      </c>
      <c r="R127" s="3">
        <v>24</v>
      </c>
      <c r="S127" s="3"/>
      <c r="T127" s="4" t="s">
        <v>1079</v>
      </c>
      <c r="U127" s="3" t="str" cm="1">
        <f t="array" ref="U127">_xlfn.TEXTJOIN(",",TRUE,_xlfn.XLOOKUP(_xlfn.FILTERXML("&lt;t&gt;&lt;s&gt;" &amp; SUBSTITUTE(T127,",","&lt;/s&gt;&lt;s&gt;") &amp; "&lt;/s&gt;&lt;/t&gt;", "//s"),Writers!$A$3:$A$999,Writers!$B$3:$B$999,""))</f>
        <v>Ian Stuart Black</v>
      </c>
      <c r="V127" s="3"/>
      <c r="W127" s="3" t="str">
        <f>IF(V127="","",_xlfn.XLOOKUP(V127,Writers!$A$3:$A$999,Writers!$B$3:$B$999,""))</f>
        <v/>
      </c>
      <c r="X127" s="3">
        <v>5.3</v>
      </c>
      <c r="Y127" s="3"/>
      <c r="Z127" s="3"/>
      <c r="AA127" s="3">
        <f t="shared" si="3"/>
        <v>6.63</v>
      </c>
      <c r="AB127" s="3" t="str">
        <f t="shared" si="4"/>
        <v/>
      </c>
      <c r="AC127" s="3" t="str">
        <f t="shared" si="5"/>
        <v/>
      </c>
      <c r="AD127" s="3">
        <f>VLOOKUP(YEAR(Q127),Populations!$A$3:$B$999,2,0)</f>
        <v>54642700</v>
      </c>
      <c r="AE127" s="3">
        <f>(Calculations!B1/AD127)</f>
        <v>1.2500284941995901</v>
      </c>
      <c r="AF127" s="3"/>
      <c r="AG127" s="3">
        <v>1</v>
      </c>
      <c r="AH127" s="3" t="str">
        <f>VLOOKUP(AG127,WikiFormats!$A$3:$B$999,2,0)</f>
        <v>Story</v>
      </c>
      <c r="AI127" s="3" t="s">
        <v>603</v>
      </c>
    </row>
    <row r="128" spans="1:35" s="8" customFormat="1" x14ac:dyDescent="0.55000000000000004">
      <c r="A128" s="3">
        <v>126</v>
      </c>
      <c r="B128" s="3">
        <v>1</v>
      </c>
      <c r="C128" s="3" t="str">
        <f>VLOOKUP(B128,Eras!$A$3:$B$999,2,0)</f>
        <v>Classic</v>
      </c>
      <c r="D128" s="3">
        <v>1</v>
      </c>
      <c r="E128" s="3" t="str">
        <f>VLOOKUP(D128,EpisodeFormats!$A$3:$B$999,2,0)</f>
        <v>Series</v>
      </c>
      <c r="F128" s="3">
        <v>1</v>
      </c>
      <c r="G128" s="3" t="str">
        <f>VLOOKUP(F128,Doctors!$A$3:$B$999,2,0)</f>
        <v>William Hartnell</v>
      </c>
      <c r="H128" s="3">
        <v>3</v>
      </c>
      <c r="I128" s="3">
        <v>1</v>
      </c>
      <c r="J128" s="3" t="str">
        <f>VLOOKUP(I128,SeasonFormats!$A$3:$B$999,2,0)</f>
        <v>Season</v>
      </c>
      <c r="K128" s="3">
        <v>27</v>
      </c>
      <c r="L128" s="3">
        <v>10</v>
      </c>
      <c r="M128" s="3" t="s">
        <v>320</v>
      </c>
      <c r="N128" s="3">
        <v>4</v>
      </c>
      <c r="O128" s="3" t="s">
        <v>363</v>
      </c>
      <c r="P128" s="3">
        <v>45</v>
      </c>
      <c r="Q128" s="7" t="d">
        <v>1966-07-16</v>
      </c>
      <c r="R128" s="3">
        <v>23</v>
      </c>
      <c r="S128" s="3"/>
      <c r="T128" s="4" t="s">
        <v>1079</v>
      </c>
      <c r="U128" s="3" t="str" cm="1">
        <f t="array" ref="U128">_xlfn.TEXTJOIN(",",TRUE,_xlfn.XLOOKUP(_xlfn.FILTERXML("&lt;t&gt;&lt;s&gt;" &amp; SUBSTITUTE(T128,",","&lt;/s&gt;&lt;s&gt;") &amp; "&lt;/s&gt;&lt;/t&gt;", "//s"),Writers!$A$3:$A$999,Writers!$B$3:$B$999,""))</f>
        <v>Ian Stuart Black</v>
      </c>
      <c r="V128" s="3"/>
      <c r="W128" s="3" t="str">
        <f>IF(V128="","",_xlfn.XLOOKUP(V128,Writers!$A$3:$A$999,Writers!$B$3:$B$999,""))</f>
        <v/>
      </c>
      <c r="X128" s="3">
        <v>5.5</v>
      </c>
      <c r="Y128" s="3"/>
      <c r="Z128" s="3"/>
      <c r="AA128" s="3">
        <f t="shared" si="3"/>
        <v>6.88</v>
      </c>
      <c r="AB128" s="3" t="str">
        <f t="shared" si="4"/>
        <v/>
      </c>
      <c r="AC128" s="3" t="str">
        <f t="shared" si="5"/>
        <v/>
      </c>
      <c r="AD128" s="3">
        <f>VLOOKUP(YEAR(Q128),Populations!$A$3:$B$999,2,0)</f>
        <v>54642700</v>
      </c>
      <c r="AE128" s="3">
        <f>(Calculations!B1/AD128)</f>
        <v>1.2500284941995901</v>
      </c>
      <c r="AF128" s="3"/>
      <c r="AG128" s="3">
        <v>1</v>
      </c>
      <c r="AH128" s="3" t="str">
        <f>VLOOKUP(AG128,WikiFormats!$A$3:$B$999,2,0)</f>
        <v>Story</v>
      </c>
      <c r="AI128" s="3" t="s">
        <v>603</v>
      </c>
    </row>
    <row r="129" spans="1:35" s="2" customFormat="1" x14ac:dyDescent="0.55000000000000004">
      <c r="A129">
        <v>127</v>
      </c>
      <c r="B129">
        <v>1</v>
      </c>
      <c r="C129" t="str">
        <f>VLOOKUP(B129,Eras!$A$3:$B$999,2,0)</f>
        <v>Classic</v>
      </c>
      <c r="D129">
        <v>1</v>
      </c>
      <c r="E129" t="str">
        <f>VLOOKUP(D129,EpisodeFormats!$A$3:$B$999,2,0)</f>
        <v>Series</v>
      </c>
      <c r="F129">
        <v>1</v>
      </c>
      <c r="G129" t="str">
        <f>VLOOKUP(F129,Doctors!$A$3:$B$999,2,0)</f>
        <v>William Hartnell</v>
      </c>
      <c r="H129">
        <v>4</v>
      </c>
      <c r="I129">
        <v>1</v>
      </c>
      <c r="J129" t="str">
        <f>VLOOKUP(I129,SeasonFormats!$A$3:$B$999,2,0)</f>
        <v>Season</v>
      </c>
      <c r="K129">
        <v>28</v>
      </c>
      <c r="L129">
        <v>1</v>
      </c>
      <c r="M129" t="s">
        <v>364</v>
      </c>
      <c r="N129">
        <v>1</v>
      </c>
      <c r="O129" t="s">
        <v>360</v>
      </c>
      <c r="P129">
        <v>1</v>
      </c>
      <c r="Q129" s="6" t="d">
        <v>1966-09-10</v>
      </c>
      <c r="R129">
        <v>-25</v>
      </c>
      <c r="S129">
        <v>1</v>
      </c>
      <c r="T129" s="15" t="s">
        <v>1106</v>
      </c>
      <c r="U129" t="str" cm="1">
        <f t="array" ref="U129">_xlfn.TEXTJOIN(",",TRUE,_xlfn.XLOOKUP(_xlfn.FILTERXML("&lt;t&gt;&lt;s&gt;" &amp; SUBSTITUTE(T129,",","&lt;/s&gt;&lt;s&gt;") &amp; "&lt;/s&gt;&lt;/t&gt;", "//s"),Writers!$A$3:$A$999,Writers!$B$3:$B$999,""))</f>
        <v>Brian Hayles</v>
      </c>
      <c r="V129"/>
      <c r="W129" t="str">
        <f>IF(V129="","",_xlfn.XLOOKUP(V129,Writers!$A$3:$A$999,Writers!$B$3:$B$999,""))</f>
        <v/>
      </c>
      <c r="X129">
        <v>4.3</v>
      </c>
      <c r="Y129"/>
      <c r="Z129"/>
      <c r="AA129">
        <f t="shared" si="3"/>
        <v>5.38</v>
      </c>
      <c r="AB129" t="str">
        <f t="shared" si="4"/>
        <v/>
      </c>
      <c r="AC129" t="str">
        <f t="shared" si="5"/>
        <v/>
      </c>
      <c r="AD129">
        <f>VLOOKUP(YEAR(Q129),Populations!$A$3:$B$999,2,0)</f>
        <v>54642700</v>
      </c>
      <c r="AE129">
        <f>(Calculations!B1/AD129)</f>
        <v>1.2500284941995901</v>
      </c>
      <c r="AF129"/>
      <c r="AG129">
        <v>1</v>
      </c>
      <c r="AH129" t="str">
        <f>VLOOKUP(AG129,WikiFormats!$A$3:$B$999,2,0)</f>
        <v>Story</v>
      </c>
      <c r="AI129" t="s">
        <v>604</v>
      </c>
    </row>
    <row r="130" spans="1:35" s="2" customFormat="1" x14ac:dyDescent="0.55000000000000004">
      <c r="A130">
        <v>128</v>
      </c>
      <c r="B130">
        <v>1</v>
      </c>
      <c r="C130" t="str">
        <f>VLOOKUP(B130,Eras!$A$3:$B$999,2,0)</f>
        <v>Classic</v>
      </c>
      <c r="D130">
        <v>1</v>
      </c>
      <c r="E130" t="str">
        <f>VLOOKUP(D130,EpisodeFormats!$A$3:$B$999,2,0)</f>
        <v>Series</v>
      </c>
      <c r="F130">
        <v>1</v>
      </c>
      <c r="G130" t="str">
        <f>VLOOKUP(F130,Doctors!$A$3:$B$999,2,0)</f>
        <v>William Hartnell</v>
      </c>
      <c r="H130">
        <v>4</v>
      </c>
      <c r="I130">
        <v>1</v>
      </c>
      <c r="J130" t="str">
        <f>VLOOKUP(I130,SeasonFormats!$A$3:$B$999,2,0)</f>
        <v>Season</v>
      </c>
      <c r="K130">
        <v>28</v>
      </c>
      <c r="L130">
        <v>1</v>
      </c>
      <c r="M130" t="s">
        <v>364</v>
      </c>
      <c r="N130">
        <v>2</v>
      </c>
      <c r="O130" t="s">
        <v>361</v>
      </c>
      <c r="P130">
        <v>2</v>
      </c>
      <c r="Q130" s="6" t="d">
        <v>1966-09-17</v>
      </c>
      <c r="R130">
        <v>-25</v>
      </c>
      <c r="S130">
        <v>1</v>
      </c>
      <c r="T130" s="15" t="s">
        <v>1106</v>
      </c>
      <c r="U130" t="str" cm="1">
        <f t="array" ref="U130">_xlfn.TEXTJOIN(",",TRUE,_xlfn.XLOOKUP(_xlfn.FILTERXML("&lt;t&gt;&lt;s&gt;" &amp; SUBSTITUTE(T130,",","&lt;/s&gt;&lt;s&gt;") &amp; "&lt;/s&gt;&lt;/t&gt;", "//s"),Writers!$A$3:$A$999,Writers!$B$3:$B$999,""))</f>
        <v>Brian Hayles</v>
      </c>
      <c r="V130"/>
      <c r="W130" t="str">
        <f>IF(V130="","",_xlfn.XLOOKUP(V130,Writers!$A$3:$A$999,Writers!$B$3:$B$999,""))</f>
        <v/>
      </c>
      <c r="X130">
        <v>4.9000000000000004</v>
      </c>
      <c r="Y130"/>
      <c r="Z130"/>
      <c r="AA130">
        <f t="shared" si="3"/>
        <v>6.13</v>
      </c>
      <c r="AB130" t="str">
        <f t="shared" si="4"/>
        <v/>
      </c>
      <c r="AC130" t="str">
        <f t="shared" si="5"/>
        <v/>
      </c>
      <c r="AD130">
        <f>VLOOKUP(YEAR(Q130),Populations!$A$3:$B$999,2,0)</f>
        <v>54642700</v>
      </c>
      <c r="AE130">
        <f>(Calculations!B1/AD130)</f>
        <v>1.2500284941995901</v>
      </c>
      <c r="AF130"/>
      <c r="AG130">
        <v>1</v>
      </c>
      <c r="AH130" t="str">
        <f>VLOOKUP(AG130,WikiFormats!$A$3:$B$999,2,0)</f>
        <v>Story</v>
      </c>
      <c r="AI130" t="s">
        <v>604</v>
      </c>
    </row>
    <row r="131" spans="1:35" s="2" customFormat="1" x14ac:dyDescent="0.55000000000000004">
      <c r="A131">
        <v>129</v>
      </c>
      <c r="B131">
        <v>1</v>
      </c>
      <c r="C131" t="str">
        <f>VLOOKUP(B131,Eras!$A$3:$B$999,2,0)</f>
        <v>Classic</v>
      </c>
      <c r="D131">
        <v>1</v>
      </c>
      <c r="E131" t="str">
        <f>VLOOKUP(D131,EpisodeFormats!$A$3:$B$999,2,0)</f>
        <v>Series</v>
      </c>
      <c r="F131">
        <v>1</v>
      </c>
      <c r="G131" t="str">
        <f>VLOOKUP(F131,Doctors!$A$3:$B$999,2,0)</f>
        <v>William Hartnell</v>
      </c>
      <c r="H131">
        <v>4</v>
      </c>
      <c r="I131">
        <v>1</v>
      </c>
      <c r="J131" t="str">
        <f>VLOOKUP(I131,SeasonFormats!$A$3:$B$999,2,0)</f>
        <v>Season</v>
      </c>
      <c r="K131">
        <v>28</v>
      </c>
      <c r="L131">
        <v>1</v>
      </c>
      <c r="M131" t="s">
        <v>364</v>
      </c>
      <c r="N131">
        <v>3</v>
      </c>
      <c r="O131" t="s">
        <v>362</v>
      </c>
      <c r="P131">
        <v>3</v>
      </c>
      <c r="Q131" s="6" t="d">
        <v>1966-09-24</v>
      </c>
      <c r="R131">
        <v>-25</v>
      </c>
      <c r="S131">
        <v>1</v>
      </c>
      <c r="T131" s="15" t="s">
        <v>1106</v>
      </c>
      <c r="U131" t="str" cm="1">
        <f t="array" ref="U131">_xlfn.TEXTJOIN(",",TRUE,_xlfn.XLOOKUP(_xlfn.FILTERXML("&lt;t&gt;&lt;s&gt;" &amp; SUBSTITUTE(T131,",","&lt;/s&gt;&lt;s&gt;") &amp; "&lt;/s&gt;&lt;/t&gt;", "//s"),Writers!$A$3:$A$999,Writers!$B$3:$B$999,""))</f>
        <v>Brian Hayles</v>
      </c>
      <c r="V131"/>
      <c r="W131" t="str">
        <f>IF(V131="","",_xlfn.XLOOKUP(V131,Writers!$A$3:$A$999,Writers!$B$3:$B$999,""))</f>
        <v/>
      </c>
      <c r="X131">
        <v>4.2</v>
      </c>
      <c r="Y131"/>
      <c r="Z131"/>
      <c r="AA131">
        <f t="shared" si="3"/>
        <v>5.25</v>
      </c>
      <c r="AB131" t="str">
        <f t="shared" si="4"/>
        <v/>
      </c>
      <c r="AC131" t="str">
        <f t="shared" si="5"/>
        <v/>
      </c>
      <c r="AD131">
        <f>VLOOKUP(YEAR(Q131),Populations!$A$3:$B$999,2,0)</f>
        <v>54642700</v>
      </c>
      <c r="AE131">
        <f>(Calculations!B1/AD131)</f>
        <v>1.2500284941995901</v>
      </c>
      <c r="AF131"/>
      <c r="AG131">
        <v>1</v>
      </c>
      <c r="AH131" t="str">
        <f>VLOOKUP(AG131,WikiFormats!$A$3:$B$999,2,0)</f>
        <v>Story</v>
      </c>
      <c r="AI131" t="s">
        <v>604</v>
      </c>
    </row>
    <row r="132" spans="1:35" s="2" customFormat="1" x14ac:dyDescent="0.55000000000000004">
      <c r="A132">
        <v>130</v>
      </c>
      <c r="B132">
        <v>1</v>
      </c>
      <c r="C132" t="str">
        <f>VLOOKUP(B132,Eras!$A$3:$B$999,2,0)</f>
        <v>Classic</v>
      </c>
      <c r="D132">
        <v>1</v>
      </c>
      <c r="E132" t="str">
        <f>VLOOKUP(D132,EpisodeFormats!$A$3:$B$999,2,0)</f>
        <v>Series</v>
      </c>
      <c r="F132">
        <v>1</v>
      </c>
      <c r="G132" t="str">
        <f>VLOOKUP(F132,Doctors!$A$3:$B$999,2,0)</f>
        <v>William Hartnell</v>
      </c>
      <c r="H132">
        <v>4</v>
      </c>
      <c r="I132">
        <v>1</v>
      </c>
      <c r="J132" t="str">
        <f>VLOOKUP(I132,SeasonFormats!$A$3:$B$999,2,0)</f>
        <v>Season</v>
      </c>
      <c r="K132">
        <v>28</v>
      </c>
      <c r="L132">
        <v>1</v>
      </c>
      <c r="M132" t="s">
        <v>364</v>
      </c>
      <c r="N132">
        <v>4</v>
      </c>
      <c r="O132" t="s">
        <v>363</v>
      </c>
      <c r="P132">
        <v>4</v>
      </c>
      <c r="Q132" s="6" t="d">
        <v>1966-10-01</v>
      </c>
      <c r="R132">
        <v>-25</v>
      </c>
      <c r="S132">
        <v>1</v>
      </c>
      <c r="T132" s="15" t="s">
        <v>1106</v>
      </c>
      <c r="U132" t="str" cm="1">
        <f t="array" ref="U132">_xlfn.TEXTJOIN(",",TRUE,_xlfn.XLOOKUP(_xlfn.FILTERXML("&lt;t&gt;&lt;s&gt;" &amp; SUBSTITUTE(T132,",","&lt;/s&gt;&lt;s&gt;") &amp; "&lt;/s&gt;&lt;/t&gt;", "//s"),Writers!$A$3:$A$999,Writers!$B$3:$B$999,""))</f>
        <v>Brian Hayles</v>
      </c>
      <c r="V132"/>
      <c r="W132" t="str">
        <f>IF(V132="","",_xlfn.XLOOKUP(V132,Writers!$A$3:$A$999,Writers!$B$3:$B$999,""))</f>
        <v/>
      </c>
      <c r="X132">
        <v>4.5</v>
      </c>
      <c r="Y132"/>
      <c r="Z132"/>
      <c r="AA132">
        <f t="shared" ref="AA132:AA195" si="6">IF(ISBLANK(X132),"",ROUND(X132*AE132,2))</f>
        <v>5.63</v>
      </c>
      <c r="AB132" t="str">
        <f t="shared" ref="AB132:AB195" si="7">IF(ISBLANK(Y132),"",ROUND(Y132*AE132,2))</f>
        <v/>
      </c>
      <c r="AC132" t="str">
        <f t="shared" ref="AC132:AC195" si="8">IF(ISBLANK(Z132),"",ROUND(Z132*AE132,2))</f>
        <v/>
      </c>
      <c r="AD132">
        <f>VLOOKUP(YEAR(Q132),Populations!$A$3:$B$999,2,0)</f>
        <v>54642700</v>
      </c>
      <c r="AE132">
        <f>(Calculations!B1/AD132)</f>
        <v>1.2500284941995901</v>
      </c>
      <c r="AF132"/>
      <c r="AG132">
        <v>1</v>
      </c>
      <c r="AH132" t="str">
        <f>VLOOKUP(AG132,WikiFormats!$A$3:$B$999,2,0)</f>
        <v>Story</v>
      </c>
      <c r="AI132" t="s">
        <v>604</v>
      </c>
    </row>
    <row r="133" spans="1:35" s="8" customFormat="1" x14ac:dyDescent="0.55000000000000004">
      <c r="A133" s="3">
        <v>131</v>
      </c>
      <c r="B133" s="3">
        <v>1</v>
      </c>
      <c r="C133" s="3" t="str">
        <f>VLOOKUP(B133,Eras!$A$3:$B$999,2,0)</f>
        <v>Classic</v>
      </c>
      <c r="D133" s="3">
        <v>1</v>
      </c>
      <c r="E133" s="3" t="str">
        <f>VLOOKUP(D133,EpisodeFormats!$A$3:$B$999,2,0)</f>
        <v>Series</v>
      </c>
      <c r="F133" s="3">
        <v>1</v>
      </c>
      <c r="G133" s="3" t="str">
        <f>VLOOKUP(F133,Doctors!$A$3:$B$999,2,0)</f>
        <v>William Hartnell</v>
      </c>
      <c r="H133" s="3">
        <v>4</v>
      </c>
      <c r="I133" s="3">
        <v>1</v>
      </c>
      <c r="J133" s="3" t="str">
        <f>VLOOKUP(I133,SeasonFormats!$A$3:$B$999,2,0)</f>
        <v>Season</v>
      </c>
      <c r="K133" s="3">
        <v>29</v>
      </c>
      <c r="L133" s="3">
        <v>2</v>
      </c>
      <c r="M133" s="3" t="s">
        <v>365</v>
      </c>
      <c r="N133" s="3">
        <v>1</v>
      </c>
      <c r="O133" s="3" t="s">
        <v>360</v>
      </c>
      <c r="P133" s="3">
        <v>5</v>
      </c>
      <c r="Q133" s="7" t="d">
        <v>1966-10-08</v>
      </c>
      <c r="R133" s="3">
        <v>23</v>
      </c>
      <c r="S133" s="3"/>
      <c r="T133" s="4" t="s">
        <v>1127</v>
      </c>
      <c r="U133" s="3" t="str" cm="1">
        <f t="array" ref="U133">_xlfn.TEXTJOIN(",",TRUE,_xlfn.XLOOKUP(_xlfn.FILTERXML("&lt;t&gt;&lt;s&gt;" &amp; SUBSTITUTE(T133,",","&lt;/s&gt;&lt;s&gt;") &amp; "&lt;/s&gt;&lt;/t&gt;", "//s"),Writers!$A$3:$A$999,Writers!$B$3:$B$999,""))</f>
        <v>Kit Pedler</v>
      </c>
      <c r="V133" s="3"/>
      <c r="W133" s="3" t="str">
        <f>IF(V133="","",_xlfn.XLOOKUP(V133,Writers!$A$3:$A$999,Writers!$B$3:$B$999,""))</f>
        <v/>
      </c>
      <c r="X133" s="3">
        <v>5.5</v>
      </c>
      <c r="Y133" s="3"/>
      <c r="Z133" s="3"/>
      <c r="AA133" s="3">
        <f t="shared" si="6"/>
        <v>6.88</v>
      </c>
      <c r="AB133" s="3" t="str">
        <f t="shared" si="7"/>
        <v/>
      </c>
      <c r="AC133" s="3" t="str">
        <f t="shared" si="8"/>
        <v/>
      </c>
      <c r="AD133" s="3">
        <f>VLOOKUP(YEAR(Q133),Populations!$A$3:$B$999,2,0)</f>
        <v>54642700</v>
      </c>
      <c r="AE133" s="3">
        <f>(Calculations!B1/AD133)</f>
        <v>1.2500284941995901</v>
      </c>
      <c r="AF133" s="3"/>
      <c r="AG133" s="3">
        <v>1</v>
      </c>
      <c r="AH133" s="3" t="str">
        <f>VLOOKUP(AG133,WikiFormats!$A$3:$B$999,2,0)</f>
        <v>Story</v>
      </c>
      <c r="AI133" s="3" t="s">
        <v>605</v>
      </c>
    </row>
    <row r="134" spans="1:35" s="8" customFormat="1" x14ac:dyDescent="0.55000000000000004">
      <c r="A134" s="3">
        <v>132</v>
      </c>
      <c r="B134" s="3">
        <v>1</v>
      </c>
      <c r="C134" s="3" t="str">
        <f>VLOOKUP(B134,Eras!$A$3:$B$999,2,0)</f>
        <v>Classic</v>
      </c>
      <c r="D134" s="3">
        <v>1</v>
      </c>
      <c r="E134" s="3" t="str">
        <f>VLOOKUP(D134,EpisodeFormats!$A$3:$B$999,2,0)</f>
        <v>Series</v>
      </c>
      <c r="F134" s="3">
        <v>1</v>
      </c>
      <c r="G134" s="3" t="str">
        <f>VLOOKUP(F134,Doctors!$A$3:$B$999,2,0)</f>
        <v>William Hartnell</v>
      </c>
      <c r="H134" s="3">
        <v>4</v>
      </c>
      <c r="I134" s="3">
        <v>1</v>
      </c>
      <c r="J134" s="3" t="str">
        <f>VLOOKUP(I134,SeasonFormats!$A$3:$B$999,2,0)</f>
        <v>Season</v>
      </c>
      <c r="K134" s="3">
        <v>29</v>
      </c>
      <c r="L134" s="3">
        <v>2</v>
      </c>
      <c r="M134" s="3" t="s">
        <v>365</v>
      </c>
      <c r="N134" s="3">
        <v>2</v>
      </c>
      <c r="O134" s="3" t="s">
        <v>361</v>
      </c>
      <c r="P134" s="3">
        <v>6</v>
      </c>
      <c r="Q134" s="7" t="d">
        <v>1966-10-15</v>
      </c>
      <c r="R134" s="3">
        <v>23</v>
      </c>
      <c r="S134" s="3"/>
      <c r="T134" s="4" t="s">
        <v>1127</v>
      </c>
      <c r="U134" s="3" t="str" cm="1">
        <f t="array" ref="U134">_xlfn.TEXTJOIN(",",TRUE,_xlfn.XLOOKUP(_xlfn.FILTERXML("&lt;t&gt;&lt;s&gt;" &amp; SUBSTITUTE(T134,",","&lt;/s&gt;&lt;s&gt;") &amp; "&lt;/s&gt;&lt;/t&gt;", "//s"),Writers!$A$3:$A$999,Writers!$B$3:$B$999,""))</f>
        <v>Kit Pedler</v>
      </c>
      <c r="V134" s="3"/>
      <c r="W134" s="3" t="str">
        <f>IF(V134="","",_xlfn.XLOOKUP(V134,Writers!$A$3:$A$999,Writers!$B$3:$B$999,""))</f>
        <v/>
      </c>
      <c r="X134" s="3">
        <v>6.4</v>
      </c>
      <c r="Y134" s="3"/>
      <c r="Z134" s="3"/>
      <c r="AA134" s="3">
        <f t="shared" si="6"/>
        <v>8</v>
      </c>
      <c r="AB134" s="3" t="str">
        <f t="shared" si="7"/>
        <v/>
      </c>
      <c r="AC134" s="3" t="str">
        <f t="shared" si="8"/>
        <v/>
      </c>
      <c r="AD134" s="3">
        <f>VLOOKUP(YEAR(Q134),Populations!$A$3:$B$999,2,0)</f>
        <v>54642700</v>
      </c>
      <c r="AE134" s="3">
        <f>(Calculations!B1/AD134)</f>
        <v>1.2500284941995901</v>
      </c>
      <c r="AF134" s="3"/>
      <c r="AG134" s="3">
        <v>1</v>
      </c>
      <c r="AH134" s="3" t="str">
        <f>VLOOKUP(AG134,WikiFormats!$A$3:$B$999,2,0)</f>
        <v>Story</v>
      </c>
      <c r="AI134" s="3" t="s">
        <v>605</v>
      </c>
    </row>
    <row r="135" spans="1:35" s="8" customFormat="1" x14ac:dyDescent="0.55000000000000004">
      <c r="A135" s="3">
        <v>133</v>
      </c>
      <c r="B135" s="3">
        <v>1</v>
      </c>
      <c r="C135" s="3" t="str">
        <f>VLOOKUP(B135,Eras!$A$3:$B$999,2,0)</f>
        <v>Classic</v>
      </c>
      <c r="D135" s="3">
        <v>1</v>
      </c>
      <c r="E135" s="3" t="str">
        <f>VLOOKUP(D135,EpisodeFormats!$A$3:$B$999,2,0)</f>
        <v>Series</v>
      </c>
      <c r="F135" s="3">
        <v>1</v>
      </c>
      <c r="G135" s="3" t="str">
        <f>VLOOKUP(F135,Doctors!$A$3:$B$999,2,0)</f>
        <v>William Hartnell</v>
      </c>
      <c r="H135" s="3">
        <v>4</v>
      </c>
      <c r="I135" s="3">
        <v>1</v>
      </c>
      <c r="J135" s="3" t="str">
        <f>VLOOKUP(I135,SeasonFormats!$A$3:$B$999,2,0)</f>
        <v>Season</v>
      </c>
      <c r="K135" s="3">
        <v>29</v>
      </c>
      <c r="L135" s="3">
        <v>2</v>
      </c>
      <c r="M135" s="3" t="s">
        <v>365</v>
      </c>
      <c r="N135" s="3">
        <v>3</v>
      </c>
      <c r="O135" s="3" t="s">
        <v>362</v>
      </c>
      <c r="P135" s="3">
        <v>7</v>
      </c>
      <c r="Q135" s="7" t="d">
        <v>1966-10-22</v>
      </c>
      <c r="R135" s="3">
        <v>24</v>
      </c>
      <c r="S135" s="3"/>
      <c r="T135" s="4" t="s">
        <v>1103</v>
      </c>
      <c r="U135" s="3" t="str" cm="1">
        <f t="array" ref="U135">_xlfn.TEXTJOIN(",",TRUE,_xlfn.XLOOKUP(_xlfn.FILTERXML("&lt;t&gt;&lt;s&gt;" &amp; SUBSTITUTE(T135,",","&lt;/s&gt;&lt;s&gt;") &amp; "&lt;/s&gt;&lt;/t&gt;", "//s"),Writers!$A$3:$A$999,Writers!$B$3:$B$999,""))</f>
        <v>Gerry Davis,Kit Pedler</v>
      </c>
      <c r="V135" s="3"/>
      <c r="W135" s="3" t="str">
        <f>IF(V135="","",_xlfn.XLOOKUP(V135,Writers!$A$3:$A$999,Writers!$B$3:$B$999,""))</f>
        <v/>
      </c>
      <c r="X135" s="3">
        <v>7.6</v>
      </c>
      <c r="Y135" s="3"/>
      <c r="Z135" s="3"/>
      <c r="AA135" s="3">
        <f t="shared" si="6"/>
        <v>9.5</v>
      </c>
      <c r="AB135" s="3" t="str">
        <f t="shared" si="7"/>
        <v/>
      </c>
      <c r="AC135" s="3" t="str">
        <f t="shared" si="8"/>
        <v/>
      </c>
      <c r="AD135" s="3">
        <f>VLOOKUP(YEAR(Q135),Populations!$A$3:$B$999,2,0)</f>
        <v>54642700</v>
      </c>
      <c r="AE135" s="3">
        <f>(Calculations!B1/AD135)</f>
        <v>1.2500284941995901</v>
      </c>
      <c r="AF135" s="3"/>
      <c r="AG135" s="3">
        <v>1</v>
      </c>
      <c r="AH135" s="3" t="str">
        <f>VLOOKUP(AG135,WikiFormats!$A$3:$B$999,2,0)</f>
        <v>Story</v>
      </c>
      <c r="AI135" s="3" t="s">
        <v>605</v>
      </c>
    </row>
    <row r="136" spans="1:35" s="8" customFormat="1" x14ac:dyDescent="0.55000000000000004">
      <c r="A136" s="3">
        <v>134</v>
      </c>
      <c r="B136" s="3">
        <v>1</v>
      </c>
      <c r="C136" s="3" t="str">
        <f>VLOOKUP(B136,Eras!$A$3:$B$999,2,0)</f>
        <v>Classic</v>
      </c>
      <c r="D136" s="3">
        <v>1</v>
      </c>
      <c r="E136" s="3" t="str">
        <f>VLOOKUP(D136,EpisodeFormats!$A$3:$B$999,2,0)</f>
        <v>Series</v>
      </c>
      <c r="F136" s="3">
        <v>1</v>
      </c>
      <c r="G136" s="3" t="str">
        <f>VLOOKUP(F136,Doctors!$A$3:$B$999,2,0)</f>
        <v>William Hartnell</v>
      </c>
      <c r="H136" s="3">
        <v>4</v>
      </c>
      <c r="I136" s="3">
        <v>1</v>
      </c>
      <c r="J136" s="3" t="str">
        <f>VLOOKUP(I136,SeasonFormats!$A$3:$B$999,2,0)</f>
        <v>Season</v>
      </c>
      <c r="K136" s="3">
        <v>29</v>
      </c>
      <c r="L136" s="3">
        <v>2</v>
      </c>
      <c r="M136" s="3" t="s">
        <v>365</v>
      </c>
      <c r="N136" s="3">
        <v>4</v>
      </c>
      <c r="O136" s="3" t="s">
        <v>363</v>
      </c>
      <c r="P136" s="3">
        <v>8</v>
      </c>
      <c r="Q136" s="7" t="d">
        <v>1966-10-29</v>
      </c>
      <c r="R136" s="3">
        <v>25</v>
      </c>
      <c r="S136" s="3">
        <v>1</v>
      </c>
      <c r="T136" s="4" t="s">
        <v>1103</v>
      </c>
      <c r="U136" s="3" t="str" cm="1">
        <f t="array" ref="U136">_xlfn.TEXTJOIN(",",TRUE,_xlfn.XLOOKUP(_xlfn.FILTERXML("&lt;t&gt;&lt;s&gt;" &amp; SUBSTITUTE(T136,",","&lt;/s&gt;&lt;s&gt;") &amp; "&lt;/s&gt;&lt;/t&gt;", "//s"),Writers!$A$3:$A$999,Writers!$B$3:$B$999,""))</f>
        <v>Gerry Davis,Kit Pedler</v>
      </c>
      <c r="V136" s="3"/>
      <c r="W136" s="3" t="str">
        <f>IF(V136="","",_xlfn.XLOOKUP(V136,Writers!$A$3:$A$999,Writers!$B$3:$B$999,""))</f>
        <v/>
      </c>
      <c r="X136" s="3">
        <v>7.5</v>
      </c>
      <c r="Y136" s="3"/>
      <c r="Z136" s="3"/>
      <c r="AA136" s="3">
        <f t="shared" si="6"/>
        <v>9.3800000000000008</v>
      </c>
      <c r="AB136" s="3" t="str">
        <f t="shared" si="7"/>
        <v/>
      </c>
      <c r="AC136" s="3" t="str">
        <f t="shared" si="8"/>
        <v/>
      </c>
      <c r="AD136" s="3">
        <f>VLOOKUP(YEAR(Q136),Populations!$A$3:$B$999,2,0)</f>
        <v>54642700</v>
      </c>
      <c r="AE136" s="3">
        <f>(Calculations!B1/AD136)</f>
        <v>1.2500284941995901</v>
      </c>
      <c r="AF136" s="3"/>
      <c r="AG136" s="3">
        <v>1</v>
      </c>
      <c r="AH136" s="3" t="str">
        <f>VLOOKUP(AG136,WikiFormats!$A$3:$B$999,2,0)</f>
        <v>Story</v>
      </c>
      <c r="AI136" s="3" t="s">
        <v>605</v>
      </c>
    </row>
    <row r="137" spans="1:35" s="2" customFormat="1" x14ac:dyDescent="0.55000000000000004">
      <c r="A137">
        <v>135</v>
      </c>
      <c r="B137">
        <v>1</v>
      </c>
      <c r="C137" t="str">
        <f>VLOOKUP(B137,Eras!$A$3:$B$999,2,0)</f>
        <v>Classic</v>
      </c>
      <c r="D137">
        <v>1</v>
      </c>
      <c r="E137" t="str">
        <f>VLOOKUP(D137,EpisodeFormats!$A$3:$B$999,2,0)</f>
        <v>Series</v>
      </c>
      <c r="F137">
        <v>2</v>
      </c>
      <c r="G137" t="str">
        <f>VLOOKUP(F137,Doctors!$A$3:$B$999,2,0)</f>
        <v>Patrick Troughton</v>
      </c>
      <c r="H137">
        <v>4</v>
      </c>
      <c r="I137">
        <v>1</v>
      </c>
      <c r="J137" t="str">
        <f>VLOOKUP(I137,SeasonFormats!$A$3:$B$999,2,0)</f>
        <v>Season</v>
      </c>
      <c r="K137">
        <v>30</v>
      </c>
      <c r="L137">
        <v>3</v>
      </c>
      <c r="M137" t="s">
        <v>366</v>
      </c>
      <c r="N137">
        <v>1</v>
      </c>
      <c r="O137" t="s">
        <v>373</v>
      </c>
      <c r="P137">
        <v>9</v>
      </c>
      <c r="Q137" s="6" t="d">
        <v>1966-11-05</v>
      </c>
      <c r="R137">
        <v>27</v>
      </c>
      <c r="S137">
        <v>1</v>
      </c>
      <c r="T137" s="15" t="s">
        <v>1175</v>
      </c>
      <c r="U137" t="str" cm="1">
        <f t="array" ref="U137">_xlfn.TEXTJOIN(",",TRUE,_xlfn.XLOOKUP(_xlfn.FILTERXML("&lt;t&gt;&lt;s&gt;" &amp; SUBSTITUTE(T137,",","&lt;/s&gt;&lt;s&gt;") &amp; "&lt;/s&gt;&lt;/t&gt;", "//s"),Writers!$A$3:$A$999,Writers!$B$3:$B$999,""))</f>
        <v>David Whitaker</v>
      </c>
      <c r="V137"/>
      <c r="W137" t="str">
        <f>IF(V137="","",_xlfn.XLOOKUP(V137,Writers!$A$3:$A$999,Writers!$B$3:$B$999,""))</f>
        <v/>
      </c>
      <c r="X137">
        <v>7.9</v>
      </c>
      <c r="Y137"/>
      <c r="Z137"/>
      <c r="AA137">
        <f t="shared" si="6"/>
        <v>9.8800000000000008</v>
      </c>
      <c r="AB137" t="str">
        <f t="shared" si="7"/>
        <v/>
      </c>
      <c r="AC137" t="str">
        <f t="shared" si="8"/>
        <v/>
      </c>
      <c r="AD137">
        <f>VLOOKUP(YEAR(Q137),Populations!$A$3:$B$999,2,0)</f>
        <v>54642700</v>
      </c>
      <c r="AE137">
        <f>(Calculations!B1/AD137)</f>
        <v>1.2500284941995901</v>
      </c>
      <c r="AF137"/>
      <c r="AG137">
        <v>1</v>
      </c>
      <c r="AH137" t="str">
        <f>VLOOKUP(AG137,WikiFormats!$A$3:$B$999,2,0)</f>
        <v>Story</v>
      </c>
      <c r="AI137" t="s">
        <v>606</v>
      </c>
    </row>
    <row r="138" spans="1:35" s="2" customFormat="1" x14ac:dyDescent="0.55000000000000004">
      <c r="A138">
        <v>136</v>
      </c>
      <c r="B138">
        <v>1</v>
      </c>
      <c r="C138" t="str">
        <f>VLOOKUP(B138,Eras!$A$3:$B$999,2,0)</f>
        <v>Classic</v>
      </c>
      <c r="D138">
        <v>1</v>
      </c>
      <c r="E138" t="str">
        <f>VLOOKUP(D138,EpisodeFormats!$A$3:$B$999,2,0)</f>
        <v>Series</v>
      </c>
      <c r="F138">
        <v>2</v>
      </c>
      <c r="G138" t="str">
        <f>VLOOKUP(F138,Doctors!$A$3:$B$999,2,0)</f>
        <v>Patrick Troughton</v>
      </c>
      <c r="H138">
        <v>4</v>
      </c>
      <c r="I138">
        <v>1</v>
      </c>
      <c r="J138" t="str">
        <f>VLOOKUP(I138,SeasonFormats!$A$3:$B$999,2,0)</f>
        <v>Season</v>
      </c>
      <c r="K138">
        <v>30</v>
      </c>
      <c r="L138">
        <v>3</v>
      </c>
      <c r="M138" t="s">
        <v>366</v>
      </c>
      <c r="N138">
        <v>2</v>
      </c>
      <c r="O138" t="s">
        <v>374</v>
      </c>
      <c r="P138">
        <v>10</v>
      </c>
      <c r="Q138" s="6" t="d">
        <v>1966-11-12</v>
      </c>
      <c r="R138">
        <v>26</v>
      </c>
      <c r="S138">
        <v>1</v>
      </c>
      <c r="T138" s="15" t="s">
        <v>1175</v>
      </c>
      <c r="U138" t="str" cm="1">
        <f t="array" ref="U138">_xlfn.TEXTJOIN(",",TRUE,_xlfn.XLOOKUP(_xlfn.FILTERXML("&lt;t&gt;&lt;s&gt;" &amp; SUBSTITUTE(T138,",","&lt;/s&gt;&lt;s&gt;") &amp; "&lt;/s&gt;&lt;/t&gt;", "//s"),Writers!$A$3:$A$999,Writers!$B$3:$B$999,""))</f>
        <v>David Whitaker</v>
      </c>
      <c r="V138"/>
      <c r="W138" t="str">
        <f>IF(V138="","",_xlfn.XLOOKUP(V138,Writers!$A$3:$A$999,Writers!$B$3:$B$999,""))</f>
        <v/>
      </c>
      <c r="X138">
        <v>7.8</v>
      </c>
      <c r="Y138"/>
      <c r="Z138"/>
      <c r="AA138">
        <f t="shared" si="6"/>
        <v>9.75</v>
      </c>
      <c r="AB138" t="str">
        <f t="shared" si="7"/>
        <v/>
      </c>
      <c r="AC138" t="str">
        <f t="shared" si="8"/>
        <v/>
      </c>
      <c r="AD138">
        <f>VLOOKUP(YEAR(Q138),Populations!$A$3:$B$999,2,0)</f>
        <v>54642700</v>
      </c>
      <c r="AE138">
        <f>(Calculations!B1/AD138)</f>
        <v>1.2500284941995901</v>
      </c>
      <c r="AF138"/>
      <c r="AG138">
        <v>1</v>
      </c>
      <c r="AH138" t="str">
        <f>VLOOKUP(AG138,WikiFormats!$A$3:$B$999,2,0)</f>
        <v>Story</v>
      </c>
      <c r="AI138" t="s">
        <v>606</v>
      </c>
    </row>
    <row r="139" spans="1:35" s="2" customFormat="1" x14ac:dyDescent="0.55000000000000004">
      <c r="A139">
        <v>137</v>
      </c>
      <c r="B139">
        <v>1</v>
      </c>
      <c r="C139" t="str">
        <f>VLOOKUP(B139,Eras!$A$3:$B$999,2,0)</f>
        <v>Classic</v>
      </c>
      <c r="D139">
        <v>1</v>
      </c>
      <c r="E139" t="str">
        <f>VLOOKUP(D139,EpisodeFormats!$A$3:$B$999,2,0)</f>
        <v>Series</v>
      </c>
      <c r="F139">
        <v>2</v>
      </c>
      <c r="G139" t="str">
        <f>VLOOKUP(F139,Doctors!$A$3:$B$999,2,0)</f>
        <v>Patrick Troughton</v>
      </c>
      <c r="H139">
        <v>4</v>
      </c>
      <c r="I139">
        <v>1</v>
      </c>
      <c r="J139" t="str">
        <f>VLOOKUP(I139,SeasonFormats!$A$3:$B$999,2,0)</f>
        <v>Season</v>
      </c>
      <c r="K139">
        <v>30</v>
      </c>
      <c r="L139">
        <v>3</v>
      </c>
      <c r="M139" t="s">
        <v>366</v>
      </c>
      <c r="N139">
        <v>3</v>
      </c>
      <c r="O139" t="s">
        <v>375</v>
      </c>
      <c r="P139">
        <v>11</v>
      </c>
      <c r="Q139" s="6" t="d">
        <v>1966-11-19</v>
      </c>
      <c r="R139">
        <v>24</v>
      </c>
      <c r="S139">
        <v>1</v>
      </c>
      <c r="T139" s="15" t="s">
        <v>1175</v>
      </c>
      <c r="U139" t="str" cm="1">
        <f t="array" ref="U139">_xlfn.TEXTJOIN(",",TRUE,_xlfn.XLOOKUP(_xlfn.FILTERXML("&lt;t&gt;&lt;s&gt;" &amp; SUBSTITUTE(T139,",","&lt;/s&gt;&lt;s&gt;") &amp; "&lt;/s&gt;&lt;/t&gt;", "//s"),Writers!$A$3:$A$999,Writers!$B$3:$B$999,""))</f>
        <v>David Whitaker</v>
      </c>
      <c r="V139"/>
      <c r="W139" t="str">
        <f>IF(V139="","",_xlfn.XLOOKUP(V139,Writers!$A$3:$A$999,Writers!$B$3:$B$999,""))</f>
        <v/>
      </c>
      <c r="X139">
        <v>7.5</v>
      </c>
      <c r="Y139"/>
      <c r="Z139"/>
      <c r="AA139">
        <f t="shared" si="6"/>
        <v>9.3800000000000008</v>
      </c>
      <c r="AB139" t="str">
        <f t="shared" si="7"/>
        <v/>
      </c>
      <c r="AC139" t="str">
        <f t="shared" si="8"/>
        <v/>
      </c>
      <c r="AD139">
        <f>VLOOKUP(YEAR(Q139),Populations!$A$3:$B$999,2,0)</f>
        <v>54642700</v>
      </c>
      <c r="AE139">
        <f>(Calculations!B1/AD139)</f>
        <v>1.2500284941995901</v>
      </c>
      <c r="AF139"/>
      <c r="AG139">
        <v>1</v>
      </c>
      <c r="AH139" t="str">
        <f>VLOOKUP(AG139,WikiFormats!$A$3:$B$999,2,0)</f>
        <v>Story</v>
      </c>
      <c r="AI139" t="s">
        <v>606</v>
      </c>
    </row>
    <row r="140" spans="1:35" s="2" customFormat="1" x14ac:dyDescent="0.55000000000000004">
      <c r="A140">
        <v>138</v>
      </c>
      <c r="B140">
        <v>1</v>
      </c>
      <c r="C140" t="str">
        <f>VLOOKUP(B140,Eras!$A$3:$B$999,2,0)</f>
        <v>Classic</v>
      </c>
      <c r="D140">
        <v>1</v>
      </c>
      <c r="E140" t="str">
        <f>VLOOKUP(D140,EpisodeFormats!$A$3:$B$999,2,0)</f>
        <v>Series</v>
      </c>
      <c r="F140">
        <v>2</v>
      </c>
      <c r="G140" t="str">
        <f>VLOOKUP(F140,Doctors!$A$3:$B$999,2,0)</f>
        <v>Patrick Troughton</v>
      </c>
      <c r="H140">
        <v>4</v>
      </c>
      <c r="I140">
        <v>1</v>
      </c>
      <c r="J140" t="str">
        <f>VLOOKUP(I140,SeasonFormats!$A$3:$B$999,2,0)</f>
        <v>Season</v>
      </c>
      <c r="K140">
        <v>30</v>
      </c>
      <c r="L140">
        <v>3</v>
      </c>
      <c r="M140" t="s">
        <v>366</v>
      </c>
      <c r="N140">
        <v>4</v>
      </c>
      <c r="O140" t="s">
        <v>376</v>
      </c>
      <c r="P140">
        <v>12</v>
      </c>
      <c r="Q140" s="6" t="d">
        <v>1966-11-26</v>
      </c>
      <c r="R140">
        <v>25</v>
      </c>
      <c r="S140">
        <v>1</v>
      </c>
      <c r="T140" s="15" t="s">
        <v>1175</v>
      </c>
      <c r="U140" t="str" cm="1">
        <f t="array" ref="U140">_xlfn.TEXTJOIN(",",TRUE,_xlfn.XLOOKUP(_xlfn.FILTERXML("&lt;t&gt;&lt;s&gt;" &amp; SUBSTITUTE(T140,",","&lt;/s&gt;&lt;s&gt;") &amp; "&lt;/s&gt;&lt;/t&gt;", "//s"),Writers!$A$3:$A$999,Writers!$B$3:$B$999,""))</f>
        <v>David Whitaker</v>
      </c>
      <c r="V140"/>
      <c r="W140" t="str">
        <f>IF(V140="","",_xlfn.XLOOKUP(V140,Writers!$A$3:$A$999,Writers!$B$3:$B$999,""))</f>
        <v/>
      </c>
      <c r="X140">
        <v>7.8</v>
      </c>
      <c r="Y140"/>
      <c r="Z140"/>
      <c r="AA140">
        <f t="shared" si="6"/>
        <v>9.75</v>
      </c>
      <c r="AB140" t="str">
        <f t="shared" si="7"/>
        <v/>
      </c>
      <c r="AC140" t="str">
        <f t="shared" si="8"/>
        <v/>
      </c>
      <c r="AD140">
        <f>VLOOKUP(YEAR(Q140),Populations!$A$3:$B$999,2,0)</f>
        <v>54642700</v>
      </c>
      <c r="AE140">
        <f>(Calculations!B1/AD140)</f>
        <v>1.2500284941995901</v>
      </c>
      <c r="AF140"/>
      <c r="AG140">
        <v>1</v>
      </c>
      <c r="AH140" t="str">
        <f>VLOOKUP(AG140,WikiFormats!$A$3:$B$999,2,0)</f>
        <v>Story</v>
      </c>
      <c r="AI140" t="s">
        <v>606</v>
      </c>
    </row>
    <row r="141" spans="1:35" s="2" customFormat="1" x14ac:dyDescent="0.55000000000000004">
      <c r="A141">
        <v>139</v>
      </c>
      <c r="B141">
        <v>1</v>
      </c>
      <c r="C141" t="str">
        <f>VLOOKUP(B141,Eras!$A$3:$B$999,2,0)</f>
        <v>Classic</v>
      </c>
      <c r="D141">
        <v>1</v>
      </c>
      <c r="E141" t="str">
        <f>VLOOKUP(D141,EpisodeFormats!$A$3:$B$999,2,0)</f>
        <v>Series</v>
      </c>
      <c r="F141">
        <v>2</v>
      </c>
      <c r="G141" t="str">
        <f>VLOOKUP(F141,Doctors!$A$3:$B$999,2,0)</f>
        <v>Patrick Troughton</v>
      </c>
      <c r="H141">
        <v>4</v>
      </c>
      <c r="I141">
        <v>1</v>
      </c>
      <c r="J141" t="str">
        <f>VLOOKUP(I141,SeasonFormats!$A$3:$B$999,2,0)</f>
        <v>Season</v>
      </c>
      <c r="K141">
        <v>30</v>
      </c>
      <c r="L141">
        <v>3</v>
      </c>
      <c r="M141" t="s">
        <v>366</v>
      </c>
      <c r="N141">
        <v>5</v>
      </c>
      <c r="O141" t="s">
        <v>377</v>
      </c>
      <c r="P141">
        <v>13</v>
      </c>
      <c r="Q141" s="6" t="d">
        <v>1966-12-03</v>
      </c>
      <c r="R141">
        <v>24</v>
      </c>
      <c r="S141">
        <v>1</v>
      </c>
      <c r="T141" s="15" t="s">
        <v>1175</v>
      </c>
      <c r="U141" t="str" cm="1">
        <f t="array" ref="U141">_xlfn.TEXTJOIN(",",TRUE,_xlfn.XLOOKUP(_xlfn.FILTERXML("&lt;t&gt;&lt;s&gt;" &amp; SUBSTITUTE(T141,",","&lt;/s&gt;&lt;s&gt;") &amp; "&lt;/s&gt;&lt;/t&gt;", "//s"),Writers!$A$3:$A$999,Writers!$B$3:$B$999,""))</f>
        <v>David Whitaker</v>
      </c>
      <c r="V141"/>
      <c r="W141" t="str">
        <f>IF(V141="","",_xlfn.XLOOKUP(V141,Writers!$A$3:$A$999,Writers!$B$3:$B$999,""))</f>
        <v/>
      </c>
      <c r="X141">
        <v>8</v>
      </c>
      <c r="Y141"/>
      <c r="Z141"/>
      <c r="AA141">
        <f t="shared" si="6"/>
        <v>10</v>
      </c>
      <c r="AB141" t="str">
        <f t="shared" si="7"/>
        <v/>
      </c>
      <c r="AC141" t="str">
        <f t="shared" si="8"/>
        <v/>
      </c>
      <c r="AD141">
        <f>VLOOKUP(YEAR(Q141),Populations!$A$3:$B$999,2,0)</f>
        <v>54642700</v>
      </c>
      <c r="AE141">
        <f>(Calculations!B1/AD141)</f>
        <v>1.2500284941995901</v>
      </c>
      <c r="AF141"/>
      <c r="AG141">
        <v>1</v>
      </c>
      <c r="AH141" t="str">
        <f>VLOOKUP(AG141,WikiFormats!$A$3:$B$999,2,0)</f>
        <v>Story</v>
      </c>
      <c r="AI141" t="s">
        <v>606</v>
      </c>
    </row>
    <row r="142" spans="1:35" s="2" customFormat="1" x14ac:dyDescent="0.55000000000000004">
      <c r="A142">
        <v>140</v>
      </c>
      <c r="B142">
        <v>1</v>
      </c>
      <c r="C142" t="str">
        <f>VLOOKUP(B142,Eras!$A$3:$B$999,2,0)</f>
        <v>Classic</v>
      </c>
      <c r="D142">
        <v>1</v>
      </c>
      <c r="E142" t="str">
        <f>VLOOKUP(D142,EpisodeFormats!$A$3:$B$999,2,0)</f>
        <v>Series</v>
      </c>
      <c r="F142">
        <v>2</v>
      </c>
      <c r="G142" t="str">
        <f>VLOOKUP(F142,Doctors!$A$3:$B$999,2,0)</f>
        <v>Patrick Troughton</v>
      </c>
      <c r="H142">
        <v>4</v>
      </c>
      <c r="I142">
        <v>1</v>
      </c>
      <c r="J142" t="str">
        <f>VLOOKUP(I142,SeasonFormats!$A$3:$B$999,2,0)</f>
        <v>Season</v>
      </c>
      <c r="K142">
        <v>30</v>
      </c>
      <c r="L142">
        <v>3</v>
      </c>
      <c r="M142" t="s">
        <v>366</v>
      </c>
      <c r="N142">
        <v>6</v>
      </c>
      <c r="O142" t="s">
        <v>378</v>
      </c>
      <c r="P142">
        <v>14</v>
      </c>
      <c r="Q142" s="6" t="d">
        <v>1966-12-10</v>
      </c>
      <c r="R142">
        <v>24</v>
      </c>
      <c r="S142">
        <v>1</v>
      </c>
      <c r="T142" s="15" t="s">
        <v>1175</v>
      </c>
      <c r="U142" t="str" cm="1">
        <f t="array" ref="U142">_xlfn.TEXTJOIN(",",TRUE,_xlfn.XLOOKUP(_xlfn.FILTERXML("&lt;t&gt;&lt;s&gt;" &amp; SUBSTITUTE(T142,",","&lt;/s&gt;&lt;s&gt;") &amp; "&lt;/s&gt;&lt;/t&gt;", "//s"),Writers!$A$3:$A$999,Writers!$B$3:$B$999,""))</f>
        <v>David Whitaker</v>
      </c>
      <c r="V142"/>
      <c r="W142" t="str">
        <f>IF(V142="","",_xlfn.XLOOKUP(V142,Writers!$A$3:$A$999,Writers!$B$3:$B$999,""))</f>
        <v/>
      </c>
      <c r="X142">
        <v>7.8</v>
      </c>
      <c r="Y142"/>
      <c r="Z142"/>
      <c r="AA142">
        <f t="shared" si="6"/>
        <v>9.75</v>
      </c>
      <c r="AB142" t="str">
        <f t="shared" si="7"/>
        <v/>
      </c>
      <c r="AC142" t="str">
        <f t="shared" si="8"/>
        <v/>
      </c>
      <c r="AD142">
        <f>VLOOKUP(YEAR(Q142),Populations!$A$3:$B$999,2,0)</f>
        <v>54642700</v>
      </c>
      <c r="AE142">
        <f>(Calculations!B1/AD142)</f>
        <v>1.2500284941995901</v>
      </c>
      <c r="AF142"/>
      <c r="AG142">
        <v>1</v>
      </c>
      <c r="AH142" t="str">
        <f>VLOOKUP(AG142,WikiFormats!$A$3:$B$999,2,0)</f>
        <v>Story</v>
      </c>
      <c r="AI142" t="s">
        <v>606</v>
      </c>
    </row>
    <row r="143" spans="1:35" s="8" customFormat="1" x14ac:dyDescent="0.55000000000000004">
      <c r="A143" s="3">
        <v>141</v>
      </c>
      <c r="B143" s="3">
        <v>1</v>
      </c>
      <c r="C143" s="3" t="str">
        <f>VLOOKUP(B143,Eras!$A$3:$B$999,2,0)</f>
        <v>Classic</v>
      </c>
      <c r="D143" s="3">
        <v>1</v>
      </c>
      <c r="E143" s="3" t="str">
        <f>VLOOKUP(D143,EpisodeFormats!$A$3:$B$999,2,0)</f>
        <v>Series</v>
      </c>
      <c r="F143" s="3">
        <v>2</v>
      </c>
      <c r="G143" s="3" t="str">
        <f>VLOOKUP(F143,Doctors!$A$3:$B$999,2,0)</f>
        <v>Patrick Troughton</v>
      </c>
      <c r="H143" s="3">
        <v>4</v>
      </c>
      <c r="I143" s="3">
        <v>1</v>
      </c>
      <c r="J143" s="3" t="str">
        <f>VLOOKUP(I143,SeasonFormats!$A$3:$B$999,2,0)</f>
        <v>Season</v>
      </c>
      <c r="K143" s="3">
        <v>31</v>
      </c>
      <c r="L143" s="3">
        <v>4</v>
      </c>
      <c r="M143" s="3" t="s">
        <v>367</v>
      </c>
      <c r="N143" s="3">
        <v>1</v>
      </c>
      <c r="O143" s="3" t="s">
        <v>360</v>
      </c>
      <c r="P143" s="3">
        <v>15</v>
      </c>
      <c r="Q143" s="7" t="d">
        <v>1966-12-17</v>
      </c>
      <c r="R143" s="3">
        <v>-25</v>
      </c>
      <c r="S143" s="3">
        <v>1</v>
      </c>
      <c r="T143" s="4" t="s">
        <v>1104</v>
      </c>
      <c r="U143" s="3" t="str" cm="1">
        <f t="array" ref="U143">_xlfn.TEXTJOIN(",",TRUE,_xlfn.XLOOKUP(_xlfn.FILTERXML("&lt;t&gt;&lt;s&gt;" &amp; SUBSTITUTE(T143,",","&lt;/s&gt;&lt;s&gt;") &amp; "&lt;/s&gt;&lt;/t&gt;", "//s"),Writers!$A$3:$A$999,Writers!$B$3:$B$999,""))</f>
        <v>Gerry Davis,Elwyn Jones</v>
      </c>
      <c r="V143" s="3"/>
      <c r="W143" s="3" t="str">
        <f>IF(V143="","",_xlfn.XLOOKUP(V143,Writers!$A$3:$A$999,Writers!$B$3:$B$999,""))</f>
        <v/>
      </c>
      <c r="X143" s="3">
        <v>6.7</v>
      </c>
      <c r="Y143" s="3"/>
      <c r="Z143" s="3"/>
      <c r="AA143" s="3">
        <f t="shared" si="6"/>
        <v>8.3800000000000008</v>
      </c>
      <c r="AB143" s="3" t="str">
        <f t="shared" si="7"/>
        <v/>
      </c>
      <c r="AC143" s="3" t="str">
        <f t="shared" si="8"/>
        <v/>
      </c>
      <c r="AD143" s="3">
        <f>VLOOKUP(YEAR(Q143),Populations!$A$3:$B$999,2,0)</f>
        <v>54642700</v>
      </c>
      <c r="AE143" s="3">
        <f>(Calculations!B1/AD143)</f>
        <v>1.2500284941995901</v>
      </c>
      <c r="AF143" s="3"/>
      <c r="AG143" s="3">
        <v>1</v>
      </c>
      <c r="AH143" s="3" t="str">
        <f>VLOOKUP(AG143,WikiFormats!$A$3:$B$999,2,0)</f>
        <v>Story</v>
      </c>
      <c r="AI143" s="3" t="s">
        <v>607</v>
      </c>
    </row>
    <row r="144" spans="1:35" s="8" customFormat="1" x14ac:dyDescent="0.55000000000000004">
      <c r="A144" s="3">
        <v>142</v>
      </c>
      <c r="B144" s="3">
        <v>1</v>
      </c>
      <c r="C144" s="3" t="str">
        <f>VLOOKUP(B144,Eras!$A$3:$B$999,2,0)</f>
        <v>Classic</v>
      </c>
      <c r="D144" s="3">
        <v>1</v>
      </c>
      <c r="E144" s="3" t="str">
        <f>VLOOKUP(D144,EpisodeFormats!$A$3:$B$999,2,0)</f>
        <v>Series</v>
      </c>
      <c r="F144" s="3">
        <v>2</v>
      </c>
      <c r="G144" s="3" t="str">
        <f>VLOOKUP(F144,Doctors!$A$3:$B$999,2,0)</f>
        <v>Patrick Troughton</v>
      </c>
      <c r="H144" s="3">
        <v>4</v>
      </c>
      <c r="I144" s="3">
        <v>1</v>
      </c>
      <c r="J144" s="3" t="str">
        <f>VLOOKUP(I144,SeasonFormats!$A$3:$B$999,2,0)</f>
        <v>Season</v>
      </c>
      <c r="K144" s="3">
        <v>31</v>
      </c>
      <c r="L144" s="3">
        <v>4</v>
      </c>
      <c r="M144" s="3" t="s">
        <v>367</v>
      </c>
      <c r="N144" s="3">
        <v>2</v>
      </c>
      <c r="O144" s="3" t="s">
        <v>361</v>
      </c>
      <c r="P144" s="3">
        <v>16</v>
      </c>
      <c r="Q144" s="7" t="d">
        <v>1966-12-24</v>
      </c>
      <c r="R144" s="3">
        <v>-25</v>
      </c>
      <c r="S144" s="3">
        <v>1</v>
      </c>
      <c r="T144" s="4" t="s">
        <v>1104</v>
      </c>
      <c r="U144" s="3" t="str" cm="1">
        <f t="array" ref="U144">_xlfn.TEXTJOIN(",",TRUE,_xlfn.XLOOKUP(_xlfn.FILTERXML("&lt;t&gt;&lt;s&gt;" &amp; SUBSTITUTE(T144,",","&lt;/s&gt;&lt;s&gt;") &amp; "&lt;/s&gt;&lt;/t&gt;", "//s"),Writers!$A$3:$A$999,Writers!$B$3:$B$999,""))</f>
        <v>Gerry Davis,Elwyn Jones</v>
      </c>
      <c r="V144" s="3"/>
      <c r="W144" s="3" t="str">
        <f>IF(V144="","",_xlfn.XLOOKUP(V144,Writers!$A$3:$A$999,Writers!$B$3:$B$999,""))</f>
        <v/>
      </c>
      <c r="X144" s="3">
        <v>6.8</v>
      </c>
      <c r="Y144" s="3"/>
      <c r="Z144" s="3"/>
      <c r="AA144" s="3">
        <f t="shared" si="6"/>
        <v>8.5</v>
      </c>
      <c r="AB144" s="3" t="str">
        <f t="shared" si="7"/>
        <v/>
      </c>
      <c r="AC144" s="3" t="str">
        <f t="shared" si="8"/>
        <v/>
      </c>
      <c r="AD144" s="3">
        <f>VLOOKUP(YEAR(Q144),Populations!$A$3:$B$999,2,0)</f>
        <v>54642700</v>
      </c>
      <c r="AE144" s="3">
        <f>(Calculations!B1/AD144)</f>
        <v>1.2500284941995901</v>
      </c>
      <c r="AF144" s="3"/>
      <c r="AG144" s="3">
        <v>1</v>
      </c>
      <c r="AH144" s="3" t="str">
        <f>VLOOKUP(AG144,WikiFormats!$A$3:$B$999,2,0)</f>
        <v>Story</v>
      </c>
      <c r="AI144" s="3" t="s">
        <v>607</v>
      </c>
    </row>
    <row r="145" spans="1:35" s="8" customFormat="1" x14ac:dyDescent="0.55000000000000004">
      <c r="A145" s="3">
        <v>143</v>
      </c>
      <c r="B145" s="3">
        <v>1</v>
      </c>
      <c r="C145" s="3" t="str">
        <f>VLOOKUP(B145,Eras!$A$3:$B$999,2,0)</f>
        <v>Classic</v>
      </c>
      <c r="D145" s="3">
        <v>1</v>
      </c>
      <c r="E145" s="3" t="str">
        <f>VLOOKUP(D145,EpisodeFormats!$A$3:$B$999,2,0)</f>
        <v>Series</v>
      </c>
      <c r="F145" s="3">
        <v>2</v>
      </c>
      <c r="G145" s="3" t="str">
        <f>VLOOKUP(F145,Doctors!$A$3:$B$999,2,0)</f>
        <v>Patrick Troughton</v>
      </c>
      <c r="H145" s="3">
        <v>4</v>
      </c>
      <c r="I145" s="3">
        <v>1</v>
      </c>
      <c r="J145" s="3" t="str">
        <f>VLOOKUP(I145,SeasonFormats!$A$3:$B$999,2,0)</f>
        <v>Season</v>
      </c>
      <c r="K145" s="3">
        <v>31</v>
      </c>
      <c r="L145" s="3">
        <v>4</v>
      </c>
      <c r="M145" s="3" t="s">
        <v>367</v>
      </c>
      <c r="N145" s="3">
        <v>3</v>
      </c>
      <c r="O145" s="3" t="s">
        <v>362</v>
      </c>
      <c r="P145" s="3">
        <v>17</v>
      </c>
      <c r="Q145" s="7" t="d">
        <v>1966-12-31</v>
      </c>
      <c r="R145" s="3">
        <v>-25</v>
      </c>
      <c r="S145" s="3">
        <v>1</v>
      </c>
      <c r="T145" s="4" t="s">
        <v>1104</v>
      </c>
      <c r="U145" s="3" t="str" cm="1">
        <f t="array" ref="U145">_xlfn.TEXTJOIN(",",TRUE,_xlfn.XLOOKUP(_xlfn.FILTERXML("&lt;t&gt;&lt;s&gt;" &amp; SUBSTITUTE(T145,",","&lt;/s&gt;&lt;s&gt;") &amp; "&lt;/s&gt;&lt;/t&gt;", "//s"),Writers!$A$3:$A$999,Writers!$B$3:$B$999,""))</f>
        <v>Gerry Davis,Elwyn Jones</v>
      </c>
      <c r="V145" s="3"/>
      <c r="W145" s="3" t="str">
        <f>IF(V145="","",_xlfn.XLOOKUP(V145,Writers!$A$3:$A$999,Writers!$B$3:$B$999,""))</f>
        <v/>
      </c>
      <c r="X145" s="3">
        <v>7.4</v>
      </c>
      <c r="Y145" s="3"/>
      <c r="Z145" s="3"/>
      <c r="AA145" s="3">
        <f t="shared" si="6"/>
        <v>9.25</v>
      </c>
      <c r="AB145" s="3" t="str">
        <f t="shared" si="7"/>
        <v/>
      </c>
      <c r="AC145" s="3" t="str">
        <f t="shared" si="8"/>
        <v/>
      </c>
      <c r="AD145" s="3">
        <f>VLOOKUP(YEAR(Q145),Populations!$A$3:$B$999,2,0)</f>
        <v>54642700</v>
      </c>
      <c r="AE145" s="3">
        <f>(Calculations!B1/AD145)</f>
        <v>1.2500284941995901</v>
      </c>
      <c r="AF145" s="3"/>
      <c r="AG145" s="3">
        <v>1</v>
      </c>
      <c r="AH145" s="3" t="str">
        <f>VLOOKUP(AG145,WikiFormats!$A$3:$B$999,2,0)</f>
        <v>Story</v>
      </c>
      <c r="AI145" s="3" t="s">
        <v>607</v>
      </c>
    </row>
    <row r="146" spans="1:35" s="8" customFormat="1" x14ac:dyDescent="0.55000000000000004">
      <c r="A146" s="3">
        <v>144</v>
      </c>
      <c r="B146" s="3">
        <v>1</v>
      </c>
      <c r="C146" s="3" t="str">
        <f>VLOOKUP(B146,Eras!$A$3:$B$999,2,0)</f>
        <v>Classic</v>
      </c>
      <c r="D146" s="3">
        <v>1</v>
      </c>
      <c r="E146" s="3" t="str">
        <f>VLOOKUP(D146,EpisodeFormats!$A$3:$B$999,2,0)</f>
        <v>Series</v>
      </c>
      <c r="F146" s="3">
        <v>2</v>
      </c>
      <c r="G146" s="3" t="str">
        <f>VLOOKUP(F146,Doctors!$A$3:$B$999,2,0)</f>
        <v>Patrick Troughton</v>
      </c>
      <c r="H146" s="3">
        <v>4</v>
      </c>
      <c r="I146" s="3">
        <v>1</v>
      </c>
      <c r="J146" s="3" t="str">
        <f>VLOOKUP(I146,SeasonFormats!$A$3:$B$999,2,0)</f>
        <v>Season</v>
      </c>
      <c r="K146" s="3">
        <v>31</v>
      </c>
      <c r="L146" s="3">
        <v>4</v>
      </c>
      <c r="M146" s="3" t="s">
        <v>367</v>
      </c>
      <c r="N146" s="3">
        <v>4</v>
      </c>
      <c r="O146" s="3" t="s">
        <v>363</v>
      </c>
      <c r="P146" s="3">
        <v>18</v>
      </c>
      <c r="Q146" s="7" t="d">
        <v>1967-01-07</v>
      </c>
      <c r="R146" s="3">
        <v>-25</v>
      </c>
      <c r="S146" s="3">
        <v>1</v>
      </c>
      <c r="T146" s="4" t="s">
        <v>1104</v>
      </c>
      <c r="U146" s="3" t="str" cm="1">
        <f t="array" ref="U146">_xlfn.TEXTJOIN(",",TRUE,_xlfn.XLOOKUP(_xlfn.FILTERXML("&lt;t&gt;&lt;s&gt;" &amp; SUBSTITUTE(T146,",","&lt;/s&gt;&lt;s&gt;") &amp; "&lt;/s&gt;&lt;/t&gt;", "//s"),Writers!$A$3:$A$999,Writers!$B$3:$B$999,""))</f>
        <v>Gerry Davis,Elwyn Jones</v>
      </c>
      <c r="V146" s="3"/>
      <c r="W146" s="3" t="str">
        <f>IF(V146="","",_xlfn.XLOOKUP(V146,Writers!$A$3:$A$999,Writers!$B$3:$B$999,""))</f>
        <v/>
      </c>
      <c r="X146" s="3">
        <v>7.3</v>
      </c>
      <c r="Y146" s="3"/>
      <c r="Z146" s="3"/>
      <c r="AA146" s="3">
        <f t="shared" si="6"/>
        <v>9.07</v>
      </c>
      <c r="AB146" s="3" t="str">
        <f t="shared" si="7"/>
        <v/>
      </c>
      <c r="AC146" s="3" t="str">
        <f t="shared" si="8"/>
        <v/>
      </c>
      <c r="AD146" s="3">
        <f>VLOOKUP(YEAR(Q146),Populations!$A$3:$B$999,2,0)</f>
        <v>54959000</v>
      </c>
      <c r="AE146" s="3">
        <f>(Calculations!B1/AD146)</f>
        <v>1.24283433104678</v>
      </c>
      <c r="AF146" s="3"/>
      <c r="AG146" s="3">
        <v>1</v>
      </c>
      <c r="AH146" s="3" t="str">
        <f>VLOOKUP(AG146,WikiFormats!$A$3:$B$999,2,0)</f>
        <v>Story</v>
      </c>
      <c r="AI146" s="3" t="s">
        <v>607</v>
      </c>
    </row>
    <row r="147" spans="1:35" s="2" customFormat="1" x14ac:dyDescent="0.55000000000000004">
      <c r="A147">
        <v>145</v>
      </c>
      <c r="B147">
        <v>1</v>
      </c>
      <c r="C147" t="str">
        <f>VLOOKUP(B147,Eras!$A$3:$B$999,2,0)</f>
        <v>Classic</v>
      </c>
      <c r="D147">
        <v>1</v>
      </c>
      <c r="E147" t="str">
        <f>VLOOKUP(D147,EpisodeFormats!$A$3:$B$999,2,0)</f>
        <v>Series</v>
      </c>
      <c r="F147">
        <v>2</v>
      </c>
      <c r="G147" t="str">
        <f>VLOOKUP(F147,Doctors!$A$3:$B$999,2,0)</f>
        <v>Patrick Troughton</v>
      </c>
      <c r="H147">
        <v>4</v>
      </c>
      <c r="I147">
        <v>1</v>
      </c>
      <c r="J147" t="str">
        <f>VLOOKUP(I147,SeasonFormats!$A$3:$B$999,2,0)</f>
        <v>Season</v>
      </c>
      <c r="K147">
        <v>32</v>
      </c>
      <c r="L147">
        <v>5</v>
      </c>
      <c r="M147" t="s">
        <v>368</v>
      </c>
      <c r="N147">
        <v>1</v>
      </c>
      <c r="O147" t="s">
        <v>360</v>
      </c>
      <c r="P147">
        <v>19</v>
      </c>
      <c r="Q147" s="6" t="d">
        <v>1967-01-14</v>
      </c>
      <c r="R147">
        <v>24</v>
      </c>
      <c r="S147">
        <v>1</v>
      </c>
      <c r="T147" s="15" t="s">
        <v>1160</v>
      </c>
      <c r="U147" t="str" cm="1">
        <f t="array" ref="U147">_xlfn.TEXTJOIN(",",TRUE,_xlfn.XLOOKUP(_xlfn.FILTERXML("&lt;t&gt;&lt;s&gt;" &amp; SUBSTITUTE(T147,",","&lt;/s&gt;&lt;s&gt;") &amp; "&lt;/s&gt;&lt;/t&gt;", "//s"),Writers!$A$3:$A$999,Writers!$B$3:$B$999,""))</f>
        <v>Geoffrey Orme</v>
      </c>
      <c r="V147"/>
      <c r="W147" t="str">
        <f>IF(V147="","",_xlfn.XLOOKUP(V147,Writers!$A$3:$A$999,Writers!$B$3:$B$999,""))</f>
        <v/>
      </c>
      <c r="X147">
        <v>8.3000000000000007</v>
      </c>
      <c r="Y147"/>
      <c r="Z147"/>
      <c r="AA147">
        <f t="shared" si="6"/>
        <v>10.32</v>
      </c>
      <c r="AB147" t="str">
        <f t="shared" si="7"/>
        <v/>
      </c>
      <c r="AC147" t="str">
        <f t="shared" si="8"/>
        <v/>
      </c>
      <c r="AD147">
        <f>VLOOKUP(YEAR(Q147),Populations!$A$3:$B$999,2,0)</f>
        <v>54959000</v>
      </c>
      <c r="AE147">
        <f>(Calculations!B1/AD147)</f>
        <v>1.24283433104678</v>
      </c>
      <c r="AF147"/>
      <c r="AG147">
        <v>1</v>
      </c>
      <c r="AH147" t="str">
        <f>VLOOKUP(AG147,WikiFormats!$A$3:$B$999,2,0)</f>
        <v>Story</v>
      </c>
      <c r="AI147" t="s">
        <v>608</v>
      </c>
    </row>
    <row r="148" spans="1:35" s="2" customFormat="1" x14ac:dyDescent="0.55000000000000004">
      <c r="A148">
        <v>146</v>
      </c>
      <c r="B148">
        <v>1</v>
      </c>
      <c r="C148" t="str">
        <f>VLOOKUP(B148,Eras!$A$3:$B$999,2,0)</f>
        <v>Classic</v>
      </c>
      <c r="D148">
        <v>1</v>
      </c>
      <c r="E148" t="str">
        <f>VLOOKUP(D148,EpisodeFormats!$A$3:$B$999,2,0)</f>
        <v>Series</v>
      </c>
      <c r="F148">
        <v>2</v>
      </c>
      <c r="G148" t="str">
        <f>VLOOKUP(F148,Doctors!$A$3:$B$999,2,0)</f>
        <v>Patrick Troughton</v>
      </c>
      <c r="H148">
        <v>4</v>
      </c>
      <c r="I148">
        <v>1</v>
      </c>
      <c r="J148" t="str">
        <f>VLOOKUP(I148,SeasonFormats!$A$3:$B$999,2,0)</f>
        <v>Season</v>
      </c>
      <c r="K148">
        <v>32</v>
      </c>
      <c r="L148">
        <v>5</v>
      </c>
      <c r="M148" t="s">
        <v>368</v>
      </c>
      <c r="N148">
        <v>2</v>
      </c>
      <c r="O148" t="s">
        <v>361</v>
      </c>
      <c r="P148">
        <v>20</v>
      </c>
      <c r="Q148" s="6" t="d">
        <v>1967-01-21</v>
      </c>
      <c r="R148">
        <v>25</v>
      </c>
      <c r="S148"/>
      <c r="T148" s="15" t="s">
        <v>1160</v>
      </c>
      <c r="U148" t="str" cm="1">
        <f t="array" ref="U148">_xlfn.TEXTJOIN(",",TRUE,_xlfn.XLOOKUP(_xlfn.FILTERXML("&lt;t&gt;&lt;s&gt;" &amp; SUBSTITUTE(T148,",","&lt;/s&gt;&lt;s&gt;") &amp; "&lt;/s&gt;&lt;/t&gt;", "//s"),Writers!$A$3:$A$999,Writers!$B$3:$B$999,""))</f>
        <v>Geoffrey Orme</v>
      </c>
      <c r="V148"/>
      <c r="W148" t="str">
        <f>IF(V148="","",_xlfn.XLOOKUP(V148,Writers!$A$3:$A$999,Writers!$B$3:$B$999,""))</f>
        <v/>
      </c>
      <c r="X148">
        <v>7.5</v>
      </c>
      <c r="Y148"/>
      <c r="Z148"/>
      <c r="AA148">
        <f t="shared" si="6"/>
        <v>9.32</v>
      </c>
      <c r="AB148" t="str">
        <f t="shared" si="7"/>
        <v/>
      </c>
      <c r="AC148" t="str">
        <f t="shared" si="8"/>
        <v/>
      </c>
      <c r="AD148">
        <f>VLOOKUP(YEAR(Q148),Populations!$A$3:$B$999,2,0)</f>
        <v>54959000</v>
      </c>
      <c r="AE148">
        <f>(Calculations!B1/AD148)</f>
        <v>1.24283433104678</v>
      </c>
      <c r="AF148"/>
      <c r="AG148">
        <v>1</v>
      </c>
      <c r="AH148" t="str">
        <f>VLOOKUP(AG148,WikiFormats!$A$3:$B$999,2,0)</f>
        <v>Story</v>
      </c>
      <c r="AI148" t="s">
        <v>608</v>
      </c>
    </row>
    <row r="149" spans="1:35" s="2" customFormat="1" x14ac:dyDescent="0.55000000000000004">
      <c r="A149">
        <v>147</v>
      </c>
      <c r="B149">
        <v>1</v>
      </c>
      <c r="C149" t="str">
        <f>VLOOKUP(B149,Eras!$A$3:$B$999,2,0)</f>
        <v>Classic</v>
      </c>
      <c r="D149">
        <v>1</v>
      </c>
      <c r="E149" t="str">
        <f>VLOOKUP(D149,EpisodeFormats!$A$3:$B$999,2,0)</f>
        <v>Series</v>
      </c>
      <c r="F149">
        <v>2</v>
      </c>
      <c r="G149" t="str">
        <f>VLOOKUP(F149,Doctors!$A$3:$B$999,2,0)</f>
        <v>Patrick Troughton</v>
      </c>
      <c r="H149">
        <v>4</v>
      </c>
      <c r="I149">
        <v>1</v>
      </c>
      <c r="J149" t="str">
        <f>VLOOKUP(I149,SeasonFormats!$A$3:$B$999,2,0)</f>
        <v>Season</v>
      </c>
      <c r="K149">
        <v>32</v>
      </c>
      <c r="L149">
        <v>5</v>
      </c>
      <c r="M149" t="s">
        <v>368</v>
      </c>
      <c r="N149">
        <v>3</v>
      </c>
      <c r="O149" t="s">
        <v>362</v>
      </c>
      <c r="P149">
        <v>21</v>
      </c>
      <c r="Q149" s="6" t="d">
        <v>1967-01-28</v>
      </c>
      <c r="R149">
        <v>24</v>
      </c>
      <c r="S149"/>
      <c r="T149" s="15" t="s">
        <v>1160</v>
      </c>
      <c r="U149" t="str" cm="1">
        <f t="array" ref="U149">_xlfn.TEXTJOIN(",",TRUE,_xlfn.XLOOKUP(_xlfn.FILTERXML("&lt;t&gt;&lt;s&gt;" &amp; SUBSTITUTE(T149,",","&lt;/s&gt;&lt;s&gt;") &amp; "&lt;/s&gt;&lt;/t&gt;", "//s"),Writers!$A$3:$A$999,Writers!$B$3:$B$999,""))</f>
        <v>Geoffrey Orme</v>
      </c>
      <c r="V149"/>
      <c r="W149" t="str">
        <f>IF(V149="","",_xlfn.XLOOKUP(V149,Writers!$A$3:$A$999,Writers!$B$3:$B$999,""))</f>
        <v/>
      </c>
      <c r="X149">
        <v>7.1</v>
      </c>
      <c r="Y149"/>
      <c r="Z149"/>
      <c r="AA149">
        <f t="shared" si="6"/>
        <v>8.82</v>
      </c>
      <c r="AB149" t="str">
        <f t="shared" si="7"/>
        <v/>
      </c>
      <c r="AC149" t="str">
        <f t="shared" si="8"/>
        <v/>
      </c>
      <c r="AD149">
        <f>VLOOKUP(YEAR(Q149),Populations!$A$3:$B$999,2,0)</f>
        <v>54959000</v>
      </c>
      <c r="AE149">
        <f>(Calculations!B1/AD149)</f>
        <v>1.24283433104678</v>
      </c>
      <c r="AF149"/>
      <c r="AG149">
        <v>1</v>
      </c>
      <c r="AH149" t="str">
        <f>VLOOKUP(AG149,WikiFormats!$A$3:$B$999,2,0)</f>
        <v>Story</v>
      </c>
      <c r="AI149" t="s">
        <v>608</v>
      </c>
    </row>
    <row r="150" spans="1:35" s="2" customFormat="1" x14ac:dyDescent="0.55000000000000004">
      <c r="A150">
        <v>148</v>
      </c>
      <c r="B150">
        <v>1</v>
      </c>
      <c r="C150" t="str">
        <f>VLOOKUP(B150,Eras!$A$3:$B$999,2,0)</f>
        <v>Classic</v>
      </c>
      <c r="D150">
        <v>1</v>
      </c>
      <c r="E150" t="str">
        <f>VLOOKUP(D150,EpisodeFormats!$A$3:$B$999,2,0)</f>
        <v>Series</v>
      </c>
      <c r="F150">
        <v>2</v>
      </c>
      <c r="G150" t="str">
        <f>VLOOKUP(F150,Doctors!$A$3:$B$999,2,0)</f>
        <v>Patrick Troughton</v>
      </c>
      <c r="H150">
        <v>4</v>
      </c>
      <c r="I150">
        <v>1</v>
      </c>
      <c r="J150" t="str">
        <f>VLOOKUP(I150,SeasonFormats!$A$3:$B$999,2,0)</f>
        <v>Season</v>
      </c>
      <c r="K150">
        <v>32</v>
      </c>
      <c r="L150">
        <v>5</v>
      </c>
      <c r="M150" t="s">
        <v>368</v>
      </c>
      <c r="N150">
        <v>4</v>
      </c>
      <c r="O150" t="s">
        <v>363</v>
      </c>
      <c r="P150">
        <v>22</v>
      </c>
      <c r="Q150" s="6" t="d">
        <v>1967-02-04</v>
      </c>
      <c r="R150">
        <v>24</v>
      </c>
      <c r="S150">
        <v>1</v>
      </c>
      <c r="T150" s="15" t="s">
        <v>1160</v>
      </c>
      <c r="U150" t="str" cm="1">
        <f t="array" ref="U150">_xlfn.TEXTJOIN(",",TRUE,_xlfn.XLOOKUP(_xlfn.FILTERXML("&lt;t&gt;&lt;s&gt;" &amp; SUBSTITUTE(T150,",","&lt;/s&gt;&lt;s&gt;") &amp; "&lt;/s&gt;&lt;/t&gt;", "//s"),Writers!$A$3:$A$999,Writers!$B$3:$B$999,""))</f>
        <v>Geoffrey Orme</v>
      </c>
      <c r="V150"/>
      <c r="W150" t="str">
        <f>IF(V150="","",_xlfn.XLOOKUP(V150,Writers!$A$3:$A$999,Writers!$B$3:$B$999,""))</f>
        <v/>
      </c>
      <c r="X150">
        <v>7</v>
      </c>
      <c r="Y150"/>
      <c r="Z150"/>
      <c r="AA150">
        <f t="shared" si="6"/>
        <v>8.6999999999999993</v>
      </c>
      <c r="AB150" t="str">
        <f t="shared" si="7"/>
        <v/>
      </c>
      <c r="AC150" t="str">
        <f t="shared" si="8"/>
        <v/>
      </c>
      <c r="AD150">
        <f>VLOOKUP(YEAR(Q150),Populations!$A$3:$B$999,2,0)</f>
        <v>54959000</v>
      </c>
      <c r="AE150">
        <f>(Calculations!B1/AD150)</f>
        <v>1.24283433104678</v>
      </c>
      <c r="AF150"/>
      <c r="AG150">
        <v>1</v>
      </c>
      <c r="AH150" t="str">
        <f>VLOOKUP(AG150,WikiFormats!$A$3:$B$999,2,0)</f>
        <v>Story</v>
      </c>
      <c r="AI150" t="s">
        <v>608</v>
      </c>
    </row>
    <row r="151" spans="1:35" s="8" customFormat="1" x14ac:dyDescent="0.55000000000000004">
      <c r="A151" s="3">
        <v>149</v>
      </c>
      <c r="B151" s="3">
        <v>1</v>
      </c>
      <c r="C151" s="3" t="str">
        <f>VLOOKUP(B151,Eras!$A$3:$B$999,2,0)</f>
        <v>Classic</v>
      </c>
      <c r="D151" s="3">
        <v>1</v>
      </c>
      <c r="E151" s="3" t="str">
        <f>VLOOKUP(D151,EpisodeFormats!$A$3:$B$999,2,0)</f>
        <v>Series</v>
      </c>
      <c r="F151" s="3">
        <v>2</v>
      </c>
      <c r="G151" s="3" t="str">
        <f>VLOOKUP(F151,Doctors!$A$3:$B$999,2,0)</f>
        <v>Patrick Troughton</v>
      </c>
      <c r="H151" s="3">
        <v>4</v>
      </c>
      <c r="I151" s="3">
        <v>1</v>
      </c>
      <c r="J151" s="3" t="str">
        <f>VLOOKUP(I151,SeasonFormats!$A$3:$B$999,2,0)</f>
        <v>Season</v>
      </c>
      <c r="K151" s="3">
        <v>33</v>
      </c>
      <c r="L151" s="3">
        <v>6</v>
      </c>
      <c r="M151" s="3" t="s">
        <v>369</v>
      </c>
      <c r="N151" s="3">
        <v>1</v>
      </c>
      <c r="O151" s="3" t="s">
        <v>360</v>
      </c>
      <c r="P151" s="3">
        <v>23</v>
      </c>
      <c r="Q151" s="7" t="d">
        <v>1967-02-11</v>
      </c>
      <c r="R151" s="3">
        <v>25</v>
      </c>
      <c r="S151" s="3">
        <v>1</v>
      </c>
      <c r="T151" s="4" t="s">
        <v>1127</v>
      </c>
      <c r="U151" s="3" t="str" cm="1">
        <f t="array" ref="U151">_xlfn.TEXTJOIN(",",TRUE,_xlfn.XLOOKUP(_xlfn.FILTERXML("&lt;t&gt;&lt;s&gt;" &amp; SUBSTITUTE(T151,",","&lt;/s&gt;&lt;s&gt;") &amp; "&lt;/s&gt;&lt;/t&gt;", "//s"),Writers!$A$3:$A$999,Writers!$B$3:$B$999,""))</f>
        <v>Kit Pedler</v>
      </c>
      <c r="V151" s="3"/>
      <c r="W151" s="3" t="str">
        <f>IF(V151="","",_xlfn.XLOOKUP(V151,Writers!$A$3:$A$999,Writers!$B$3:$B$999,""))</f>
        <v/>
      </c>
      <c r="X151" s="3">
        <v>8.1</v>
      </c>
      <c r="Y151" s="3"/>
      <c r="Z151" s="3"/>
      <c r="AA151" s="3">
        <f t="shared" si="6"/>
        <v>10.07</v>
      </c>
      <c r="AB151" s="3" t="str">
        <f t="shared" si="7"/>
        <v/>
      </c>
      <c r="AC151" s="3" t="str">
        <f t="shared" si="8"/>
        <v/>
      </c>
      <c r="AD151" s="3">
        <f>VLOOKUP(YEAR(Q151),Populations!$A$3:$B$999,2,0)</f>
        <v>54959000</v>
      </c>
      <c r="AE151" s="3">
        <f>(Calculations!B1/AD151)</f>
        <v>1.24283433104678</v>
      </c>
      <c r="AF151" s="3"/>
      <c r="AG151" s="3">
        <v>1</v>
      </c>
      <c r="AH151" s="3" t="str">
        <f>VLOOKUP(AG151,WikiFormats!$A$3:$B$999,2,0)</f>
        <v>Story</v>
      </c>
      <c r="AI151" s="3" t="s">
        <v>609</v>
      </c>
    </row>
    <row r="152" spans="1:35" s="8" customFormat="1" x14ac:dyDescent="0.55000000000000004">
      <c r="A152" s="3">
        <v>150</v>
      </c>
      <c r="B152" s="3">
        <v>1</v>
      </c>
      <c r="C152" s="3" t="str">
        <f>VLOOKUP(B152,Eras!$A$3:$B$999,2,0)</f>
        <v>Classic</v>
      </c>
      <c r="D152" s="3">
        <v>1</v>
      </c>
      <c r="E152" s="3" t="str">
        <f>VLOOKUP(D152,EpisodeFormats!$A$3:$B$999,2,0)</f>
        <v>Series</v>
      </c>
      <c r="F152" s="3">
        <v>2</v>
      </c>
      <c r="G152" s="3" t="str">
        <f>VLOOKUP(F152,Doctors!$A$3:$B$999,2,0)</f>
        <v>Patrick Troughton</v>
      </c>
      <c r="H152" s="3">
        <v>4</v>
      </c>
      <c r="I152" s="3">
        <v>1</v>
      </c>
      <c r="J152" s="3" t="str">
        <f>VLOOKUP(I152,SeasonFormats!$A$3:$B$999,2,0)</f>
        <v>Season</v>
      </c>
      <c r="K152" s="3">
        <v>33</v>
      </c>
      <c r="L152" s="3">
        <v>6</v>
      </c>
      <c r="M152" s="3" t="s">
        <v>369</v>
      </c>
      <c r="N152" s="3">
        <v>2</v>
      </c>
      <c r="O152" s="3" t="s">
        <v>361</v>
      </c>
      <c r="P152" s="3">
        <v>24</v>
      </c>
      <c r="Q152" s="7" t="d">
        <v>1967-02-18</v>
      </c>
      <c r="R152" s="3">
        <v>25</v>
      </c>
      <c r="S152" s="3"/>
      <c r="T152" s="4" t="s">
        <v>1127</v>
      </c>
      <c r="U152" s="3" t="str" cm="1">
        <f t="array" ref="U152">_xlfn.TEXTJOIN(",",TRUE,_xlfn.XLOOKUP(_xlfn.FILTERXML("&lt;t&gt;&lt;s&gt;" &amp; SUBSTITUTE(T152,",","&lt;/s&gt;&lt;s&gt;") &amp; "&lt;/s&gt;&lt;/t&gt;", "//s"),Writers!$A$3:$A$999,Writers!$B$3:$B$999,""))</f>
        <v>Kit Pedler</v>
      </c>
      <c r="V152" s="3"/>
      <c r="W152" s="3" t="str">
        <f>IF(V152="","",_xlfn.XLOOKUP(V152,Writers!$A$3:$A$999,Writers!$B$3:$B$999,""))</f>
        <v/>
      </c>
      <c r="X152" s="3">
        <v>8.9</v>
      </c>
      <c r="Y152" s="3"/>
      <c r="Z152" s="3"/>
      <c r="AA152" s="3">
        <f t="shared" si="6"/>
        <v>11.06</v>
      </c>
      <c r="AB152" s="3" t="str">
        <f t="shared" si="7"/>
        <v/>
      </c>
      <c r="AC152" s="3" t="str">
        <f t="shared" si="8"/>
        <v/>
      </c>
      <c r="AD152" s="3">
        <f>VLOOKUP(YEAR(Q152),Populations!$A$3:$B$999,2,0)</f>
        <v>54959000</v>
      </c>
      <c r="AE152" s="3">
        <f>(Calculations!B1/AD152)</f>
        <v>1.24283433104678</v>
      </c>
      <c r="AF152" s="3"/>
      <c r="AG152" s="3">
        <v>1</v>
      </c>
      <c r="AH152" s="3" t="str">
        <f>VLOOKUP(AG152,WikiFormats!$A$3:$B$999,2,0)</f>
        <v>Story</v>
      </c>
      <c r="AI152" s="3" t="s">
        <v>609</v>
      </c>
    </row>
    <row r="153" spans="1:35" s="8" customFormat="1" x14ac:dyDescent="0.55000000000000004">
      <c r="A153" s="3">
        <v>151</v>
      </c>
      <c r="B153" s="3">
        <v>1</v>
      </c>
      <c r="C153" s="3" t="str">
        <f>VLOOKUP(B153,Eras!$A$3:$B$999,2,0)</f>
        <v>Classic</v>
      </c>
      <c r="D153" s="3">
        <v>1</v>
      </c>
      <c r="E153" s="3" t="str">
        <f>VLOOKUP(D153,EpisodeFormats!$A$3:$B$999,2,0)</f>
        <v>Series</v>
      </c>
      <c r="F153" s="3">
        <v>2</v>
      </c>
      <c r="G153" s="3" t="str">
        <f>VLOOKUP(F153,Doctors!$A$3:$B$999,2,0)</f>
        <v>Patrick Troughton</v>
      </c>
      <c r="H153" s="3">
        <v>4</v>
      </c>
      <c r="I153" s="3">
        <v>1</v>
      </c>
      <c r="J153" s="3" t="str">
        <f>VLOOKUP(I153,SeasonFormats!$A$3:$B$999,2,0)</f>
        <v>Season</v>
      </c>
      <c r="K153" s="3">
        <v>33</v>
      </c>
      <c r="L153" s="3">
        <v>6</v>
      </c>
      <c r="M153" s="3" t="s">
        <v>369</v>
      </c>
      <c r="N153" s="3">
        <v>3</v>
      </c>
      <c r="O153" s="3" t="s">
        <v>362</v>
      </c>
      <c r="P153" s="3">
        <v>25</v>
      </c>
      <c r="Q153" s="7" t="d">
        <v>1967-02-25</v>
      </c>
      <c r="R153" s="3">
        <v>27</v>
      </c>
      <c r="S153" s="3">
        <v>1</v>
      </c>
      <c r="T153" s="4" t="s">
        <v>1127</v>
      </c>
      <c r="U153" s="3" t="str" cm="1">
        <f t="array" ref="U153">_xlfn.TEXTJOIN(",",TRUE,_xlfn.XLOOKUP(_xlfn.FILTERXML("&lt;t&gt;&lt;s&gt;" &amp; SUBSTITUTE(T153,",","&lt;/s&gt;&lt;s&gt;") &amp; "&lt;/s&gt;&lt;/t&gt;", "//s"),Writers!$A$3:$A$999,Writers!$B$3:$B$999,""))</f>
        <v>Kit Pedler</v>
      </c>
      <c r="V153" s="3"/>
      <c r="W153" s="3" t="str">
        <f>IF(V153="","",_xlfn.XLOOKUP(V153,Writers!$A$3:$A$999,Writers!$B$3:$B$999,""))</f>
        <v/>
      </c>
      <c r="X153" s="3">
        <v>8.1999999999999993</v>
      </c>
      <c r="Y153" s="3"/>
      <c r="Z153" s="3"/>
      <c r="AA153" s="3">
        <f t="shared" si="6"/>
        <v>10.19</v>
      </c>
      <c r="AB153" s="3" t="str">
        <f t="shared" si="7"/>
        <v/>
      </c>
      <c r="AC153" s="3" t="str">
        <f t="shared" si="8"/>
        <v/>
      </c>
      <c r="AD153" s="3">
        <f>VLOOKUP(YEAR(Q153),Populations!$A$3:$B$999,2,0)</f>
        <v>54959000</v>
      </c>
      <c r="AE153" s="3">
        <f>(Calculations!B1/AD153)</f>
        <v>1.24283433104678</v>
      </c>
      <c r="AF153" s="3"/>
      <c r="AG153" s="3">
        <v>1</v>
      </c>
      <c r="AH153" s="3" t="str">
        <f>VLOOKUP(AG153,WikiFormats!$A$3:$B$999,2,0)</f>
        <v>Story</v>
      </c>
      <c r="AI153" s="3" t="s">
        <v>609</v>
      </c>
    </row>
    <row r="154" spans="1:35" s="8" customFormat="1" x14ac:dyDescent="0.55000000000000004">
      <c r="A154" s="3">
        <v>152</v>
      </c>
      <c r="B154" s="3">
        <v>1</v>
      </c>
      <c r="C154" s="3" t="str">
        <f>VLOOKUP(B154,Eras!$A$3:$B$999,2,0)</f>
        <v>Classic</v>
      </c>
      <c r="D154" s="3">
        <v>1</v>
      </c>
      <c r="E154" s="3" t="str">
        <f>VLOOKUP(D154,EpisodeFormats!$A$3:$B$999,2,0)</f>
        <v>Series</v>
      </c>
      <c r="F154" s="3">
        <v>2</v>
      </c>
      <c r="G154" s="3" t="str">
        <f>VLOOKUP(F154,Doctors!$A$3:$B$999,2,0)</f>
        <v>Patrick Troughton</v>
      </c>
      <c r="H154" s="3">
        <v>4</v>
      </c>
      <c r="I154" s="3">
        <v>1</v>
      </c>
      <c r="J154" s="3" t="str">
        <f>VLOOKUP(I154,SeasonFormats!$A$3:$B$999,2,0)</f>
        <v>Season</v>
      </c>
      <c r="K154" s="3">
        <v>33</v>
      </c>
      <c r="L154" s="3">
        <v>6</v>
      </c>
      <c r="M154" s="3" t="s">
        <v>369</v>
      </c>
      <c r="N154" s="3">
        <v>4</v>
      </c>
      <c r="O154" s="3" t="s">
        <v>363</v>
      </c>
      <c r="P154" s="3">
        <v>26</v>
      </c>
      <c r="Q154" s="7" t="d">
        <v>1967-03-04</v>
      </c>
      <c r="R154" s="3">
        <v>23</v>
      </c>
      <c r="S154" s="3"/>
      <c r="T154" s="4" t="s">
        <v>1127</v>
      </c>
      <c r="U154" s="3" t="str" cm="1">
        <f t="array" ref="U154">_xlfn.TEXTJOIN(",",TRUE,_xlfn.XLOOKUP(_xlfn.FILTERXML("&lt;t&gt;&lt;s&gt;" &amp; SUBSTITUTE(T154,",","&lt;/s&gt;&lt;s&gt;") &amp; "&lt;/s&gt;&lt;/t&gt;", "//s"),Writers!$A$3:$A$999,Writers!$B$3:$B$999,""))</f>
        <v>Kit Pedler</v>
      </c>
      <c r="V154" s="3"/>
      <c r="W154" s="3" t="str">
        <f>IF(V154="","",_xlfn.XLOOKUP(V154,Writers!$A$3:$A$999,Writers!$B$3:$B$999,""))</f>
        <v/>
      </c>
      <c r="X154" s="3">
        <v>8.1</v>
      </c>
      <c r="Y154" s="3"/>
      <c r="Z154" s="3"/>
      <c r="AA154" s="3">
        <f t="shared" si="6"/>
        <v>10.07</v>
      </c>
      <c r="AB154" s="3" t="str">
        <f t="shared" si="7"/>
        <v/>
      </c>
      <c r="AC154" s="3" t="str">
        <f t="shared" si="8"/>
        <v/>
      </c>
      <c r="AD154" s="3">
        <f>VLOOKUP(YEAR(Q154),Populations!$A$3:$B$999,2,0)</f>
        <v>54959000</v>
      </c>
      <c r="AE154" s="3">
        <f>(Calculations!B1/AD154)</f>
        <v>1.24283433104678</v>
      </c>
      <c r="AF154" s="3"/>
      <c r="AG154" s="3">
        <v>1</v>
      </c>
      <c r="AH154" s="3" t="str">
        <f>VLOOKUP(AG154,WikiFormats!$A$3:$B$999,2,0)</f>
        <v>Story</v>
      </c>
      <c r="AI154" s="3" t="s">
        <v>609</v>
      </c>
    </row>
    <row r="155" spans="1:35" s="2" customFormat="1" x14ac:dyDescent="0.55000000000000004">
      <c r="A155">
        <v>153</v>
      </c>
      <c r="B155">
        <v>1</v>
      </c>
      <c r="C155" t="str">
        <f>VLOOKUP(B155,Eras!$A$3:$B$999,2,0)</f>
        <v>Classic</v>
      </c>
      <c r="D155">
        <v>1</v>
      </c>
      <c r="E155" t="str">
        <f>VLOOKUP(D155,EpisodeFormats!$A$3:$B$999,2,0)</f>
        <v>Series</v>
      </c>
      <c r="F155">
        <v>2</v>
      </c>
      <c r="G155" t="str">
        <f>VLOOKUP(F155,Doctors!$A$3:$B$999,2,0)</f>
        <v>Patrick Troughton</v>
      </c>
      <c r="H155">
        <v>4</v>
      </c>
      <c r="I155">
        <v>1</v>
      </c>
      <c r="J155" t="str">
        <f>VLOOKUP(I155,SeasonFormats!$A$3:$B$999,2,0)</f>
        <v>Season</v>
      </c>
      <c r="K155">
        <v>34</v>
      </c>
      <c r="L155">
        <v>7</v>
      </c>
      <c r="M155" t="s">
        <v>370</v>
      </c>
      <c r="N155">
        <v>1</v>
      </c>
      <c r="O155" t="s">
        <v>360</v>
      </c>
      <c r="P155">
        <v>27</v>
      </c>
      <c r="Q155" s="6" t="d">
        <v>1967-03-11</v>
      </c>
      <c r="R155">
        <v>24</v>
      </c>
      <c r="S155">
        <v>1</v>
      </c>
      <c r="T155" s="15" t="s">
        <v>1079</v>
      </c>
      <c r="U155" t="str" cm="1">
        <f t="array" ref="U155">_xlfn.TEXTJOIN(",",TRUE,_xlfn.XLOOKUP(_xlfn.FILTERXML("&lt;t&gt;&lt;s&gt;" &amp; SUBSTITUTE(T155,",","&lt;/s&gt;&lt;s&gt;") &amp; "&lt;/s&gt;&lt;/t&gt;", "//s"),Writers!$A$3:$A$999,Writers!$B$3:$B$999,""))</f>
        <v>Ian Stuart Black</v>
      </c>
      <c r="V155"/>
      <c r="W155" t="str">
        <f>IF(V155="","",_xlfn.XLOOKUP(V155,Writers!$A$3:$A$999,Writers!$B$3:$B$999,""))</f>
        <v/>
      </c>
      <c r="X155">
        <v>8</v>
      </c>
      <c r="Y155"/>
      <c r="Z155"/>
      <c r="AA155">
        <f t="shared" si="6"/>
        <v>9.94</v>
      </c>
      <c r="AB155" t="str">
        <f t="shared" si="7"/>
        <v/>
      </c>
      <c r="AC155" t="str">
        <f t="shared" si="8"/>
        <v/>
      </c>
      <c r="AD155">
        <f>VLOOKUP(YEAR(Q155),Populations!$A$3:$B$999,2,0)</f>
        <v>54959000</v>
      </c>
      <c r="AE155">
        <f>(Calculations!B1/AD155)</f>
        <v>1.24283433104678</v>
      </c>
      <c r="AF155"/>
      <c r="AG155">
        <v>1</v>
      </c>
      <c r="AH155" t="str">
        <f>VLOOKUP(AG155,WikiFormats!$A$3:$B$999,2,0)</f>
        <v>Story</v>
      </c>
      <c r="AI155" t="s">
        <v>610</v>
      </c>
    </row>
    <row r="156" spans="1:35" s="2" customFormat="1" x14ac:dyDescent="0.55000000000000004">
      <c r="A156">
        <v>154</v>
      </c>
      <c r="B156">
        <v>1</v>
      </c>
      <c r="C156" t="str">
        <f>VLOOKUP(B156,Eras!$A$3:$B$999,2,0)</f>
        <v>Classic</v>
      </c>
      <c r="D156">
        <v>1</v>
      </c>
      <c r="E156" t="str">
        <f>VLOOKUP(D156,EpisodeFormats!$A$3:$B$999,2,0)</f>
        <v>Series</v>
      </c>
      <c r="F156">
        <v>2</v>
      </c>
      <c r="G156" t="str">
        <f>VLOOKUP(F156,Doctors!$A$3:$B$999,2,0)</f>
        <v>Patrick Troughton</v>
      </c>
      <c r="H156">
        <v>4</v>
      </c>
      <c r="I156">
        <v>1</v>
      </c>
      <c r="J156" t="str">
        <f>VLOOKUP(I156,SeasonFormats!$A$3:$B$999,2,0)</f>
        <v>Season</v>
      </c>
      <c r="K156">
        <v>34</v>
      </c>
      <c r="L156">
        <v>7</v>
      </c>
      <c r="M156" t="s">
        <v>370</v>
      </c>
      <c r="N156">
        <v>2</v>
      </c>
      <c r="O156" t="s">
        <v>361</v>
      </c>
      <c r="P156">
        <v>28</v>
      </c>
      <c r="Q156" s="6" t="d">
        <v>1967-03-18</v>
      </c>
      <c r="R156">
        <v>24</v>
      </c>
      <c r="S156">
        <v>1</v>
      </c>
      <c r="T156" s="15" t="s">
        <v>1079</v>
      </c>
      <c r="U156" t="str" cm="1">
        <f t="array" ref="U156">_xlfn.TEXTJOIN(",",TRUE,_xlfn.XLOOKUP(_xlfn.FILTERXML("&lt;t&gt;&lt;s&gt;" &amp; SUBSTITUTE(T156,",","&lt;/s&gt;&lt;s&gt;") &amp; "&lt;/s&gt;&lt;/t&gt;", "//s"),Writers!$A$3:$A$999,Writers!$B$3:$B$999,""))</f>
        <v>Ian Stuart Black</v>
      </c>
      <c r="V156"/>
      <c r="W156" t="str">
        <f>IF(V156="","",_xlfn.XLOOKUP(V156,Writers!$A$3:$A$999,Writers!$B$3:$B$999,""))</f>
        <v/>
      </c>
      <c r="X156">
        <v>7.9</v>
      </c>
      <c r="Y156"/>
      <c r="Z156"/>
      <c r="AA156">
        <f t="shared" si="6"/>
        <v>9.82</v>
      </c>
      <c r="AB156" t="str">
        <f t="shared" si="7"/>
        <v/>
      </c>
      <c r="AC156" t="str">
        <f t="shared" si="8"/>
        <v/>
      </c>
      <c r="AD156">
        <f>VLOOKUP(YEAR(Q156),Populations!$A$3:$B$999,2,0)</f>
        <v>54959000</v>
      </c>
      <c r="AE156">
        <f>(Calculations!B1/AD156)</f>
        <v>1.24283433104678</v>
      </c>
      <c r="AF156"/>
      <c r="AG156">
        <v>1</v>
      </c>
      <c r="AH156" t="str">
        <f>VLOOKUP(AG156,WikiFormats!$A$3:$B$999,2,0)</f>
        <v>Story</v>
      </c>
      <c r="AI156" t="s">
        <v>610</v>
      </c>
    </row>
    <row r="157" spans="1:35" s="2" customFormat="1" x14ac:dyDescent="0.55000000000000004">
      <c r="A157">
        <v>155</v>
      </c>
      <c r="B157">
        <v>1</v>
      </c>
      <c r="C157" t="str">
        <f>VLOOKUP(B157,Eras!$A$3:$B$999,2,0)</f>
        <v>Classic</v>
      </c>
      <c r="D157">
        <v>1</v>
      </c>
      <c r="E157" t="str">
        <f>VLOOKUP(D157,EpisodeFormats!$A$3:$B$999,2,0)</f>
        <v>Series</v>
      </c>
      <c r="F157">
        <v>2</v>
      </c>
      <c r="G157" t="str">
        <f>VLOOKUP(F157,Doctors!$A$3:$B$999,2,0)</f>
        <v>Patrick Troughton</v>
      </c>
      <c r="H157">
        <v>4</v>
      </c>
      <c r="I157">
        <v>1</v>
      </c>
      <c r="J157" t="str">
        <f>VLOOKUP(I157,SeasonFormats!$A$3:$B$999,2,0)</f>
        <v>Season</v>
      </c>
      <c r="K157">
        <v>34</v>
      </c>
      <c r="L157">
        <v>7</v>
      </c>
      <c r="M157" t="s">
        <v>370</v>
      </c>
      <c r="N157">
        <v>3</v>
      </c>
      <c r="O157" t="s">
        <v>362</v>
      </c>
      <c r="P157">
        <v>29</v>
      </c>
      <c r="Q157" s="6" t="d">
        <v>1967-03-25</v>
      </c>
      <c r="R157">
        <v>25</v>
      </c>
      <c r="S157">
        <v>1</v>
      </c>
      <c r="T157" s="15" t="s">
        <v>1079</v>
      </c>
      <c r="U157" t="str" cm="1">
        <f t="array" ref="U157">_xlfn.TEXTJOIN(",",TRUE,_xlfn.XLOOKUP(_xlfn.FILTERXML("&lt;t&gt;&lt;s&gt;" &amp; SUBSTITUTE(T157,",","&lt;/s&gt;&lt;s&gt;") &amp; "&lt;/s&gt;&lt;/t&gt;", "//s"),Writers!$A$3:$A$999,Writers!$B$3:$B$999,""))</f>
        <v>Ian Stuart Black</v>
      </c>
      <c r="V157"/>
      <c r="W157" t="str">
        <f>IF(V157="","",_xlfn.XLOOKUP(V157,Writers!$A$3:$A$999,Writers!$B$3:$B$999,""))</f>
        <v/>
      </c>
      <c r="X157">
        <v>8.5</v>
      </c>
      <c r="Y157"/>
      <c r="Z157"/>
      <c r="AA157">
        <f t="shared" si="6"/>
        <v>10.56</v>
      </c>
      <c r="AB157" t="str">
        <f t="shared" si="7"/>
        <v/>
      </c>
      <c r="AC157" t="str">
        <f t="shared" si="8"/>
        <v/>
      </c>
      <c r="AD157">
        <f>VLOOKUP(YEAR(Q157),Populations!$A$3:$B$999,2,0)</f>
        <v>54959000</v>
      </c>
      <c r="AE157">
        <f>(Calculations!B1/AD157)</f>
        <v>1.24283433104678</v>
      </c>
      <c r="AF157"/>
      <c r="AG157">
        <v>1</v>
      </c>
      <c r="AH157" t="str">
        <f>VLOOKUP(AG157,WikiFormats!$A$3:$B$999,2,0)</f>
        <v>Story</v>
      </c>
      <c r="AI157" t="s">
        <v>610</v>
      </c>
    </row>
    <row r="158" spans="1:35" s="2" customFormat="1" x14ac:dyDescent="0.55000000000000004">
      <c r="A158">
        <v>156</v>
      </c>
      <c r="B158">
        <v>1</v>
      </c>
      <c r="C158" t="str">
        <f>VLOOKUP(B158,Eras!$A$3:$B$999,2,0)</f>
        <v>Classic</v>
      </c>
      <c r="D158">
        <v>1</v>
      </c>
      <c r="E158" t="str">
        <f>VLOOKUP(D158,EpisodeFormats!$A$3:$B$999,2,0)</f>
        <v>Series</v>
      </c>
      <c r="F158">
        <v>2</v>
      </c>
      <c r="G158" t="str">
        <f>VLOOKUP(F158,Doctors!$A$3:$B$999,2,0)</f>
        <v>Patrick Troughton</v>
      </c>
      <c r="H158">
        <v>4</v>
      </c>
      <c r="I158">
        <v>1</v>
      </c>
      <c r="J158" t="str">
        <f>VLOOKUP(I158,SeasonFormats!$A$3:$B$999,2,0)</f>
        <v>Season</v>
      </c>
      <c r="K158">
        <v>34</v>
      </c>
      <c r="L158">
        <v>7</v>
      </c>
      <c r="M158" t="s">
        <v>370</v>
      </c>
      <c r="N158">
        <v>4</v>
      </c>
      <c r="O158" t="s">
        <v>363</v>
      </c>
      <c r="P158">
        <v>30</v>
      </c>
      <c r="Q158" s="6" t="d">
        <v>1967-04-01</v>
      </c>
      <c r="R158">
        <v>25</v>
      </c>
      <c r="S158">
        <v>1</v>
      </c>
      <c r="T158" s="15" t="s">
        <v>1079</v>
      </c>
      <c r="U158" t="str" cm="1">
        <f t="array" ref="U158">_xlfn.TEXTJOIN(",",TRUE,_xlfn.XLOOKUP(_xlfn.FILTERXML("&lt;t&gt;&lt;s&gt;" &amp; SUBSTITUTE(T158,",","&lt;/s&gt;&lt;s&gt;") &amp; "&lt;/s&gt;&lt;/t&gt;", "//s"),Writers!$A$3:$A$999,Writers!$B$3:$B$999,""))</f>
        <v>Ian Stuart Black</v>
      </c>
      <c r="V158"/>
      <c r="W158" t="str">
        <f>IF(V158="","",_xlfn.XLOOKUP(V158,Writers!$A$3:$A$999,Writers!$B$3:$B$999,""))</f>
        <v/>
      </c>
      <c r="X158">
        <v>8.4</v>
      </c>
      <c r="Y158"/>
      <c r="Z158"/>
      <c r="AA158">
        <f t="shared" si="6"/>
        <v>10.44</v>
      </c>
      <c r="AB158" t="str">
        <f t="shared" si="7"/>
        <v/>
      </c>
      <c r="AC158" t="str">
        <f t="shared" si="8"/>
        <v/>
      </c>
      <c r="AD158">
        <f>VLOOKUP(YEAR(Q158),Populations!$A$3:$B$999,2,0)</f>
        <v>54959000</v>
      </c>
      <c r="AE158">
        <f>(Calculations!B1/AD158)</f>
        <v>1.24283433104678</v>
      </c>
      <c r="AF158"/>
      <c r="AG158">
        <v>1</v>
      </c>
      <c r="AH158" t="str">
        <f>VLOOKUP(AG158,WikiFormats!$A$3:$B$999,2,0)</f>
        <v>Story</v>
      </c>
      <c r="AI158" t="s">
        <v>610</v>
      </c>
    </row>
    <row r="159" spans="1:35" s="8" customFormat="1" x14ac:dyDescent="0.55000000000000004">
      <c r="A159" s="3">
        <v>157</v>
      </c>
      <c r="B159" s="3">
        <v>1</v>
      </c>
      <c r="C159" s="3" t="str">
        <f>VLOOKUP(B159,Eras!$A$3:$B$999,2,0)</f>
        <v>Classic</v>
      </c>
      <c r="D159" s="3">
        <v>1</v>
      </c>
      <c r="E159" s="3" t="str">
        <f>VLOOKUP(D159,EpisodeFormats!$A$3:$B$999,2,0)</f>
        <v>Series</v>
      </c>
      <c r="F159" s="3">
        <v>2</v>
      </c>
      <c r="G159" s="3" t="str">
        <f>VLOOKUP(F159,Doctors!$A$3:$B$999,2,0)</f>
        <v>Patrick Troughton</v>
      </c>
      <c r="H159" s="3">
        <v>4</v>
      </c>
      <c r="I159" s="3">
        <v>1</v>
      </c>
      <c r="J159" s="3" t="str">
        <f>VLOOKUP(I159,SeasonFormats!$A$3:$B$999,2,0)</f>
        <v>Season</v>
      </c>
      <c r="K159" s="3">
        <v>35</v>
      </c>
      <c r="L159" s="3">
        <v>8</v>
      </c>
      <c r="M159" s="3" t="s">
        <v>371</v>
      </c>
      <c r="N159" s="3">
        <v>1</v>
      </c>
      <c r="O159" s="3" t="s">
        <v>360</v>
      </c>
      <c r="P159" s="3">
        <v>31</v>
      </c>
      <c r="Q159" s="7" t="d">
        <v>1967-04-08</v>
      </c>
      <c r="R159" s="3">
        <v>24</v>
      </c>
      <c r="S159" s="3"/>
      <c r="T159" s="4" t="s">
        <v>1112</v>
      </c>
      <c r="U159" s="3" t="str" cm="1">
        <f t="array" ref="U159">_xlfn.TEXTJOIN(",",TRUE,_xlfn.XLOOKUP(_xlfn.FILTERXML("&lt;t&gt;&lt;s&gt;" &amp; SUBSTITUTE(T159,",","&lt;/s&gt;&lt;s&gt;") &amp; "&lt;/s&gt;&lt;/t&gt;", "//s"),Writers!$A$3:$A$999,Writers!$B$3:$B$999,""))</f>
        <v>David Ellis,Malcolm Hulke</v>
      </c>
      <c r="V159" s="3"/>
      <c r="W159" s="3" t="str">
        <f>IF(V159="","",_xlfn.XLOOKUP(V159,Writers!$A$3:$A$999,Writers!$B$3:$B$999,""))</f>
        <v/>
      </c>
      <c r="X159" s="3">
        <v>8</v>
      </c>
      <c r="Y159" s="3"/>
      <c r="Z159" s="3"/>
      <c r="AA159" s="3">
        <f t="shared" si="6"/>
        <v>9.94</v>
      </c>
      <c r="AB159" s="3" t="str">
        <f t="shared" si="7"/>
        <v/>
      </c>
      <c r="AC159" s="3" t="str">
        <f t="shared" si="8"/>
        <v/>
      </c>
      <c r="AD159" s="3">
        <f>VLOOKUP(YEAR(Q159),Populations!$A$3:$B$999,2,0)</f>
        <v>54959000</v>
      </c>
      <c r="AE159" s="3">
        <f>(Calculations!B1/AD159)</f>
        <v>1.24283433104678</v>
      </c>
      <c r="AF159" s="3"/>
      <c r="AG159" s="3">
        <v>1</v>
      </c>
      <c r="AH159" s="3" t="str">
        <f>VLOOKUP(AG159,WikiFormats!$A$3:$B$999,2,0)</f>
        <v>Story</v>
      </c>
      <c r="AI159" s="3" t="s">
        <v>611</v>
      </c>
    </row>
    <row r="160" spans="1:35" s="8" customFormat="1" x14ac:dyDescent="0.55000000000000004">
      <c r="A160" s="3">
        <v>158</v>
      </c>
      <c r="B160" s="3">
        <v>1</v>
      </c>
      <c r="C160" s="3" t="str">
        <f>VLOOKUP(B160,Eras!$A$3:$B$999,2,0)</f>
        <v>Classic</v>
      </c>
      <c r="D160" s="3">
        <v>1</v>
      </c>
      <c r="E160" s="3" t="str">
        <f>VLOOKUP(D160,EpisodeFormats!$A$3:$B$999,2,0)</f>
        <v>Series</v>
      </c>
      <c r="F160" s="3">
        <v>2</v>
      </c>
      <c r="G160" s="3" t="str">
        <f>VLOOKUP(F160,Doctors!$A$3:$B$999,2,0)</f>
        <v>Patrick Troughton</v>
      </c>
      <c r="H160" s="3">
        <v>4</v>
      </c>
      <c r="I160" s="3">
        <v>1</v>
      </c>
      <c r="J160" s="3" t="str">
        <f>VLOOKUP(I160,SeasonFormats!$A$3:$B$999,2,0)</f>
        <v>Season</v>
      </c>
      <c r="K160" s="3">
        <v>35</v>
      </c>
      <c r="L160" s="3">
        <v>8</v>
      </c>
      <c r="M160" s="3" t="s">
        <v>371</v>
      </c>
      <c r="N160" s="3">
        <v>2</v>
      </c>
      <c r="O160" s="3" t="s">
        <v>361</v>
      </c>
      <c r="P160" s="3">
        <v>32</v>
      </c>
      <c r="Q160" s="7" t="d">
        <v>1967-04-15</v>
      </c>
      <c r="R160" s="3">
        <v>26</v>
      </c>
      <c r="S160" s="3">
        <v>1</v>
      </c>
      <c r="T160" s="4" t="s">
        <v>1112</v>
      </c>
      <c r="U160" s="3" t="str" cm="1">
        <f t="array" ref="U160">_xlfn.TEXTJOIN(",",TRUE,_xlfn.XLOOKUP(_xlfn.FILTERXML("&lt;t&gt;&lt;s&gt;" &amp; SUBSTITUTE(T160,",","&lt;/s&gt;&lt;s&gt;") &amp; "&lt;/s&gt;&lt;/t&gt;", "//s"),Writers!$A$3:$A$999,Writers!$B$3:$B$999,""))</f>
        <v>David Ellis,Malcolm Hulke</v>
      </c>
      <c r="V160" s="3"/>
      <c r="W160" s="3" t="str">
        <f>IF(V160="","",_xlfn.XLOOKUP(V160,Writers!$A$3:$A$999,Writers!$B$3:$B$999,""))</f>
        <v/>
      </c>
      <c r="X160" s="3">
        <v>6.4</v>
      </c>
      <c r="Y160" s="3"/>
      <c r="Z160" s="3"/>
      <c r="AA160" s="3">
        <f t="shared" si="6"/>
        <v>7.95</v>
      </c>
      <c r="AB160" s="3" t="str">
        <f t="shared" si="7"/>
        <v/>
      </c>
      <c r="AC160" s="3" t="str">
        <f t="shared" si="8"/>
        <v/>
      </c>
      <c r="AD160" s="3">
        <f>VLOOKUP(YEAR(Q160),Populations!$A$3:$B$999,2,0)</f>
        <v>54959000</v>
      </c>
      <c r="AE160" s="3">
        <f>(Calculations!B1/AD160)</f>
        <v>1.24283433104678</v>
      </c>
      <c r="AF160" s="3"/>
      <c r="AG160" s="3">
        <v>1</v>
      </c>
      <c r="AH160" s="3" t="str">
        <f>VLOOKUP(AG160,WikiFormats!$A$3:$B$999,2,0)</f>
        <v>Story</v>
      </c>
      <c r="AI160" s="3" t="s">
        <v>611</v>
      </c>
    </row>
    <row r="161" spans="1:35" s="8" customFormat="1" x14ac:dyDescent="0.55000000000000004">
      <c r="A161" s="3">
        <v>159</v>
      </c>
      <c r="B161" s="3">
        <v>1</v>
      </c>
      <c r="C161" s="3" t="str">
        <f>VLOOKUP(B161,Eras!$A$3:$B$999,2,0)</f>
        <v>Classic</v>
      </c>
      <c r="D161" s="3">
        <v>1</v>
      </c>
      <c r="E161" s="3" t="str">
        <f>VLOOKUP(D161,EpisodeFormats!$A$3:$B$999,2,0)</f>
        <v>Series</v>
      </c>
      <c r="F161" s="3">
        <v>2</v>
      </c>
      <c r="G161" s="3" t="str">
        <f>VLOOKUP(F161,Doctors!$A$3:$B$999,2,0)</f>
        <v>Patrick Troughton</v>
      </c>
      <c r="H161" s="3">
        <v>4</v>
      </c>
      <c r="I161" s="3">
        <v>1</v>
      </c>
      <c r="J161" s="3" t="str">
        <f>VLOOKUP(I161,SeasonFormats!$A$3:$B$999,2,0)</f>
        <v>Season</v>
      </c>
      <c r="K161" s="3">
        <v>35</v>
      </c>
      <c r="L161" s="3">
        <v>8</v>
      </c>
      <c r="M161" s="3" t="s">
        <v>371</v>
      </c>
      <c r="N161" s="3">
        <v>3</v>
      </c>
      <c r="O161" s="3" t="s">
        <v>362</v>
      </c>
      <c r="P161" s="3">
        <v>33</v>
      </c>
      <c r="Q161" s="7" t="d">
        <v>1967-04-22</v>
      </c>
      <c r="R161" s="3">
        <v>23</v>
      </c>
      <c r="S161" s="3"/>
      <c r="T161" s="4" t="s">
        <v>1112</v>
      </c>
      <c r="U161" s="3" t="str" cm="1">
        <f t="array" ref="U161">_xlfn.TEXTJOIN(",",TRUE,_xlfn.XLOOKUP(_xlfn.FILTERXML("&lt;t&gt;&lt;s&gt;" &amp; SUBSTITUTE(T161,",","&lt;/s&gt;&lt;s&gt;") &amp; "&lt;/s&gt;&lt;/t&gt;", "//s"),Writers!$A$3:$A$999,Writers!$B$3:$B$999,""))</f>
        <v>David Ellis,Malcolm Hulke</v>
      </c>
      <c r="V161" s="3"/>
      <c r="W161" s="3" t="str">
        <f>IF(V161="","",_xlfn.XLOOKUP(V161,Writers!$A$3:$A$999,Writers!$B$3:$B$999,""))</f>
        <v/>
      </c>
      <c r="X161" s="3">
        <v>7.9</v>
      </c>
      <c r="Y161" s="3"/>
      <c r="Z161" s="3"/>
      <c r="AA161" s="3">
        <f t="shared" si="6"/>
        <v>9.82</v>
      </c>
      <c r="AB161" s="3" t="str">
        <f t="shared" si="7"/>
        <v/>
      </c>
      <c r="AC161" s="3" t="str">
        <f t="shared" si="8"/>
        <v/>
      </c>
      <c r="AD161" s="3">
        <f>VLOOKUP(YEAR(Q161),Populations!$A$3:$B$999,2,0)</f>
        <v>54959000</v>
      </c>
      <c r="AE161" s="3">
        <f>(Calculations!B1/AD161)</f>
        <v>1.24283433104678</v>
      </c>
      <c r="AF161" s="3"/>
      <c r="AG161" s="3">
        <v>1</v>
      </c>
      <c r="AH161" s="3" t="str">
        <f>VLOOKUP(AG161,WikiFormats!$A$3:$B$999,2,0)</f>
        <v>Story</v>
      </c>
      <c r="AI161" s="3" t="s">
        <v>611</v>
      </c>
    </row>
    <row r="162" spans="1:35" s="8" customFormat="1" x14ac:dyDescent="0.55000000000000004">
      <c r="A162" s="3">
        <v>160</v>
      </c>
      <c r="B162" s="3">
        <v>1</v>
      </c>
      <c r="C162" s="3" t="str">
        <f>VLOOKUP(B162,Eras!$A$3:$B$999,2,0)</f>
        <v>Classic</v>
      </c>
      <c r="D162" s="3">
        <v>1</v>
      </c>
      <c r="E162" s="3" t="str">
        <f>VLOOKUP(D162,EpisodeFormats!$A$3:$B$999,2,0)</f>
        <v>Series</v>
      </c>
      <c r="F162" s="3">
        <v>2</v>
      </c>
      <c r="G162" s="3" t="str">
        <f>VLOOKUP(F162,Doctors!$A$3:$B$999,2,0)</f>
        <v>Patrick Troughton</v>
      </c>
      <c r="H162" s="3">
        <v>4</v>
      </c>
      <c r="I162" s="3">
        <v>1</v>
      </c>
      <c r="J162" s="3" t="str">
        <f>VLOOKUP(I162,SeasonFormats!$A$3:$B$999,2,0)</f>
        <v>Season</v>
      </c>
      <c r="K162" s="3">
        <v>35</v>
      </c>
      <c r="L162" s="3">
        <v>8</v>
      </c>
      <c r="M162" s="3" t="s">
        <v>371</v>
      </c>
      <c r="N162" s="3">
        <v>4</v>
      </c>
      <c r="O162" s="3" t="s">
        <v>363</v>
      </c>
      <c r="P162" s="3">
        <v>34</v>
      </c>
      <c r="Q162" s="7" t="d">
        <v>1967-04-29</v>
      </c>
      <c r="R162" s="3">
        <v>23</v>
      </c>
      <c r="S162" s="3">
        <v>1</v>
      </c>
      <c r="T162" s="4" t="s">
        <v>1112</v>
      </c>
      <c r="U162" s="3" t="str" cm="1">
        <f t="array" ref="U162">_xlfn.TEXTJOIN(",",TRUE,_xlfn.XLOOKUP(_xlfn.FILTERXML("&lt;t&gt;&lt;s&gt;" &amp; SUBSTITUTE(T162,",","&lt;/s&gt;&lt;s&gt;") &amp; "&lt;/s&gt;&lt;/t&gt;", "//s"),Writers!$A$3:$A$999,Writers!$B$3:$B$999,""))</f>
        <v>David Ellis,Malcolm Hulke</v>
      </c>
      <c r="V162" s="3"/>
      <c r="W162" s="3" t="str">
        <f>IF(V162="","",_xlfn.XLOOKUP(V162,Writers!$A$3:$A$999,Writers!$B$3:$B$999,""))</f>
        <v/>
      </c>
      <c r="X162" s="3">
        <v>6.9</v>
      </c>
      <c r="Y162" s="3"/>
      <c r="Z162" s="3"/>
      <c r="AA162" s="3">
        <f t="shared" si="6"/>
        <v>8.58</v>
      </c>
      <c r="AB162" s="3" t="str">
        <f t="shared" si="7"/>
        <v/>
      </c>
      <c r="AC162" s="3" t="str">
        <f t="shared" si="8"/>
        <v/>
      </c>
      <c r="AD162" s="3">
        <f>VLOOKUP(YEAR(Q162),Populations!$A$3:$B$999,2,0)</f>
        <v>54959000</v>
      </c>
      <c r="AE162" s="3">
        <f>(Calculations!B1/AD162)</f>
        <v>1.24283433104678</v>
      </c>
      <c r="AF162" s="3"/>
      <c r="AG162" s="3">
        <v>1</v>
      </c>
      <c r="AH162" s="3" t="str">
        <f>VLOOKUP(AG162,WikiFormats!$A$3:$B$999,2,0)</f>
        <v>Story</v>
      </c>
      <c r="AI162" s="3" t="s">
        <v>611</v>
      </c>
    </row>
    <row r="163" spans="1:35" s="8" customFormat="1" x14ac:dyDescent="0.55000000000000004">
      <c r="A163" s="3">
        <v>161</v>
      </c>
      <c r="B163" s="3">
        <v>1</v>
      </c>
      <c r="C163" s="3" t="str">
        <f>VLOOKUP(B163,Eras!$A$3:$B$999,2,0)</f>
        <v>Classic</v>
      </c>
      <c r="D163" s="3">
        <v>1</v>
      </c>
      <c r="E163" s="3" t="str">
        <f>VLOOKUP(D163,EpisodeFormats!$A$3:$B$999,2,0)</f>
        <v>Series</v>
      </c>
      <c r="F163" s="3">
        <v>2</v>
      </c>
      <c r="G163" s="3" t="str">
        <f>VLOOKUP(F163,Doctors!$A$3:$B$999,2,0)</f>
        <v>Patrick Troughton</v>
      </c>
      <c r="H163" s="3">
        <v>4</v>
      </c>
      <c r="I163" s="3">
        <v>1</v>
      </c>
      <c r="J163" s="3" t="str">
        <f>VLOOKUP(I163,SeasonFormats!$A$3:$B$999,2,0)</f>
        <v>Season</v>
      </c>
      <c r="K163" s="3">
        <v>35</v>
      </c>
      <c r="L163" s="3">
        <v>8</v>
      </c>
      <c r="M163" s="3" t="s">
        <v>371</v>
      </c>
      <c r="N163" s="3">
        <v>5</v>
      </c>
      <c r="O163" s="3" t="s">
        <v>379</v>
      </c>
      <c r="P163" s="3">
        <v>35</v>
      </c>
      <c r="Q163" s="7" t="d">
        <v>1967-05-06</v>
      </c>
      <c r="R163" s="3">
        <v>24</v>
      </c>
      <c r="S163" s="3">
        <v>1</v>
      </c>
      <c r="T163" s="4" t="s">
        <v>1112</v>
      </c>
      <c r="U163" s="3" t="str" cm="1">
        <f t="array" ref="U163">_xlfn.TEXTJOIN(",",TRUE,_xlfn.XLOOKUP(_xlfn.FILTERXML("&lt;t&gt;&lt;s&gt;" &amp; SUBSTITUTE(T163,",","&lt;/s&gt;&lt;s&gt;") &amp; "&lt;/s&gt;&lt;/t&gt;", "//s"),Writers!$A$3:$A$999,Writers!$B$3:$B$999,""))</f>
        <v>David Ellis,Malcolm Hulke</v>
      </c>
      <c r="V163" s="3"/>
      <c r="W163" s="3" t="str">
        <f>IF(V163="","",_xlfn.XLOOKUP(V163,Writers!$A$3:$A$999,Writers!$B$3:$B$999,""))</f>
        <v/>
      </c>
      <c r="X163" s="3">
        <v>7.1</v>
      </c>
      <c r="Y163" s="3"/>
      <c r="Z163" s="3"/>
      <c r="AA163" s="3">
        <f t="shared" si="6"/>
        <v>8.82</v>
      </c>
      <c r="AB163" s="3" t="str">
        <f t="shared" si="7"/>
        <v/>
      </c>
      <c r="AC163" s="3" t="str">
        <f t="shared" si="8"/>
        <v/>
      </c>
      <c r="AD163" s="3">
        <f>VLOOKUP(YEAR(Q163),Populations!$A$3:$B$999,2,0)</f>
        <v>54959000</v>
      </c>
      <c r="AE163" s="3">
        <f>(Calculations!B1/AD163)</f>
        <v>1.24283433104678</v>
      </c>
      <c r="AF163" s="3"/>
      <c r="AG163" s="3">
        <v>1</v>
      </c>
      <c r="AH163" s="3" t="str">
        <f>VLOOKUP(AG163,WikiFormats!$A$3:$B$999,2,0)</f>
        <v>Story</v>
      </c>
      <c r="AI163" s="3" t="s">
        <v>611</v>
      </c>
    </row>
    <row r="164" spans="1:35" s="8" customFormat="1" x14ac:dyDescent="0.55000000000000004">
      <c r="A164" s="3">
        <v>162</v>
      </c>
      <c r="B164" s="3">
        <v>1</v>
      </c>
      <c r="C164" s="3" t="str">
        <f>VLOOKUP(B164,Eras!$A$3:$B$999,2,0)</f>
        <v>Classic</v>
      </c>
      <c r="D164" s="3">
        <v>1</v>
      </c>
      <c r="E164" s="3" t="str">
        <f>VLOOKUP(D164,EpisodeFormats!$A$3:$B$999,2,0)</f>
        <v>Series</v>
      </c>
      <c r="F164" s="3">
        <v>2</v>
      </c>
      <c r="G164" s="3" t="str">
        <f>VLOOKUP(F164,Doctors!$A$3:$B$999,2,0)</f>
        <v>Patrick Troughton</v>
      </c>
      <c r="H164" s="3">
        <v>4</v>
      </c>
      <c r="I164" s="3">
        <v>1</v>
      </c>
      <c r="J164" s="3" t="str">
        <f>VLOOKUP(I164,SeasonFormats!$A$3:$B$999,2,0)</f>
        <v>Season</v>
      </c>
      <c r="K164" s="3">
        <v>35</v>
      </c>
      <c r="L164" s="3">
        <v>8</v>
      </c>
      <c r="M164" s="3" t="s">
        <v>371</v>
      </c>
      <c r="N164" s="3">
        <v>6</v>
      </c>
      <c r="O164" s="3" t="s">
        <v>380</v>
      </c>
      <c r="P164" s="3">
        <v>36</v>
      </c>
      <c r="Q164" s="7" t="d">
        <v>1967-05-13</v>
      </c>
      <c r="R164" s="3">
        <v>24</v>
      </c>
      <c r="S164" s="3">
        <v>1</v>
      </c>
      <c r="T164" s="4" t="s">
        <v>1112</v>
      </c>
      <c r="U164" s="3" t="str" cm="1">
        <f t="array" ref="U164">_xlfn.TEXTJOIN(",",TRUE,_xlfn.XLOOKUP(_xlfn.FILTERXML("&lt;t&gt;&lt;s&gt;" &amp; SUBSTITUTE(T164,",","&lt;/s&gt;&lt;s&gt;") &amp; "&lt;/s&gt;&lt;/t&gt;", "//s"),Writers!$A$3:$A$999,Writers!$B$3:$B$999,""))</f>
        <v>David Ellis,Malcolm Hulke</v>
      </c>
      <c r="V164" s="3"/>
      <c r="W164" s="3" t="str">
        <f>IF(V164="","",_xlfn.XLOOKUP(V164,Writers!$A$3:$A$999,Writers!$B$3:$B$999,""))</f>
        <v/>
      </c>
      <c r="X164" s="3">
        <v>8</v>
      </c>
      <c r="Y164" s="3"/>
      <c r="Z164" s="3"/>
      <c r="AA164" s="3">
        <f t="shared" si="6"/>
        <v>9.94</v>
      </c>
      <c r="AB164" s="3" t="str">
        <f t="shared" si="7"/>
        <v/>
      </c>
      <c r="AC164" s="3" t="str">
        <f t="shared" si="8"/>
        <v/>
      </c>
      <c r="AD164" s="3">
        <f>VLOOKUP(YEAR(Q164),Populations!$A$3:$B$999,2,0)</f>
        <v>54959000</v>
      </c>
      <c r="AE164" s="3">
        <f>(Calculations!B1/AD164)</f>
        <v>1.24283433104678</v>
      </c>
      <c r="AF164" s="3"/>
      <c r="AG164" s="3">
        <v>1</v>
      </c>
      <c r="AH164" s="3" t="str">
        <f>VLOOKUP(AG164,WikiFormats!$A$3:$B$999,2,0)</f>
        <v>Story</v>
      </c>
      <c r="AI164" s="3" t="s">
        <v>611</v>
      </c>
    </row>
    <row r="165" spans="1:35" s="2" customFormat="1" x14ac:dyDescent="0.55000000000000004">
      <c r="A165">
        <v>163</v>
      </c>
      <c r="B165">
        <v>1</v>
      </c>
      <c r="C165" t="str">
        <f>VLOOKUP(B165,Eras!$A$3:$B$999,2,0)</f>
        <v>Classic</v>
      </c>
      <c r="D165">
        <v>1</v>
      </c>
      <c r="E165" t="str">
        <f>VLOOKUP(D165,EpisodeFormats!$A$3:$B$999,2,0)</f>
        <v>Series</v>
      </c>
      <c r="F165">
        <v>2</v>
      </c>
      <c r="G165" t="str">
        <f>VLOOKUP(F165,Doctors!$A$3:$B$999,2,0)</f>
        <v>Patrick Troughton</v>
      </c>
      <c r="H165">
        <v>4</v>
      </c>
      <c r="I165">
        <v>1</v>
      </c>
      <c r="J165" t="str">
        <f>VLOOKUP(I165,SeasonFormats!$A$3:$B$999,2,0)</f>
        <v>Season</v>
      </c>
      <c r="K165">
        <v>36</v>
      </c>
      <c r="L165">
        <v>9</v>
      </c>
      <c r="M165" t="s">
        <v>372</v>
      </c>
      <c r="N165">
        <v>1</v>
      </c>
      <c r="O165" t="s">
        <v>360</v>
      </c>
      <c r="P165">
        <v>37</v>
      </c>
      <c r="Q165" s="6" t="d">
        <v>1967-05-20</v>
      </c>
      <c r="R165">
        <v>25</v>
      </c>
      <c r="S165">
        <v>1</v>
      </c>
      <c r="T165" s="15" t="s">
        <v>1175</v>
      </c>
      <c r="U165" t="str" cm="1">
        <f t="array" ref="U165">_xlfn.TEXTJOIN(",",TRUE,_xlfn.XLOOKUP(_xlfn.FILTERXML("&lt;t&gt;&lt;s&gt;" &amp; SUBSTITUTE(T165,",","&lt;/s&gt;&lt;s&gt;") &amp; "&lt;/s&gt;&lt;/t&gt;", "//s"),Writers!$A$3:$A$999,Writers!$B$3:$B$999,""))</f>
        <v>David Whitaker</v>
      </c>
      <c r="V165"/>
      <c r="W165" t="str">
        <f>IF(V165="","",_xlfn.XLOOKUP(V165,Writers!$A$3:$A$999,Writers!$B$3:$B$999,""))</f>
        <v/>
      </c>
      <c r="X165">
        <v>8.1</v>
      </c>
      <c r="Y165"/>
      <c r="Z165"/>
      <c r="AA165">
        <f t="shared" si="6"/>
        <v>10.07</v>
      </c>
      <c r="AB165" t="str">
        <f t="shared" si="7"/>
        <v/>
      </c>
      <c r="AC165" t="str">
        <f t="shared" si="8"/>
        <v/>
      </c>
      <c r="AD165">
        <f>VLOOKUP(YEAR(Q165),Populations!$A$3:$B$999,2,0)</f>
        <v>54959000</v>
      </c>
      <c r="AE165">
        <f>(Calculations!B1/AD165)</f>
        <v>1.24283433104678</v>
      </c>
      <c r="AF165"/>
      <c r="AG165">
        <v>1</v>
      </c>
      <c r="AH165" t="str">
        <f>VLOOKUP(AG165,WikiFormats!$A$3:$B$999,2,0)</f>
        <v>Story</v>
      </c>
      <c r="AI165" t="s">
        <v>612</v>
      </c>
    </row>
    <row r="166" spans="1:35" s="2" customFormat="1" x14ac:dyDescent="0.55000000000000004">
      <c r="A166">
        <v>164</v>
      </c>
      <c r="B166">
        <v>1</v>
      </c>
      <c r="C166" t="str">
        <f>VLOOKUP(B166,Eras!$A$3:$B$999,2,0)</f>
        <v>Classic</v>
      </c>
      <c r="D166">
        <v>1</v>
      </c>
      <c r="E166" t="str">
        <f>VLOOKUP(D166,EpisodeFormats!$A$3:$B$999,2,0)</f>
        <v>Series</v>
      </c>
      <c r="F166">
        <v>2</v>
      </c>
      <c r="G166" t="str">
        <f>VLOOKUP(F166,Doctors!$A$3:$B$999,2,0)</f>
        <v>Patrick Troughton</v>
      </c>
      <c r="H166">
        <v>4</v>
      </c>
      <c r="I166">
        <v>1</v>
      </c>
      <c r="J166" t="str">
        <f>VLOOKUP(I166,SeasonFormats!$A$3:$B$999,2,0)</f>
        <v>Season</v>
      </c>
      <c r="K166">
        <v>36</v>
      </c>
      <c r="L166">
        <v>9</v>
      </c>
      <c r="M166" t="s">
        <v>372</v>
      </c>
      <c r="N166">
        <v>2</v>
      </c>
      <c r="O166" t="s">
        <v>361</v>
      </c>
      <c r="P166">
        <v>38</v>
      </c>
      <c r="Q166" s="6" t="d">
        <v>1967-05-27</v>
      </c>
      <c r="R166">
        <v>27</v>
      </c>
      <c r="S166"/>
      <c r="T166" s="15" t="s">
        <v>1175</v>
      </c>
      <c r="U166" t="str" cm="1">
        <f t="array" ref="U166">_xlfn.TEXTJOIN(",",TRUE,_xlfn.XLOOKUP(_xlfn.FILTERXML("&lt;t&gt;&lt;s&gt;" &amp; SUBSTITUTE(T166,",","&lt;/s&gt;&lt;s&gt;") &amp; "&lt;/s&gt;&lt;/t&gt;", "//s"),Writers!$A$3:$A$999,Writers!$B$3:$B$999,""))</f>
        <v>David Whitaker</v>
      </c>
      <c r="V166"/>
      <c r="W166" t="str">
        <f>IF(V166="","",_xlfn.XLOOKUP(V166,Writers!$A$3:$A$999,Writers!$B$3:$B$999,""))</f>
        <v/>
      </c>
      <c r="X166">
        <v>7.5</v>
      </c>
      <c r="Y166"/>
      <c r="Z166"/>
      <c r="AA166">
        <f t="shared" si="6"/>
        <v>9.32</v>
      </c>
      <c r="AB166" t="str">
        <f t="shared" si="7"/>
        <v/>
      </c>
      <c r="AC166" t="str">
        <f t="shared" si="8"/>
        <v/>
      </c>
      <c r="AD166">
        <f>VLOOKUP(YEAR(Q166),Populations!$A$3:$B$999,2,0)</f>
        <v>54959000</v>
      </c>
      <c r="AE166">
        <f>(Calculations!B1/AD166)</f>
        <v>1.24283433104678</v>
      </c>
      <c r="AF166"/>
      <c r="AG166">
        <v>1</v>
      </c>
      <c r="AH166" t="str">
        <f>VLOOKUP(AG166,WikiFormats!$A$3:$B$999,2,0)</f>
        <v>Story</v>
      </c>
      <c r="AI166" t="s">
        <v>612</v>
      </c>
    </row>
    <row r="167" spans="1:35" s="2" customFormat="1" x14ac:dyDescent="0.55000000000000004">
      <c r="A167">
        <v>165</v>
      </c>
      <c r="B167">
        <v>1</v>
      </c>
      <c r="C167" t="str">
        <f>VLOOKUP(B167,Eras!$A$3:$B$999,2,0)</f>
        <v>Classic</v>
      </c>
      <c r="D167">
        <v>1</v>
      </c>
      <c r="E167" t="str">
        <f>VLOOKUP(D167,EpisodeFormats!$A$3:$B$999,2,0)</f>
        <v>Series</v>
      </c>
      <c r="F167">
        <v>2</v>
      </c>
      <c r="G167" t="str">
        <f>VLOOKUP(F167,Doctors!$A$3:$B$999,2,0)</f>
        <v>Patrick Troughton</v>
      </c>
      <c r="H167">
        <v>4</v>
      </c>
      <c r="I167">
        <v>1</v>
      </c>
      <c r="J167" t="str">
        <f>VLOOKUP(I167,SeasonFormats!$A$3:$B$999,2,0)</f>
        <v>Season</v>
      </c>
      <c r="K167">
        <v>36</v>
      </c>
      <c r="L167">
        <v>9</v>
      </c>
      <c r="M167" t="s">
        <v>372</v>
      </c>
      <c r="N167">
        <v>3</v>
      </c>
      <c r="O167" t="s">
        <v>362</v>
      </c>
      <c r="P167">
        <v>39</v>
      </c>
      <c r="Q167" s="6" t="d">
        <v>1967-06-03</v>
      </c>
      <c r="R167">
        <v>25</v>
      </c>
      <c r="S167">
        <v>1</v>
      </c>
      <c r="T167" s="15" t="s">
        <v>1175</v>
      </c>
      <c r="U167" t="str" cm="1">
        <f t="array" ref="U167">_xlfn.TEXTJOIN(",",TRUE,_xlfn.XLOOKUP(_xlfn.FILTERXML("&lt;t&gt;&lt;s&gt;" &amp; SUBSTITUTE(T167,",","&lt;/s&gt;&lt;s&gt;") &amp; "&lt;/s&gt;&lt;/t&gt;", "//s"),Writers!$A$3:$A$999,Writers!$B$3:$B$999,""))</f>
        <v>David Whitaker</v>
      </c>
      <c r="V167"/>
      <c r="W167" t="str">
        <f>IF(V167="","",_xlfn.XLOOKUP(V167,Writers!$A$3:$A$999,Writers!$B$3:$B$999,""))</f>
        <v/>
      </c>
      <c r="X167">
        <v>6.1</v>
      </c>
      <c r="Y167"/>
      <c r="Z167"/>
      <c r="AA167">
        <f t="shared" si="6"/>
        <v>7.58</v>
      </c>
      <c r="AB167" t="str">
        <f t="shared" si="7"/>
        <v/>
      </c>
      <c r="AC167" t="str">
        <f t="shared" si="8"/>
        <v/>
      </c>
      <c r="AD167">
        <f>VLOOKUP(YEAR(Q167),Populations!$A$3:$B$999,2,0)</f>
        <v>54959000</v>
      </c>
      <c r="AE167">
        <f>(Calculations!B1/AD167)</f>
        <v>1.24283433104678</v>
      </c>
      <c r="AF167"/>
      <c r="AG167">
        <v>1</v>
      </c>
      <c r="AH167" t="str">
        <f>VLOOKUP(AG167,WikiFormats!$A$3:$B$999,2,0)</f>
        <v>Story</v>
      </c>
      <c r="AI167" t="s">
        <v>612</v>
      </c>
    </row>
    <row r="168" spans="1:35" s="2" customFormat="1" x14ac:dyDescent="0.55000000000000004">
      <c r="A168">
        <v>166</v>
      </c>
      <c r="B168">
        <v>1</v>
      </c>
      <c r="C168" t="str">
        <f>VLOOKUP(B168,Eras!$A$3:$B$999,2,0)</f>
        <v>Classic</v>
      </c>
      <c r="D168">
        <v>1</v>
      </c>
      <c r="E168" t="str">
        <f>VLOOKUP(D168,EpisodeFormats!$A$3:$B$999,2,0)</f>
        <v>Series</v>
      </c>
      <c r="F168">
        <v>2</v>
      </c>
      <c r="G168" t="str">
        <f>VLOOKUP(F168,Doctors!$A$3:$B$999,2,0)</f>
        <v>Patrick Troughton</v>
      </c>
      <c r="H168">
        <v>4</v>
      </c>
      <c r="I168">
        <v>1</v>
      </c>
      <c r="J168" t="str">
        <f>VLOOKUP(I168,SeasonFormats!$A$3:$B$999,2,0)</f>
        <v>Season</v>
      </c>
      <c r="K168">
        <v>36</v>
      </c>
      <c r="L168">
        <v>9</v>
      </c>
      <c r="M168" t="s">
        <v>372</v>
      </c>
      <c r="N168">
        <v>4</v>
      </c>
      <c r="O168" t="s">
        <v>363</v>
      </c>
      <c r="P168">
        <v>40</v>
      </c>
      <c r="Q168" s="6" t="d">
        <v>1967-06-10</v>
      </c>
      <c r="R168">
        <v>24</v>
      </c>
      <c r="S168">
        <v>1</v>
      </c>
      <c r="T168" s="15" t="s">
        <v>1175</v>
      </c>
      <c r="U168" t="str" cm="1">
        <f t="array" ref="U168">_xlfn.TEXTJOIN(",",TRUE,_xlfn.XLOOKUP(_xlfn.FILTERXML("&lt;t&gt;&lt;s&gt;" &amp; SUBSTITUTE(T168,",","&lt;/s&gt;&lt;s&gt;") &amp; "&lt;/s&gt;&lt;/t&gt;", "//s"),Writers!$A$3:$A$999,Writers!$B$3:$B$999,""))</f>
        <v>David Whitaker</v>
      </c>
      <c r="V168"/>
      <c r="W168" t="str">
        <f>IF(V168="","",_xlfn.XLOOKUP(V168,Writers!$A$3:$A$999,Writers!$B$3:$B$999,""))</f>
        <v/>
      </c>
      <c r="X168">
        <v>5.3</v>
      </c>
      <c r="Y168"/>
      <c r="Z168"/>
      <c r="AA168">
        <f t="shared" si="6"/>
        <v>6.59</v>
      </c>
      <c r="AB168" t="str">
        <f t="shared" si="7"/>
        <v/>
      </c>
      <c r="AC168" t="str">
        <f t="shared" si="8"/>
        <v/>
      </c>
      <c r="AD168">
        <f>VLOOKUP(YEAR(Q168),Populations!$A$3:$B$999,2,0)</f>
        <v>54959000</v>
      </c>
      <c r="AE168">
        <f>(Calculations!B1/AD168)</f>
        <v>1.24283433104678</v>
      </c>
      <c r="AF168"/>
      <c r="AG168">
        <v>1</v>
      </c>
      <c r="AH168" t="str">
        <f>VLOOKUP(AG168,WikiFormats!$A$3:$B$999,2,0)</f>
        <v>Story</v>
      </c>
      <c r="AI168" t="s">
        <v>612</v>
      </c>
    </row>
    <row r="169" spans="1:35" s="2" customFormat="1" x14ac:dyDescent="0.55000000000000004">
      <c r="A169">
        <v>167</v>
      </c>
      <c r="B169">
        <v>1</v>
      </c>
      <c r="C169" t="str">
        <f>VLOOKUP(B169,Eras!$A$3:$B$999,2,0)</f>
        <v>Classic</v>
      </c>
      <c r="D169">
        <v>1</v>
      </c>
      <c r="E169" t="str">
        <f>VLOOKUP(D169,EpisodeFormats!$A$3:$B$999,2,0)</f>
        <v>Series</v>
      </c>
      <c r="F169">
        <v>2</v>
      </c>
      <c r="G169" t="str">
        <f>VLOOKUP(F169,Doctors!$A$3:$B$999,2,0)</f>
        <v>Patrick Troughton</v>
      </c>
      <c r="H169">
        <v>4</v>
      </c>
      <c r="I169">
        <v>1</v>
      </c>
      <c r="J169" t="str">
        <f>VLOOKUP(I169,SeasonFormats!$A$3:$B$999,2,0)</f>
        <v>Season</v>
      </c>
      <c r="K169">
        <v>36</v>
      </c>
      <c r="L169">
        <v>9</v>
      </c>
      <c r="M169" t="s">
        <v>372</v>
      </c>
      <c r="N169">
        <v>5</v>
      </c>
      <c r="O169" t="s">
        <v>379</v>
      </c>
      <c r="P169">
        <v>41</v>
      </c>
      <c r="Q169" s="6" t="d">
        <v>1967-06-17</v>
      </c>
      <c r="R169">
        <v>25</v>
      </c>
      <c r="S169">
        <v>1</v>
      </c>
      <c r="T169" s="15" t="s">
        <v>1175</v>
      </c>
      <c r="U169" t="str" cm="1">
        <f t="array" ref="U169">_xlfn.TEXTJOIN(",",TRUE,_xlfn.XLOOKUP(_xlfn.FILTERXML("&lt;t&gt;&lt;s&gt;" &amp; SUBSTITUTE(T169,",","&lt;/s&gt;&lt;s&gt;") &amp; "&lt;/s&gt;&lt;/t&gt;", "//s"),Writers!$A$3:$A$999,Writers!$B$3:$B$999,""))</f>
        <v>David Whitaker</v>
      </c>
      <c r="V169"/>
      <c r="W169" t="str">
        <f>IF(V169="","",_xlfn.XLOOKUP(V169,Writers!$A$3:$A$999,Writers!$B$3:$B$999,""))</f>
        <v/>
      </c>
      <c r="X169">
        <v>5.0999999999999996</v>
      </c>
      <c r="Y169"/>
      <c r="Z169"/>
      <c r="AA169">
        <f t="shared" si="6"/>
        <v>6.34</v>
      </c>
      <c r="AB169" t="str">
        <f t="shared" si="7"/>
        <v/>
      </c>
      <c r="AC169" t="str">
        <f t="shared" si="8"/>
        <v/>
      </c>
      <c r="AD169">
        <f>VLOOKUP(YEAR(Q169),Populations!$A$3:$B$999,2,0)</f>
        <v>54959000</v>
      </c>
      <c r="AE169">
        <f>(Calculations!B1/AD169)</f>
        <v>1.24283433104678</v>
      </c>
      <c r="AF169"/>
      <c r="AG169">
        <v>1</v>
      </c>
      <c r="AH169" t="str">
        <f>VLOOKUP(AG169,WikiFormats!$A$3:$B$999,2,0)</f>
        <v>Story</v>
      </c>
      <c r="AI169" t="s">
        <v>612</v>
      </c>
    </row>
    <row r="170" spans="1:35" s="2" customFormat="1" x14ac:dyDescent="0.55000000000000004">
      <c r="A170">
        <v>168</v>
      </c>
      <c r="B170">
        <v>1</v>
      </c>
      <c r="C170" t="str">
        <f>VLOOKUP(B170,Eras!$A$3:$B$999,2,0)</f>
        <v>Classic</v>
      </c>
      <c r="D170">
        <v>1</v>
      </c>
      <c r="E170" t="str">
        <f>VLOOKUP(D170,EpisodeFormats!$A$3:$B$999,2,0)</f>
        <v>Series</v>
      </c>
      <c r="F170">
        <v>2</v>
      </c>
      <c r="G170" t="str">
        <f>VLOOKUP(F170,Doctors!$A$3:$B$999,2,0)</f>
        <v>Patrick Troughton</v>
      </c>
      <c r="H170">
        <v>4</v>
      </c>
      <c r="I170">
        <v>1</v>
      </c>
      <c r="J170" t="str">
        <f>VLOOKUP(I170,SeasonFormats!$A$3:$B$999,2,0)</f>
        <v>Season</v>
      </c>
      <c r="K170">
        <v>36</v>
      </c>
      <c r="L170">
        <v>9</v>
      </c>
      <c r="M170" t="s">
        <v>372</v>
      </c>
      <c r="N170">
        <v>6</v>
      </c>
      <c r="O170" t="s">
        <v>380</v>
      </c>
      <c r="P170">
        <v>42</v>
      </c>
      <c r="Q170" s="6" t="d">
        <v>1967-06-24</v>
      </c>
      <c r="R170">
        <v>26</v>
      </c>
      <c r="S170">
        <v>1</v>
      </c>
      <c r="T170" s="15" t="s">
        <v>1175</v>
      </c>
      <c r="U170" t="str" cm="1">
        <f t="array" ref="U170">_xlfn.TEXTJOIN(",",TRUE,_xlfn.XLOOKUP(_xlfn.FILTERXML("&lt;t&gt;&lt;s&gt;" &amp; SUBSTITUTE(T170,",","&lt;/s&gt;&lt;s&gt;") &amp; "&lt;/s&gt;&lt;/t&gt;", "//s"),Writers!$A$3:$A$999,Writers!$B$3:$B$999,""))</f>
        <v>David Whitaker</v>
      </c>
      <c r="V170"/>
      <c r="W170" t="str">
        <f>IF(V170="","",_xlfn.XLOOKUP(V170,Writers!$A$3:$A$999,Writers!$B$3:$B$999,""))</f>
        <v/>
      </c>
      <c r="X170">
        <v>6.8</v>
      </c>
      <c r="Y170"/>
      <c r="Z170"/>
      <c r="AA170">
        <f t="shared" si="6"/>
        <v>8.4499999999999993</v>
      </c>
      <c r="AB170" t="str">
        <f t="shared" si="7"/>
        <v/>
      </c>
      <c r="AC170" t="str">
        <f t="shared" si="8"/>
        <v/>
      </c>
      <c r="AD170">
        <f>VLOOKUP(YEAR(Q170),Populations!$A$3:$B$999,2,0)</f>
        <v>54959000</v>
      </c>
      <c r="AE170">
        <f>(Calculations!B1/AD170)</f>
        <v>1.24283433104678</v>
      </c>
      <c r="AF170"/>
      <c r="AG170">
        <v>1</v>
      </c>
      <c r="AH170" t="str">
        <f>VLOOKUP(AG170,WikiFormats!$A$3:$B$999,2,0)</f>
        <v>Story</v>
      </c>
      <c r="AI170" t="s">
        <v>612</v>
      </c>
    </row>
    <row r="171" spans="1:35" s="2" customFormat="1" x14ac:dyDescent="0.55000000000000004">
      <c r="A171">
        <v>169</v>
      </c>
      <c r="B171">
        <v>1</v>
      </c>
      <c r="C171" t="str">
        <f>VLOOKUP(B171,Eras!$A$3:$B$999,2,0)</f>
        <v>Classic</v>
      </c>
      <c r="D171">
        <v>1</v>
      </c>
      <c r="E171" t="str">
        <f>VLOOKUP(D171,EpisodeFormats!$A$3:$B$999,2,0)</f>
        <v>Series</v>
      </c>
      <c r="F171">
        <v>2</v>
      </c>
      <c r="G171" t="str">
        <f>VLOOKUP(F171,Doctors!$A$3:$B$999,2,0)</f>
        <v>Patrick Troughton</v>
      </c>
      <c r="H171">
        <v>4</v>
      </c>
      <c r="I171">
        <v>1</v>
      </c>
      <c r="J171" t="str">
        <f>VLOOKUP(I171,SeasonFormats!$A$3:$B$999,2,0)</f>
        <v>Season</v>
      </c>
      <c r="K171">
        <v>36</v>
      </c>
      <c r="L171">
        <v>9</v>
      </c>
      <c r="M171" t="s">
        <v>372</v>
      </c>
      <c r="N171">
        <v>7</v>
      </c>
      <c r="O171" t="s">
        <v>381</v>
      </c>
      <c r="P171">
        <v>43</v>
      </c>
      <c r="Q171" s="6" t="d">
        <v>1967-07-01</v>
      </c>
      <c r="R171">
        <v>26</v>
      </c>
      <c r="S171">
        <v>1</v>
      </c>
      <c r="T171" s="15" t="s">
        <v>1175</v>
      </c>
      <c r="U171" t="str" cm="1">
        <f t="array" ref="U171">_xlfn.TEXTJOIN(",",TRUE,_xlfn.XLOOKUP(_xlfn.FILTERXML("&lt;t&gt;&lt;s&gt;" &amp; SUBSTITUTE(T171,",","&lt;/s&gt;&lt;s&gt;") &amp; "&lt;/s&gt;&lt;/t&gt;", "//s"),Writers!$A$3:$A$999,Writers!$B$3:$B$999,""))</f>
        <v>David Whitaker</v>
      </c>
      <c r="V171"/>
      <c r="W171" t="str">
        <f>IF(V171="","",_xlfn.XLOOKUP(V171,Writers!$A$3:$A$999,Writers!$B$3:$B$999,""))</f>
        <v/>
      </c>
      <c r="X171">
        <v>6.1</v>
      </c>
      <c r="Y171"/>
      <c r="Z171"/>
      <c r="AA171">
        <f t="shared" si="6"/>
        <v>7.58</v>
      </c>
      <c r="AB171" t="str">
        <f t="shared" si="7"/>
        <v/>
      </c>
      <c r="AC171" t="str">
        <f t="shared" si="8"/>
        <v/>
      </c>
      <c r="AD171">
        <f>VLOOKUP(YEAR(Q171),Populations!$A$3:$B$999,2,0)</f>
        <v>54959000</v>
      </c>
      <c r="AE171">
        <f>(Calculations!B1/AD171)</f>
        <v>1.24283433104678</v>
      </c>
      <c r="AF171"/>
      <c r="AG171">
        <v>1</v>
      </c>
      <c r="AH171" t="str">
        <f>VLOOKUP(AG171,WikiFormats!$A$3:$B$999,2,0)</f>
        <v>Story</v>
      </c>
      <c r="AI171" t="s">
        <v>612</v>
      </c>
    </row>
    <row r="172" spans="1:35" s="8" customFormat="1" x14ac:dyDescent="0.55000000000000004">
      <c r="A172" s="3">
        <v>170</v>
      </c>
      <c r="B172" s="3">
        <v>1</v>
      </c>
      <c r="C172" s="3" t="str">
        <f>VLOOKUP(B172,Eras!$A$3:$B$999,2,0)</f>
        <v>Classic</v>
      </c>
      <c r="D172" s="3">
        <v>1</v>
      </c>
      <c r="E172" s="3" t="str">
        <f>VLOOKUP(D172,EpisodeFormats!$A$3:$B$999,2,0)</f>
        <v>Series</v>
      </c>
      <c r="F172" s="3">
        <v>2</v>
      </c>
      <c r="G172" s="3" t="str">
        <f>VLOOKUP(F172,Doctors!$A$3:$B$999,2,0)</f>
        <v>Patrick Troughton</v>
      </c>
      <c r="H172" s="3">
        <v>5</v>
      </c>
      <c r="I172" s="3">
        <v>1</v>
      </c>
      <c r="J172" s="3" t="str">
        <f>VLOOKUP(I172,SeasonFormats!$A$3:$B$999,2,0)</f>
        <v>Season</v>
      </c>
      <c r="K172" s="3">
        <v>37</v>
      </c>
      <c r="L172" s="3">
        <v>1</v>
      </c>
      <c r="M172" s="3" t="s">
        <v>382</v>
      </c>
      <c r="N172" s="3">
        <v>1</v>
      </c>
      <c r="O172" s="3" t="s">
        <v>360</v>
      </c>
      <c r="P172" s="3">
        <v>1</v>
      </c>
      <c r="Q172" s="7" t="d">
        <v>1967-09-02</v>
      </c>
      <c r="R172" s="3">
        <v>24</v>
      </c>
      <c r="S172" s="3"/>
      <c r="T172" s="4" t="s">
        <v>1103</v>
      </c>
      <c r="U172" s="3" t="str" cm="1">
        <f t="array" ref="U172">_xlfn.TEXTJOIN(",",TRUE,_xlfn.XLOOKUP(_xlfn.FILTERXML("&lt;t&gt;&lt;s&gt;" &amp; SUBSTITUTE(T172,",","&lt;/s&gt;&lt;s&gt;") &amp; "&lt;/s&gt;&lt;/t&gt;", "//s"),Writers!$A$3:$A$999,Writers!$B$3:$B$999,""))</f>
        <v>Gerry Davis,Kit Pedler</v>
      </c>
      <c r="V172" s="3"/>
      <c r="W172" s="3" t="str">
        <f>IF(V172="","",_xlfn.XLOOKUP(V172,Writers!$A$3:$A$999,Writers!$B$3:$B$999,""))</f>
        <v/>
      </c>
      <c r="X172" s="3">
        <v>6</v>
      </c>
      <c r="Y172" s="3"/>
      <c r="Z172" s="3"/>
      <c r="AA172" s="3">
        <f t="shared" si="6"/>
        <v>7.46</v>
      </c>
      <c r="AB172" s="3" t="str">
        <f t="shared" si="7"/>
        <v/>
      </c>
      <c r="AC172" s="3" t="str">
        <f t="shared" si="8"/>
        <v/>
      </c>
      <c r="AD172" s="3">
        <f>VLOOKUP(YEAR(Q172),Populations!$A$3:$B$999,2,0)</f>
        <v>54959000</v>
      </c>
      <c r="AE172" s="3">
        <f>(Calculations!B1/AD172)</f>
        <v>1.24283433104678</v>
      </c>
      <c r="AF172" s="3"/>
      <c r="AG172" s="3">
        <v>1</v>
      </c>
      <c r="AH172" s="3" t="str">
        <f>VLOOKUP(AG172,WikiFormats!$A$3:$B$999,2,0)</f>
        <v>Story</v>
      </c>
      <c r="AI172" s="3" t="s">
        <v>613</v>
      </c>
    </row>
    <row r="173" spans="1:35" s="8" customFormat="1" x14ac:dyDescent="0.55000000000000004">
      <c r="A173" s="3">
        <v>171</v>
      </c>
      <c r="B173" s="3">
        <v>1</v>
      </c>
      <c r="C173" s="3" t="str">
        <f>VLOOKUP(B173,Eras!$A$3:$B$999,2,0)</f>
        <v>Classic</v>
      </c>
      <c r="D173" s="3">
        <v>1</v>
      </c>
      <c r="E173" s="3" t="str">
        <f>VLOOKUP(D173,EpisodeFormats!$A$3:$B$999,2,0)</f>
        <v>Series</v>
      </c>
      <c r="F173" s="3">
        <v>2</v>
      </c>
      <c r="G173" s="3" t="str">
        <f>VLOOKUP(F173,Doctors!$A$3:$B$999,2,0)</f>
        <v>Patrick Troughton</v>
      </c>
      <c r="H173" s="3">
        <v>5</v>
      </c>
      <c r="I173" s="3">
        <v>1</v>
      </c>
      <c r="J173" s="3" t="str">
        <f>VLOOKUP(I173,SeasonFormats!$A$3:$B$999,2,0)</f>
        <v>Season</v>
      </c>
      <c r="K173" s="3">
        <v>37</v>
      </c>
      <c r="L173" s="3">
        <v>1</v>
      </c>
      <c r="M173" s="3" t="s">
        <v>382</v>
      </c>
      <c r="N173" s="3">
        <v>2</v>
      </c>
      <c r="O173" s="3" t="s">
        <v>361</v>
      </c>
      <c r="P173" s="3">
        <v>2</v>
      </c>
      <c r="Q173" s="7" t="d">
        <v>1967-09-09</v>
      </c>
      <c r="R173" s="3">
        <v>25</v>
      </c>
      <c r="S173" s="3"/>
      <c r="T173" s="4" t="s">
        <v>1103</v>
      </c>
      <c r="U173" s="3" t="str" cm="1">
        <f t="array" ref="U173">_xlfn.TEXTJOIN(",",TRUE,_xlfn.XLOOKUP(_xlfn.FILTERXML("&lt;t&gt;&lt;s&gt;" &amp; SUBSTITUTE(T173,",","&lt;/s&gt;&lt;s&gt;") &amp; "&lt;/s&gt;&lt;/t&gt;", "//s"),Writers!$A$3:$A$999,Writers!$B$3:$B$999,""))</f>
        <v>Gerry Davis,Kit Pedler</v>
      </c>
      <c r="V173" s="3"/>
      <c r="W173" s="3" t="str">
        <f>IF(V173="","",_xlfn.XLOOKUP(V173,Writers!$A$3:$A$999,Writers!$B$3:$B$999,""))</f>
        <v/>
      </c>
      <c r="X173" s="3">
        <v>6.4</v>
      </c>
      <c r="Y173" s="3"/>
      <c r="Z173" s="3"/>
      <c r="AA173" s="3">
        <f t="shared" si="6"/>
        <v>7.95</v>
      </c>
      <c r="AB173" s="3" t="str">
        <f t="shared" si="7"/>
        <v/>
      </c>
      <c r="AC173" s="3" t="str">
        <f t="shared" si="8"/>
        <v/>
      </c>
      <c r="AD173" s="3">
        <f>VLOOKUP(YEAR(Q173),Populations!$A$3:$B$999,2,0)</f>
        <v>54959000</v>
      </c>
      <c r="AE173" s="3">
        <f>(Calculations!B1/AD173)</f>
        <v>1.24283433104678</v>
      </c>
      <c r="AF173" s="3"/>
      <c r="AG173" s="3">
        <v>1</v>
      </c>
      <c r="AH173" s="3" t="str">
        <f>VLOOKUP(AG173,WikiFormats!$A$3:$B$999,2,0)</f>
        <v>Story</v>
      </c>
      <c r="AI173" s="3" t="s">
        <v>613</v>
      </c>
    </row>
    <row r="174" spans="1:35" s="8" customFormat="1" x14ac:dyDescent="0.55000000000000004">
      <c r="A174" s="3">
        <v>172</v>
      </c>
      <c r="B174" s="3">
        <v>1</v>
      </c>
      <c r="C174" s="3" t="str">
        <f>VLOOKUP(B174,Eras!$A$3:$B$999,2,0)</f>
        <v>Classic</v>
      </c>
      <c r="D174" s="3">
        <v>1</v>
      </c>
      <c r="E174" s="3" t="str">
        <f>VLOOKUP(D174,EpisodeFormats!$A$3:$B$999,2,0)</f>
        <v>Series</v>
      </c>
      <c r="F174" s="3">
        <v>2</v>
      </c>
      <c r="G174" s="3" t="str">
        <f>VLOOKUP(F174,Doctors!$A$3:$B$999,2,0)</f>
        <v>Patrick Troughton</v>
      </c>
      <c r="H174" s="3">
        <v>5</v>
      </c>
      <c r="I174" s="3">
        <v>1</v>
      </c>
      <c r="J174" s="3" t="str">
        <f>VLOOKUP(I174,SeasonFormats!$A$3:$B$999,2,0)</f>
        <v>Season</v>
      </c>
      <c r="K174" s="3">
        <v>37</v>
      </c>
      <c r="L174" s="3">
        <v>1</v>
      </c>
      <c r="M174" s="3" t="s">
        <v>382</v>
      </c>
      <c r="N174" s="3">
        <v>3</v>
      </c>
      <c r="O174" s="3" t="s">
        <v>362</v>
      </c>
      <c r="P174" s="3">
        <v>3</v>
      </c>
      <c r="Q174" s="7" t="d">
        <v>1967-09-16</v>
      </c>
      <c r="R174" s="3">
        <v>24</v>
      </c>
      <c r="S174" s="3"/>
      <c r="T174" s="4" t="s">
        <v>1103</v>
      </c>
      <c r="U174" s="3" t="str" cm="1">
        <f t="array" ref="U174">_xlfn.TEXTJOIN(",",TRUE,_xlfn.XLOOKUP(_xlfn.FILTERXML("&lt;t&gt;&lt;s&gt;" &amp; SUBSTITUTE(T174,",","&lt;/s&gt;&lt;s&gt;") &amp; "&lt;/s&gt;&lt;/t&gt;", "//s"),Writers!$A$3:$A$999,Writers!$B$3:$B$999,""))</f>
        <v>Gerry Davis,Kit Pedler</v>
      </c>
      <c r="V174" s="3"/>
      <c r="W174" s="3" t="str">
        <f>IF(V174="","",_xlfn.XLOOKUP(V174,Writers!$A$3:$A$999,Writers!$B$3:$B$999,""))</f>
        <v/>
      </c>
      <c r="X174" s="3">
        <v>7.2</v>
      </c>
      <c r="Y174" s="3"/>
      <c r="Z174" s="3"/>
      <c r="AA174" s="3">
        <f t="shared" si="6"/>
        <v>8.9499999999999993</v>
      </c>
      <c r="AB174" s="3" t="str">
        <f t="shared" si="7"/>
        <v/>
      </c>
      <c r="AC174" s="3" t="str">
        <f t="shared" si="8"/>
        <v/>
      </c>
      <c r="AD174" s="3">
        <f>VLOOKUP(YEAR(Q174),Populations!$A$3:$B$999,2,0)</f>
        <v>54959000</v>
      </c>
      <c r="AE174" s="3">
        <f>(Calculations!B1/AD174)</f>
        <v>1.24283433104678</v>
      </c>
      <c r="AF174" s="3"/>
      <c r="AG174" s="3">
        <v>1</v>
      </c>
      <c r="AH174" s="3" t="str">
        <f>VLOOKUP(AG174,WikiFormats!$A$3:$B$999,2,0)</f>
        <v>Story</v>
      </c>
      <c r="AI174" s="3" t="s">
        <v>613</v>
      </c>
    </row>
    <row r="175" spans="1:35" s="8" customFormat="1" x14ac:dyDescent="0.55000000000000004">
      <c r="A175" s="3">
        <v>173</v>
      </c>
      <c r="B175" s="3">
        <v>1</v>
      </c>
      <c r="C175" s="3" t="str">
        <f>VLOOKUP(B175,Eras!$A$3:$B$999,2,0)</f>
        <v>Classic</v>
      </c>
      <c r="D175" s="3">
        <v>1</v>
      </c>
      <c r="E175" s="3" t="str">
        <f>VLOOKUP(D175,EpisodeFormats!$A$3:$B$999,2,0)</f>
        <v>Series</v>
      </c>
      <c r="F175" s="3">
        <v>2</v>
      </c>
      <c r="G175" s="3" t="str">
        <f>VLOOKUP(F175,Doctors!$A$3:$B$999,2,0)</f>
        <v>Patrick Troughton</v>
      </c>
      <c r="H175" s="3">
        <v>5</v>
      </c>
      <c r="I175" s="3">
        <v>1</v>
      </c>
      <c r="J175" s="3" t="str">
        <f>VLOOKUP(I175,SeasonFormats!$A$3:$B$999,2,0)</f>
        <v>Season</v>
      </c>
      <c r="K175" s="3">
        <v>37</v>
      </c>
      <c r="L175" s="3">
        <v>1</v>
      </c>
      <c r="M175" s="3" t="s">
        <v>382</v>
      </c>
      <c r="N175" s="3">
        <v>4</v>
      </c>
      <c r="O175" s="3" t="s">
        <v>363</v>
      </c>
      <c r="P175" s="3">
        <v>4</v>
      </c>
      <c r="Q175" s="7" t="d">
        <v>1967-09-23</v>
      </c>
      <c r="R175" s="3">
        <v>23</v>
      </c>
      <c r="S175" s="3"/>
      <c r="T175" s="4" t="s">
        <v>1103</v>
      </c>
      <c r="U175" s="3" t="str" cm="1">
        <f t="array" ref="U175">_xlfn.TEXTJOIN(",",TRUE,_xlfn.XLOOKUP(_xlfn.FILTERXML("&lt;t&gt;&lt;s&gt;" &amp; SUBSTITUTE(T175,",","&lt;/s&gt;&lt;s&gt;") &amp; "&lt;/s&gt;&lt;/t&gt;", "//s"),Writers!$A$3:$A$999,Writers!$B$3:$B$999,""))</f>
        <v>Gerry Davis,Kit Pedler</v>
      </c>
      <c r="V175" s="3"/>
      <c r="W175" s="3" t="str">
        <f>IF(V175="","",_xlfn.XLOOKUP(V175,Writers!$A$3:$A$999,Writers!$B$3:$B$999,""))</f>
        <v/>
      </c>
      <c r="X175" s="3">
        <v>7.4</v>
      </c>
      <c r="Y175" s="3"/>
      <c r="Z175" s="3"/>
      <c r="AA175" s="3">
        <f t="shared" si="6"/>
        <v>9.1999999999999993</v>
      </c>
      <c r="AB175" s="3" t="str">
        <f t="shared" si="7"/>
        <v/>
      </c>
      <c r="AC175" s="3" t="str">
        <f t="shared" si="8"/>
        <v/>
      </c>
      <c r="AD175" s="3">
        <f>VLOOKUP(YEAR(Q175),Populations!$A$3:$B$999,2,0)</f>
        <v>54959000</v>
      </c>
      <c r="AE175" s="3">
        <f>(Calculations!B1/AD175)</f>
        <v>1.24283433104678</v>
      </c>
      <c r="AF175" s="3"/>
      <c r="AG175" s="3">
        <v>1</v>
      </c>
      <c r="AH175" s="3" t="str">
        <f>VLOOKUP(AG175,WikiFormats!$A$3:$B$999,2,0)</f>
        <v>Story</v>
      </c>
      <c r="AI175" s="3" t="s">
        <v>613</v>
      </c>
    </row>
    <row r="176" spans="1:35" s="2" customFormat="1" x14ac:dyDescent="0.55000000000000004">
      <c r="A176">
        <v>174</v>
      </c>
      <c r="B176">
        <v>1</v>
      </c>
      <c r="C176" t="str">
        <f>VLOOKUP(B176,Eras!$A$3:$B$999,2,0)</f>
        <v>Classic</v>
      </c>
      <c r="D176">
        <v>1</v>
      </c>
      <c r="E176" t="str">
        <f>VLOOKUP(D176,EpisodeFormats!$A$3:$B$999,2,0)</f>
        <v>Series</v>
      </c>
      <c r="F176">
        <v>2</v>
      </c>
      <c r="G176" t="str">
        <f>VLOOKUP(F176,Doctors!$A$3:$B$999,2,0)</f>
        <v>Patrick Troughton</v>
      </c>
      <c r="H176">
        <v>5</v>
      </c>
      <c r="I176">
        <v>1</v>
      </c>
      <c r="J176" t="str">
        <f>VLOOKUP(I176,SeasonFormats!$A$3:$B$999,2,0)</f>
        <v>Season</v>
      </c>
      <c r="K176">
        <v>38</v>
      </c>
      <c r="L176">
        <v>2</v>
      </c>
      <c r="M176" t="s">
        <v>383</v>
      </c>
      <c r="N176">
        <v>1</v>
      </c>
      <c r="O176" t="s">
        <v>373</v>
      </c>
      <c r="P176">
        <v>5</v>
      </c>
      <c r="Q176" s="6" t="d">
        <v>1967-09-30</v>
      </c>
      <c r="R176">
        <v>24</v>
      </c>
      <c r="S176">
        <v>1</v>
      </c>
      <c r="T176" s="15" t="s">
        <v>1062</v>
      </c>
      <c r="U176" t="str" cm="1">
        <f t="array" ref="U176">_xlfn.TEXTJOIN(",",TRUE,_xlfn.XLOOKUP(_xlfn.FILTERXML("&lt;t&gt;&lt;s&gt;" &amp; SUBSTITUTE(T176,",","&lt;/s&gt;&lt;s&gt;") &amp; "&lt;/s&gt;&lt;/t&gt;", "//s"),Writers!$A$3:$A$999,Writers!$B$3:$B$999,""))</f>
        <v>Mervyn Haisman,Henry Lincoln</v>
      </c>
      <c r="V176"/>
      <c r="W176" t="str">
        <f>IF(V176="","",_xlfn.XLOOKUP(V176,Writers!$A$3:$A$999,Writers!$B$3:$B$999,""))</f>
        <v/>
      </c>
      <c r="X176">
        <v>6.3</v>
      </c>
      <c r="Y176"/>
      <c r="Z176"/>
      <c r="AA176">
        <f t="shared" si="6"/>
        <v>7.83</v>
      </c>
      <c r="AB176" t="str">
        <f t="shared" si="7"/>
        <v/>
      </c>
      <c r="AC176" t="str">
        <f t="shared" si="8"/>
        <v/>
      </c>
      <c r="AD176">
        <f>VLOOKUP(YEAR(Q176),Populations!$A$3:$B$999,2,0)</f>
        <v>54959000</v>
      </c>
      <c r="AE176">
        <f>(Calculations!B1/AD176)</f>
        <v>1.24283433104678</v>
      </c>
      <c r="AF176"/>
      <c r="AG176">
        <v>1</v>
      </c>
      <c r="AH176" t="str">
        <f>VLOOKUP(AG176,WikiFormats!$A$3:$B$999,2,0)</f>
        <v>Story</v>
      </c>
      <c r="AI176" t="s">
        <v>614</v>
      </c>
    </row>
    <row r="177" spans="1:35" s="2" customFormat="1" x14ac:dyDescent="0.55000000000000004">
      <c r="A177">
        <v>175</v>
      </c>
      <c r="B177">
        <v>1</v>
      </c>
      <c r="C177" t="str">
        <f>VLOOKUP(B177,Eras!$A$3:$B$999,2,0)</f>
        <v>Classic</v>
      </c>
      <c r="D177">
        <v>1</v>
      </c>
      <c r="E177" t="str">
        <f>VLOOKUP(D177,EpisodeFormats!$A$3:$B$999,2,0)</f>
        <v>Series</v>
      </c>
      <c r="F177">
        <v>2</v>
      </c>
      <c r="G177" t="str">
        <f>VLOOKUP(F177,Doctors!$A$3:$B$999,2,0)</f>
        <v>Patrick Troughton</v>
      </c>
      <c r="H177">
        <v>5</v>
      </c>
      <c r="I177">
        <v>1</v>
      </c>
      <c r="J177" t="str">
        <f>VLOOKUP(I177,SeasonFormats!$A$3:$B$999,2,0)</f>
        <v>Season</v>
      </c>
      <c r="K177">
        <v>38</v>
      </c>
      <c r="L177">
        <v>2</v>
      </c>
      <c r="M177" t="s">
        <v>383</v>
      </c>
      <c r="N177">
        <v>2</v>
      </c>
      <c r="O177" t="s">
        <v>374</v>
      </c>
      <c r="P177">
        <v>6</v>
      </c>
      <c r="Q177" s="6" t="d">
        <v>1967-10-07</v>
      </c>
      <c r="R177">
        <v>23</v>
      </c>
      <c r="S177"/>
      <c r="T177" s="15" t="s">
        <v>1062</v>
      </c>
      <c r="U177" t="str" cm="1">
        <f t="array" ref="U177">_xlfn.TEXTJOIN(",",TRUE,_xlfn.XLOOKUP(_xlfn.FILTERXML("&lt;t&gt;&lt;s&gt;" &amp; SUBSTITUTE(T177,",","&lt;/s&gt;&lt;s&gt;") &amp; "&lt;/s&gt;&lt;/t&gt;", "//s"),Writers!$A$3:$A$999,Writers!$B$3:$B$999,""))</f>
        <v>Mervyn Haisman,Henry Lincoln</v>
      </c>
      <c r="V177"/>
      <c r="W177" t="str">
        <f>IF(V177="","",_xlfn.XLOOKUP(V177,Writers!$A$3:$A$999,Writers!$B$3:$B$999,""))</f>
        <v/>
      </c>
      <c r="X177">
        <v>6</v>
      </c>
      <c r="Y177"/>
      <c r="Z177"/>
      <c r="AA177">
        <f t="shared" si="6"/>
        <v>7.46</v>
      </c>
      <c r="AB177" t="str">
        <f t="shared" si="7"/>
        <v/>
      </c>
      <c r="AC177" t="str">
        <f t="shared" si="8"/>
        <v/>
      </c>
      <c r="AD177">
        <f>VLOOKUP(YEAR(Q177),Populations!$A$3:$B$999,2,0)</f>
        <v>54959000</v>
      </c>
      <c r="AE177">
        <f>(Calculations!B1/AD177)</f>
        <v>1.24283433104678</v>
      </c>
      <c r="AF177"/>
      <c r="AG177">
        <v>1</v>
      </c>
      <c r="AH177" t="str">
        <f>VLOOKUP(AG177,WikiFormats!$A$3:$B$999,2,0)</f>
        <v>Story</v>
      </c>
      <c r="AI177" t="s">
        <v>614</v>
      </c>
    </row>
    <row r="178" spans="1:35" s="2" customFormat="1" x14ac:dyDescent="0.55000000000000004">
      <c r="A178">
        <v>176</v>
      </c>
      <c r="B178">
        <v>1</v>
      </c>
      <c r="C178" t="str">
        <f>VLOOKUP(B178,Eras!$A$3:$B$999,2,0)</f>
        <v>Classic</v>
      </c>
      <c r="D178">
        <v>1</v>
      </c>
      <c r="E178" t="str">
        <f>VLOOKUP(D178,EpisodeFormats!$A$3:$B$999,2,0)</f>
        <v>Series</v>
      </c>
      <c r="F178">
        <v>2</v>
      </c>
      <c r="G178" t="str">
        <f>VLOOKUP(F178,Doctors!$A$3:$B$999,2,0)</f>
        <v>Patrick Troughton</v>
      </c>
      <c r="H178">
        <v>5</v>
      </c>
      <c r="I178">
        <v>1</v>
      </c>
      <c r="J178" t="str">
        <f>VLOOKUP(I178,SeasonFormats!$A$3:$B$999,2,0)</f>
        <v>Season</v>
      </c>
      <c r="K178">
        <v>38</v>
      </c>
      <c r="L178">
        <v>2</v>
      </c>
      <c r="M178" t="s">
        <v>383</v>
      </c>
      <c r="N178">
        <v>3</v>
      </c>
      <c r="O178" t="s">
        <v>375</v>
      </c>
      <c r="P178">
        <v>7</v>
      </c>
      <c r="Q178" s="6" t="d">
        <v>1967-10-14</v>
      </c>
      <c r="R178">
        <v>25</v>
      </c>
      <c r="S178">
        <v>1</v>
      </c>
      <c r="T178" s="15" t="s">
        <v>1062</v>
      </c>
      <c r="U178" t="str" cm="1">
        <f t="array" ref="U178">_xlfn.TEXTJOIN(",",TRUE,_xlfn.XLOOKUP(_xlfn.FILTERXML("&lt;t&gt;&lt;s&gt;" &amp; SUBSTITUTE(T178,",","&lt;/s&gt;&lt;s&gt;") &amp; "&lt;/s&gt;&lt;/t&gt;", "//s"),Writers!$A$3:$A$999,Writers!$B$3:$B$999,""))</f>
        <v>Mervyn Haisman,Henry Lincoln</v>
      </c>
      <c r="V178"/>
      <c r="W178" t="str">
        <f>IF(V178="","",_xlfn.XLOOKUP(V178,Writers!$A$3:$A$999,Writers!$B$3:$B$999,""))</f>
        <v/>
      </c>
      <c r="X178">
        <v>7.1</v>
      </c>
      <c r="Y178"/>
      <c r="Z178"/>
      <c r="AA178">
        <f t="shared" si="6"/>
        <v>8.82</v>
      </c>
      <c r="AB178" t="str">
        <f t="shared" si="7"/>
        <v/>
      </c>
      <c r="AC178" t="str">
        <f t="shared" si="8"/>
        <v/>
      </c>
      <c r="AD178">
        <f>VLOOKUP(YEAR(Q178),Populations!$A$3:$B$999,2,0)</f>
        <v>54959000</v>
      </c>
      <c r="AE178">
        <f>(Calculations!B1/AD178)</f>
        <v>1.24283433104678</v>
      </c>
      <c r="AF178"/>
      <c r="AG178">
        <v>1</v>
      </c>
      <c r="AH178" t="str">
        <f>VLOOKUP(AG178,WikiFormats!$A$3:$B$999,2,0)</f>
        <v>Story</v>
      </c>
      <c r="AI178" t="s">
        <v>614</v>
      </c>
    </row>
    <row r="179" spans="1:35" s="2" customFormat="1" x14ac:dyDescent="0.55000000000000004">
      <c r="A179">
        <v>177</v>
      </c>
      <c r="B179">
        <v>1</v>
      </c>
      <c r="C179" t="str">
        <f>VLOOKUP(B179,Eras!$A$3:$B$999,2,0)</f>
        <v>Classic</v>
      </c>
      <c r="D179">
        <v>1</v>
      </c>
      <c r="E179" t="str">
        <f>VLOOKUP(D179,EpisodeFormats!$A$3:$B$999,2,0)</f>
        <v>Series</v>
      </c>
      <c r="F179">
        <v>2</v>
      </c>
      <c r="G179" t="str">
        <f>VLOOKUP(F179,Doctors!$A$3:$B$999,2,0)</f>
        <v>Patrick Troughton</v>
      </c>
      <c r="H179">
        <v>5</v>
      </c>
      <c r="I179">
        <v>1</v>
      </c>
      <c r="J179" t="str">
        <f>VLOOKUP(I179,SeasonFormats!$A$3:$B$999,2,0)</f>
        <v>Season</v>
      </c>
      <c r="K179">
        <v>38</v>
      </c>
      <c r="L179">
        <v>2</v>
      </c>
      <c r="M179" t="s">
        <v>383</v>
      </c>
      <c r="N179">
        <v>4</v>
      </c>
      <c r="O179" t="s">
        <v>376</v>
      </c>
      <c r="P179">
        <v>8</v>
      </c>
      <c r="Q179" s="6" t="d">
        <v>1967-10-21</v>
      </c>
      <c r="R179">
        <v>25</v>
      </c>
      <c r="S179">
        <v>1</v>
      </c>
      <c r="T179" s="15" t="s">
        <v>1062</v>
      </c>
      <c r="U179" t="str" cm="1">
        <f t="array" ref="U179">_xlfn.TEXTJOIN(",",TRUE,_xlfn.XLOOKUP(_xlfn.FILTERXML("&lt;t&gt;&lt;s&gt;" &amp; SUBSTITUTE(T179,",","&lt;/s&gt;&lt;s&gt;") &amp; "&lt;/s&gt;&lt;/t&gt;", "//s"),Writers!$A$3:$A$999,Writers!$B$3:$B$999,""))</f>
        <v>Mervyn Haisman,Henry Lincoln</v>
      </c>
      <c r="V179"/>
      <c r="W179" t="str">
        <f>IF(V179="","",_xlfn.XLOOKUP(V179,Writers!$A$3:$A$999,Writers!$B$3:$B$999,""))</f>
        <v/>
      </c>
      <c r="X179">
        <v>7.1</v>
      </c>
      <c r="Y179"/>
      <c r="Z179"/>
      <c r="AA179">
        <f t="shared" si="6"/>
        <v>8.82</v>
      </c>
      <c r="AB179" t="str">
        <f t="shared" si="7"/>
        <v/>
      </c>
      <c r="AC179" t="str">
        <f t="shared" si="8"/>
        <v/>
      </c>
      <c r="AD179">
        <f>VLOOKUP(YEAR(Q179),Populations!$A$3:$B$999,2,0)</f>
        <v>54959000</v>
      </c>
      <c r="AE179">
        <f>(Calculations!B1/AD179)</f>
        <v>1.24283433104678</v>
      </c>
      <c r="AF179"/>
      <c r="AG179">
        <v>1</v>
      </c>
      <c r="AH179" t="str">
        <f>VLOOKUP(AG179,WikiFormats!$A$3:$B$999,2,0)</f>
        <v>Story</v>
      </c>
      <c r="AI179" t="s">
        <v>614</v>
      </c>
    </row>
    <row r="180" spans="1:35" s="2" customFormat="1" x14ac:dyDescent="0.55000000000000004">
      <c r="A180">
        <v>178</v>
      </c>
      <c r="B180">
        <v>1</v>
      </c>
      <c r="C180" t="str">
        <f>VLOOKUP(B180,Eras!$A$3:$B$999,2,0)</f>
        <v>Classic</v>
      </c>
      <c r="D180">
        <v>1</v>
      </c>
      <c r="E180" t="str">
        <f>VLOOKUP(D180,EpisodeFormats!$A$3:$B$999,2,0)</f>
        <v>Series</v>
      </c>
      <c r="F180">
        <v>2</v>
      </c>
      <c r="G180" t="str">
        <f>VLOOKUP(F180,Doctors!$A$3:$B$999,2,0)</f>
        <v>Patrick Troughton</v>
      </c>
      <c r="H180">
        <v>5</v>
      </c>
      <c r="I180">
        <v>1</v>
      </c>
      <c r="J180" t="str">
        <f>VLOOKUP(I180,SeasonFormats!$A$3:$B$999,2,0)</f>
        <v>Season</v>
      </c>
      <c r="K180">
        <v>38</v>
      </c>
      <c r="L180">
        <v>2</v>
      </c>
      <c r="M180" t="s">
        <v>383</v>
      </c>
      <c r="N180">
        <v>5</v>
      </c>
      <c r="O180" t="s">
        <v>377</v>
      </c>
      <c r="P180">
        <v>9</v>
      </c>
      <c r="Q180" s="6" t="d">
        <v>1967-10-28</v>
      </c>
      <c r="R180">
        <v>25</v>
      </c>
      <c r="S180">
        <v>1</v>
      </c>
      <c r="T180" s="15" t="s">
        <v>1062</v>
      </c>
      <c r="U180" t="str" cm="1">
        <f t="array" ref="U180">_xlfn.TEXTJOIN(",",TRUE,_xlfn.XLOOKUP(_xlfn.FILTERXML("&lt;t&gt;&lt;s&gt;" &amp; SUBSTITUTE(T180,",","&lt;/s&gt;&lt;s&gt;") &amp; "&lt;/s&gt;&lt;/t&gt;", "//s"),Writers!$A$3:$A$999,Writers!$B$3:$B$999,""))</f>
        <v>Mervyn Haisman,Henry Lincoln</v>
      </c>
      <c r="V180"/>
      <c r="W180" t="str">
        <f>IF(V180="","",_xlfn.XLOOKUP(V180,Writers!$A$3:$A$999,Writers!$B$3:$B$999,""))</f>
        <v/>
      </c>
      <c r="X180">
        <v>7.2</v>
      </c>
      <c r="Y180"/>
      <c r="Z180"/>
      <c r="AA180">
        <f t="shared" si="6"/>
        <v>8.9499999999999993</v>
      </c>
      <c r="AB180" t="str">
        <f t="shared" si="7"/>
        <v/>
      </c>
      <c r="AC180" t="str">
        <f t="shared" si="8"/>
        <v/>
      </c>
      <c r="AD180">
        <f>VLOOKUP(YEAR(Q180),Populations!$A$3:$B$999,2,0)</f>
        <v>54959000</v>
      </c>
      <c r="AE180">
        <f>(Calculations!B1/AD180)</f>
        <v>1.24283433104678</v>
      </c>
      <c r="AF180"/>
      <c r="AG180">
        <v>1</v>
      </c>
      <c r="AH180" t="str">
        <f>VLOOKUP(AG180,WikiFormats!$A$3:$B$999,2,0)</f>
        <v>Story</v>
      </c>
      <c r="AI180" t="s">
        <v>614</v>
      </c>
    </row>
    <row r="181" spans="1:35" s="2" customFormat="1" x14ac:dyDescent="0.55000000000000004">
      <c r="A181">
        <v>179</v>
      </c>
      <c r="B181">
        <v>1</v>
      </c>
      <c r="C181" t="str">
        <f>VLOOKUP(B181,Eras!$A$3:$B$999,2,0)</f>
        <v>Classic</v>
      </c>
      <c r="D181">
        <v>1</v>
      </c>
      <c r="E181" t="str">
        <f>VLOOKUP(D181,EpisodeFormats!$A$3:$B$999,2,0)</f>
        <v>Series</v>
      </c>
      <c r="F181">
        <v>2</v>
      </c>
      <c r="G181" t="str">
        <f>VLOOKUP(F181,Doctors!$A$3:$B$999,2,0)</f>
        <v>Patrick Troughton</v>
      </c>
      <c r="H181">
        <v>5</v>
      </c>
      <c r="I181">
        <v>1</v>
      </c>
      <c r="J181" t="str">
        <f>VLOOKUP(I181,SeasonFormats!$A$3:$B$999,2,0)</f>
        <v>Season</v>
      </c>
      <c r="K181">
        <v>38</v>
      </c>
      <c r="L181">
        <v>2</v>
      </c>
      <c r="M181" t="s">
        <v>383</v>
      </c>
      <c r="N181">
        <v>6</v>
      </c>
      <c r="O181" t="s">
        <v>378</v>
      </c>
      <c r="P181">
        <v>10</v>
      </c>
      <c r="Q181" s="6" t="d">
        <v>1967-11-04</v>
      </c>
      <c r="R181">
        <v>25</v>
      </c>
      <c r="S181">
        <v>1</v>
      </c>
      <c r="T181" s="15" t="s">
        <v>1062</v>
      </c>
      <c r="U181" t="str" cm="1">
        <f t="array" ref="U181">_xlfn.TEXTJOIN(",",TRUE,_xlfn.XLOOKUP(_xlfn.FILTERXML("&lt;t&gt;&lt;s&gt;" &amp; SUBSTITUTE(T181,",","&lt;/s&gt;&lt;s&gt;") &amp; "&lt;/s&gt;&lt;/t&gt;", "//s"),Writers!$A$3:$A$999,Writers!$B$3:$B$999,""))</f>
        <v>Mervyn Haisman,Henry Lincoln</v>
      </c>
      <c r="V181"/>
      <c r="W181" t="str">
        <f>IF(V181="","",_xlfn.XLOOKUP(V181,Writers!$A$3:$A$999,Writers!$B$3:$B$999,""))</f>
        <v/>
      </c>
      <c r="X181">
        <v>7.4</v>
      </c>
      <c r="Y181"/>
      <c r="Z181"/>
      <c r="AA181">
        <f t="shared" si="6"/>
        <v>9.1999999999999993</v>
      </c>
      <c r="AB181" t="str">
        <f t="shared" si="7"/>
        <v/>
      </c>
      <c r="AC181" t="str">
        <f t="shared" si="8"/>
        <v/>
      </c>
      <c r="AD181">
        <f>VLOOKUP(YEAR(Q181),Populations!$A$3:$B$999,2,0)</f>
        <v>54959000</v>
      </c>
      <c r="AE181">
        <f>(Calculations!B1/AD181)</f>
        <v>1.24283433104678</v>
      </c>
      <c r="AF181"/>
      <c r="AG181">
        <v>1</v>
      </c>
      <c r="AH181" t="str">
        <f>VLOOKUP(AG181,WikiFormats!$A$3:$B$999,2,0)</f>
        <v>Story</v>
      </c>
      <c r="AI181" t="s">
        <v>614</v>
      </c>
    </row>
    <row r="182" spans="1:35" s="8" customFormat="1" x14ac:dyDescent="0.55000000000000004">
      <c r="A182" s="3">
        <v>180</v>
      </c>
      <c r="B182" s="3">
        <v>1</v>
      </c>
      <c r="C182" s="3" t="str">
        <f>VLOOKUP(B182,Eras!$A$3:$B$999,2,0)</f>
        <v>Classic</v>
      </c>
      <c r="D182" s="3">
        <v>1</v>
      </c>
      <c r="E182" s="3" t="str">
        <f>VLOOKUP(D182,EpisodeFormats!$A$3:$B$999,2,0)</f>
        <v>Series</v>
      </c>
      <c r="F182" s="3">
        <v>2</v>
      </c>
      <c r="G182" s="3" t="str">
        <f>VLOOKUP(F182,Doctors!$A$3:$B$999,2,0)</f>
        <v>Patrick Troughton</v>
      </c>
      <c r="H182" s="3">
        <v>5</v>
      </c>
      <c r="I182" s="3">
        <v>1</v>
      </c>
      <c r="J182" s="3" t="str">
        <f>VLOOKUP(I182,SeasonFormats!$A$3:$B$999,2,0)</f>
        <v>Season</v>
      </c>
      <c r="K182" s="3">
        <v>39</v>
      </c>
      <c r="L182" s="3">
        <v>3</v>
      </c>
      <c r="M182" s="3" t="s">
        <v>384</v>
      </c>
      <c r="N182" s="3">
        <v>1</v>
      </c>
      <c r="O182" s="3" t="s">
        <v>389</v>
      </c>
      <c r="P182" s="3">
        <v>11</v>
      </c>
      <c r="Q182" s="7" t="d">
        <v>1967-11-11</v>
      </c>
      <c r="R182" s="3">
        <v>24</v>
      </c>
      <c r="S182" s="3"/>
      <c r="T182" s="4" t="s">
        <v>1106</v>
      </c>
      <c r="U182" s="3" t="str" cm="1">
        <f t="array" ref="U182">_xlfn.TEXTJOIN(",",TRUE,_xlfn.XLOOKUP(_xlfn.FILTERXML("&lt;t&gt;&lt;s&gt;" &amp; SUBSTITUTE(T182,",","&lt;/s&gt;&lt;s&gt;") &amp; "&lt;/s&gt;&lt;/t&gt;", "//s"),Writers!$A$3:$A$999,Writers!$B$3:$B$999,""))</f>
        <v>Brian Hayles</v>
      </c>
      <c r="V182" s="3"/>
      <c r="W182" s="3" t="str">
        <f>IF(V182="","",_xlfn.XLOOKUP(V182,Writers!$A$3:$A$999,Writers!$B$3:$B$999,""))</f>
        <v/>
      </c>
      <c r="X182" s="3">
        <v>6.7</v>
      </c>
      <c r="Y182" s="3"/>
      <c r="Z182" s="3"/>
      <c r="AA182" s="3">
        <f t="shared" si="6"/>
        <v>8.33</v>
      </c>
      <c r="AB182" s="3" t="str">
        <f t="shared" si="7"/>
        <v/>
      </c>
      <c r="AC182" s="3" t="str">
        <f t="shared" si="8"/>
        <v/>
      </c>
      <c r="AD182" s="3">
        <f>VLOOKUP(YEAR(Q182),Populations!$A$3:$B$999,2,0)</f>
        <v>54959000</v>
      </c>
      <c r="AE182" s="3">
        <f>(Calculations!B1/AD182)</f>
        <v>1.24283433104678</v>
      </c>
      <c r="AF182" s="3"/>
      <c r="AG182" s="3">
        <v>1</v>
      </c>
      <c r="AH182" s="3" t="str">
        <f>VLOOKUP(AG182,WikiFormats!$A$3:$B$999,2,0)</f>
        <v>Story</v>
      </c>
      <c r="AI182" s="3" t="s">
        <v>615</v>
      </c>
    </row>
    <row r="183" spans="1:35" s="8" customFormat="1" x14ac:dyDescent="0.55000000000000004">
      <c r="A183" s="3">
        <v>181</v>
      </c>
      <c r="B183" s="3">
        <v>1</v>
      </c>
      <c r="C183" s="3" t="str">
        <f>VLOOKUP(B183,Eras!$A$3:$B$999,2,0)</f>
        <v>Classic</v>
      </c>
      <c r="D183" s="3">
        <v>1</v>
      </c>
      <c r="E183" s="3" t="str">
        <f>VLOOKUP(D183,EpisodeFormats!$A$3:$B$999,2,0)</f>
        <v>Series</v>
      </c>
      <c r="F183" s="3">
        <v>2</v>
      </c>
      <c r="G183" s="3" t="str">
        <f>VLOOKUP(F183,Doctors!$A$3:$B$999,2,0)</f>
        <v>Patrick Troughton</v>
      </c>
      <c r="H183" s="3">
        <v>5</v>
      </c>
      <c r="I183" s="3">
        <v>1</v>
      </c>
      <c r="J183" s="3" t="str">
        <f>VLOOKUP(I183,SeasonFormats!$A$3:$B$999,2,0)</f>
        <v>Season</v>
      </c>
      <c r="K183" s="3">
        <v>39</v>
      </c>
      <c r="L183" s="3">
        <v>3</v>
      </c>
      <c r="M183" s="3" t="s">
        <v>384</v>
      </c>
      <c r="N183" s="3">
        <v>2</v>
      </c>
      <c r="O183" s="3" t="s">
        <v>390</v>
      </c>
      <c r="P183" s="3">
        <v>12</v>
      </c>
      <c r="Q183" s="7" t="d">
        <v>1967-11-18</v>
      </c>
      <c r="R183" s="3">
        <v>25</v>
      </c>
      <c r="S183" s="3">
        <v>1</v>
      </c>
      <c r="T183" s="4" t="s">
        <v>1106</v>
      </c>
      <c r="U183" s="3" t="str" cm="1">
        <f t="array" ref="U183">_xlfn.TEXTJOIN(",",TRUE,_xlfn.XLOOKUP(_xlfn.FILTERXML("&lt;t&gt;&lt;s&gt;" &amp; SUBSTITUTE(T183,",","&lt;/s&gt;&lt;s&gt;") &amp; "&lt;/s&gt;&lt;/t&gt;", "//s"),Writers!$A$3:$A$999,Writers!$B$3:$B$999,""))</f>
        <v>Brian Hayles</v>
      </c>
      <c r="V183" s="3"/>
      <c r="W183" s="3" t="str">
        <f>IF(V183="","",_xlfn.XLOOKUP(V183,Writers!$A$3:$A$999,Writers!$B$3:$B$999,""))</f>
        <v/>
      </c>
      <c r="X183" s="3">
        <v>7.1</v>
      </c>
      <c r="Y183" s="3"/>
      <c r="Z183" s="3"/>
      <c r="AA183" s="3">
        <f t="shared" si="6"/>
        <v>8.82</v>
      </c>
      <c r="AB183" s="3" t="str">
        <f t="shared" si="7"/>
        <v/>
      </c>
      <c r="AC183" s="3" t="str">
        <f t="shared" si="8"/>
        <v/>
      </c>
      <c r="AD183" s="3">
        <f>VLOOKUP(YEAR(Q183),Populations!$A$3:$B$999,2,0)</f>
        <v>54959000</v>
      </c>
      <c r="AE183" s="3">
        <f>(Calculations!B1/AD183)</f>
        <v>1.24283433104678</v>
      </c>
      <c r="AF183" s="3"/>
      <c r="AG183" s="3">
        <v>1</v>
      </c>
      <c r="AH183" s="3" t="str">
        <f>VLOOKUP(AG183,WikiFormats!$A$3:$B$999,2,0)</f>
        <v>Story</v>
      </c>
      <c r="AI183" s="3" t="s">
        <v>615</v>
      </c>
    </row>
    <row r="184" spans="1:35" s="8" customFormat="1" x14ac:dyDescent="0.55000000000000004">
      <c r="A184" s="3">
        <v>182</v>
      </c>
      <c r="B184" s="3">
        <v>1</v>
      </c>
      <c r="C184" s="3" t="str">
        <f>VLOOKUP(B184,Eras!$A$3:$B$999,2,0)</f>
        <v>Classic</v>
      </c>
      <c r="D184" s="3">
        <v>1</v>
      </c>
      <c r="E184" s="3" t="str">
        <f>VLOOKUP(D184,EpisodeFormats!$A$3:$B$999,2,0)</f>
        <v>Series</v>
      </c>
      <c r="F184" s="3">
        <v>2</v>
      </c>
      <c r="G184" s="3" t="str">
        <f>VLOOKUP(F184,Doctors!$A$3:$B$999,2,0)</f>
        <v>Patrick Troughton</v>
      </c>
      <c r="H184" s="3">
        <v>5</v>
      </c>
      <c r="I184" s="3">
        <v>1</v>
      </c>
      <c r="J184" s="3" t="str">
        <f>VLOOKUP(I184,SeasonFormats!$A$3:$B$999,2,0)</f>
        <v>Season</v>
      </c>
      <c r="K184" s="3">
        <v>39</v>
      </c>
      <c r="L184" s="3">
        <v>3</v>
      </c>
      <c r="M184" s="3" t="s">
        <v>384</v>
      </c>
      <c r="N184" s="3">
        <v>3</v>
      </c>
      <c r="O184" s="3" t="s">
        <v>391</v>
      </c>
      <c r="P184" s="3">
        <v>13</v>
      </c>
      <c r="Q184" s="7" t="d">
        <v>1967-11-25</v>
      </c>
      <c r="R184" s="3">
        <v>25</v>
      </c>
      <c r="S184" s="3">
        <v>1</v>
      </c>
      <c r="T184" s="4" t="s">
        <v>1106</v>
      </c>
      <c r="U184" s="3" t="str" cm="1">
        <f t="array" ref="U184">_xlfn.TEXTJOIN(",",TRUE,_xlfn.XLOOKUP(_xlfn.FILTERXML("&lt;t&gt;&lt;s&gt;" &amp; SUBSTITUTE(T184,",","&lt;/s&gt;&lt;s&gt;") &amp; "&lt;/s&gt;&lt;/t&gt;", "//s"),Writers!$A$3:$A$999,Writers!$B$3:$B$999,""))</f>
        <v>Brian Hayles</v>
      </c>
      <c r="V184" s="3"/>
      <c r="W184" s="3" t="str">
        <f>IF(V184="","",_xlfn.XLOOKUP(V184,Writers!$A$3:$A$999,Writers!$B$3:$B$999,""))</f>
        <v/>
      </c>
      <c r="X184" s="3">
        <v>7.4</v>
      </c>
      <c r="Y184" s="3"/>
      <c r="Z184" s="3"/>
      <c r="AA184" s="3">
        <f t="shared" si="6"/>
        <v>9.1999999999999993</v>
      </c>
      <c r="AB184" s="3" t="str">
        <f t="shared" si="7"/>
        <v/>
      </c>
      <c r="AC184" s="3" t="str">
        <f t="shared" si="8"/>
        <v/>
      </c>
      <c r="AD184" s="3">
        <f>VLOOKUP(YEAR(Q184),Populations!$A$3:$B$999,2,0)</f>
        <v>54959000</v>
      </c>
      <c r="AE184" s="3">
        <f>(Calculations!B1/AD184)</f>
        <v>1.24283433104678</v>
      </c>
      <c r="AF184" s="3"/>
      <c r="AG184" s="3">
        <v>1</v>
      </c>
      <c r="AH184" s="3" t="str">
        <f>VLOOKUP(AG184,WikiFormats!$A$3:$B$999,2,0)</f>
        <v>Story</v>
      </c>
      <c r="AI184" s="3" t="s">
        <v>615</v>
      </c>
    </row>
    <row r="185" spans="1:35" s="8" customFormat="1" x14ac:dyDescent="0.55000000000000004">
      <c r="A185" s="3">
        <v>183</v>
      </c>
      <c r="B185" s="3">
        <v>1</v>
      </c>
      <c r="C185" s="3" t="str">
        <f>VLOOKUP(B185,Eras!$A$3:$B$999,2,0)</f>
        <v>Classic</v>
      </c>
      <c r="D185" s="3">
        <v>1</v>
      </c>
      <c r="E185" s="3" t="str">
        <f>VLOOKUP(D185,EpisodeFormats!$A$3:$B$999,2,0)</f>
        <v>Series</v>
      </c>
      <c r="F185" s="3">
        <v>2</v>
      </c>
      <c r="G185" s="3" t="str">
        <f>VLOOKUP(F185,Doctors!$A$3:$B$999,2,0)</f>
        <v>Patrick Troughton</v>
      </c>
      <c r="H185" s="3">
        <v>5</v>
      </c>
      <c r="I185" s="3">
        <v>1</v>
      </c>
      <c r="J185" s="3" t="str">
        <f>VLOOKUP(I185,SeasonFormats!$A$3:$B$999,2,0)</f>
        <v>Season</v>
      </c>
      <c r="K185" s="3">
        <v>39</v>
      </c>
      <c r="L185" s="3">
        <v>3</v>
      </c>
      <c r="M185" s="3" t="s">
        <v>384</v>
      </c>
      <c r="N185" s="3">
        <v>4</v>
      </c>
      <c r="O185" s="3" t="s">
        <v>392</v>
      </c>
      <c r="P185" s="3">
        <v>14</v>
      </c>
      <c r="Q185" s="7" t="d">
        <v>1967-12-02</v>
      </c>
      <c r="R185" s="3">
        <v>24</v>
      </c>
      <c r="S185" s="3"/>
      <c r="T185" s="4" t="s">
        <v>1106</v>
      </c>
      <c r="U185" s="3" t="str" cm="1">
        <f t="array" ref="U185">_xlfn.TEXTJOIN(",",TRUE,_xlfn.XLOOKUP(_xlfn.FILTERXML("&lt;t&gt;&lt;s&gt;" &amp; SUBSTITUTE(T185,",","&lt;/s&gt;&lt;s&gt;") &amp; "&lt;/s&gt;&lt;/t&gt;", "//s"),Writers!$A$3:$A$999,Writers!$B$3:$B$999,""))</f>
        <v>Brian Hayles</v>
      </c>
      <c r="V185" s="3"/>
      <c r="W185" s="3" t="str">
        <f>IF(V185="","",_xlfn.XLOOKUP(V185,Writers!$A$3:$A$999,Writers!$B$3:$B$999,""))</f>
        <v/>
      </c>
      <c r="X185" s="3">
        <v>7.3</v>
      </c>
      <c r="Y185" s="3"/>
      <c r="Z185" s="3"/>
      <c r="AA185" s="3">
        <f t="shared" si="6"/>
        <v>9.07</v>
      </c>
      <c r="AB185" s="3" t="str">
        <f t="shared" si="7"/>
        <v/>
      </c>
      <c r="AC185" s="3" t="str">
        <f t="shared" si="8"/>
        <v/>
      </c>
      <c r="AD185" s="3">
        <f>VLOOKUP(YEAR(Q185),Populations!$A$3:$B$999,2,0)</f>
        <v>54959000</v>
      </c>
      <c r="AE185" s="3">
        <f>(Calculations!B1/AD185)</f>
        <v>1.24283433104678</v>
      </c>
      <c r="AF185" s="3"/>
      <c r="AG185" s="3">
        <v>1</v>
      </c>
      <c r="AH185" s="3" t="str">
        <f>VLOOKUP(AG185,WikiFormats!$A$3:$B$999,2,0)</f>
        <v>Story</v>
      </c>
      <c r="AI185" s="3" t="s">
        <v>615</v>
      </c>
    </row>
    <row r="186" spans="1:35" s="8" customFormat="1" x14ac:dyDescent="0.55000000000000004">
      <c r="A186" s="3">
        <v>184</v>
      </c>
      <c r="B186" s="3">
        <v>1</v>
      </c>
      <c r="C186" s="3" t="str">
        <f>VLOOKUP(B186,Eras!$A$3:$B$999,2,0)</f>
        <v>Classic</v>
      </c>
      <c r="D186" s="3">
        <v>1</v>
      </c>
      <c r="E186" s="3" t="str">
        <f>VLOOKUP(D186,EpisodeFormats!$A$3:$B$999,2,0)</f>
        <v>Series</v>
      </c>
      <c r="F186" s="3">
        <v>2</v>
      </c>
      <c r="G186" s="3" t="str">
        <f>VLOOKUP(F186,Doctors!$A$3:$B$999,2,0)</f>
        <v>Patrick Troughton</v>
      </c>
      <c r="H186" s="3">
        <v>5</v>
      </c>
      <c r="I186" s="3">
        <v>1</v>
      </c>
      <c r="J186" s="3" t="str">
        <f>VLOOKUP(I186,SeasonFormats!$A$3:$B$999,2,0)</f>
        <v>Season</v>
      </c>
      <c r="K186" s="3">
        <v>39</v>
      </c>
      <c r="L186" s="3">
        <v>3</v>
      </c>
      <c r="M186" s="3" t="s">
        <v>384</v>
      </c>
      <c r="N186" s="3">
        <v>5</v>
      </c>
      <c r="O186" s="3" t="s">
        <v>393</v>
      </c>
      <c r="P186" s="3">
        <v>15</v>
      </c>
      <c r="Q186" s="7" t="d">
        <v>1967-12-09</v>
      </c>
      <c r="R186" s="3">
        <v>24</v>
      </c>
      <c r="S186" s="3"/>
      <c r="T186" s="4" t="s">
        <v>1106</v>
      </c>
      <c r="U186" s="3" t="str" cm="1">
        <f t="array" ref="U186">_xlfn.TEXTJOIN(",",TRUE,_xlfn.XLOOKUP(_xlfn.FILTERXML("&lt;t&gt;&lt;s&gt;" &amp; SUBSTITUTE(T186,",","&lt;/s&gt;&lt;s&gt;") &amp; "&lt;/s&gt;&lt;/t&gt;", "//s"),Writers!$A$3:$A$999,Writers!$B$3:$B$999,""))</f>
        <v>Brian Hayles</v>
      </c>
      <c r="V186" s="3"/>
      <c r="W186" s="3" t="str">
        <f>IF(V186="","",_xlfn.XLOOKUP(V186,Writers!$A$3:$A$999,Writers!$B$3:$B$999,""))</f>
        <v/>
      </c>
      <c r="X186" s="3">
        <v>8</v>
      </c>
      <c r="Y186" s="3"/>
      <c r="Z186" s="3"/>
      <c r="AA186" s="3">
        <f t="shared" si="6"/>
        <v>9.94</v>
      </c>
      <c r="AB186" s="3" t="str">
        <f t="shared" si="7"/>
        <v/>
      </c>
      <c r="AC186" s="3" t="str">
        <f t="shared" si="8"/>
        <v/>
      </c>
      <c r="AD186" s="3">
        <f>VLOOKUP(YEAR(Q186),Populations!$A$3:$B$999,2,0)</f>
        <v>54959000</v>
      </c>
      <c r="AE186" s="3">
        <f>(Calculations!B1/AD186)</f>
        <v>1.24283433104678</v>
      </c>
      <c r="AF186" s="3"/>
      <c r="AG186" s="3">
        <v>1</v>
      </c>
      <c r="AH186" s="3" t="str">
        <f>VLOOKUP(AG186,WikiFormats!$A$3:$B$999,2,0)</f>
        <v>Story</v>
      </c>
      <c r="AI186" s="3" t="s">
        <v>615</v>
      </c>
    </row>
    <row r="187" spans="1:35" s="8" customFormat="1" x14ac:dyDescent="0.55000000000000004">
      <c r="A187" s="3">
        <v>185</v>
      </c>
      <c r="B187" s="3">
        <v>1</v>
      </c>
      <c r="C187" s="3" t="str">
        <f>VLOOKUP(B187,Eras!$A$3:$B$999,2,0)</f>
        <v>Classic</v>
      </c>
      <c r="D187" s="3">
        <v>1</v>
      </c>
      <c r="E187" s="3" t="str">
        <f>VLOOKUP(D187,EpisodeFormats!$A$3:$B$999,2,0)</f>
        <v>Series</v>
      </c>
      <c r="F187" s="3">
        <v>2</v>
      </c>
      <c r="G187" s="3" t="str">
        <f>VLOOKUP(F187,Doctors!$A$3:$B$999,2,0)</f>
        <v>Patrick Troughton</v>
      </c>
      <c r="H187" s="3">
        <v>5</v>
      </c>
      <c r="I187" s="3">
        <v>1</v>
      </c>
      <c r="J187" s="3" t="str">
        <f>VLOOKUP(I187,SeasonFormats!$A$3:$B$999,2,0)</f>
        <v>Season</v>
      </c>
      <c r="K187" s="3">
        <v>39</v>
      </c>
      <c r="L187" s="3">
        <v>3</v>
      </c>
      <c r="M187" s="3" t="s">
        <v>384</v>
      </c>
      <c r="N187" s="3">
        <v>6</v>
      </c>
      <c r="O187" s="3" t="s">
        <v>394</v>
      </c>
      <c r="P187" s="3">
        <v>16</v>
      </c>
      <c r="Q187" s="7" t="d">
        <v>1967-12-16</v>
      </c>
      <c r="R187" s="3">
        <v>24</v>
      </c>
      <c r="S187" s="3"/>
      <c r="T187" s="4" t="s">
        <v>1106</v>
      </c>
      <c r="U187" s="3" t="str" cm="1">
        <f t="array" ref="U187">_xlfn.TEXTJOIN(",",TRUE,_xlfn.XLOOKUP(_xlfn.FILTERXML("&lt;t&gt;&lt;s&gt;" &amp; SUBSTITUTE(T187,",","&lt;/s&gt;&lt;s&gt;") &amp; "&lt;/s&gt;&lt;/t&gt;", "//s"),Writers!$A$3:$A$999,Writers!$B$3:$B$999,""))</f>
        <v>Brian Hayles</v>
      </c>
      <c r="V187" s="3"/>
      <c r="W187" s="3" t="str">
        <f>IF(V187="","",_xlfn.XLOOKUP(V187,Writers!$A$3:$A$999,Writers!$B$3:$B$999,""))</f>
        <v/>
      </c>
      <c r="X187" s="3">
        <v>7.5</v>
      </c>
      <c r="Y187" s="3"/>
      <c r="Z187" s="3"/>
      <c r="AA187" s="3">
        <f t="shared" si="6"/>
        <v>9.32</v>
      </c>
      <c r="AB187" s="3" t="str">
        <f t="shared" si="7"/>
        <v/>
      </c>
      <c r="AC187" s="3" t="str">
        <f t="shared" si="8"/>
        <v/>
      </c>
      <c r="AD187" s="3">
        <f>VLOOKUP(YEAR(Q187),Populations!$A$3:$B$999,2,0)</f>
        <v>54959000</v>
      </c>
      <c r="AE187" s="3">
        <f>(Calculations!B1/AD187)</f>
        <v>1.24283433104678</v>
      </c>
      <c r="AF187" s="3"/>
      <c r="AG187" s="3">
        <v>1</v>
      </c>
      <c r="AH187" s="3" t="str">
        <f>VLOOKUP(AG187,WikiFormats!$A$3:$B$999,2,0)</f>
        <v>Story</v>
      </c>
      <c r="AI187" s="3" t="s">
        <v>615</v>
      </c>
    </row>
    <row r="188" spans="1:35" s="2" customFormat="1" x14ac:dyDescent="0.55000000000000004">
      <c r="A188">
        <v>186</v>
      </c>
      <c r="B188">
        <v>1</v>
      </c>
      <c r="C188" t="str">
        <f>VLOOKUP(B188,Eras!$A$3:$B$999,2,0)</f>
        <v>Classic</v>
      </c>
      <c r="D188">
        <v>1</v>
      </c>
      <c r="E188" t="str">
        <f>VLOOKUP(D188,EpisodeFormats!$A$3:$B$999,2,0)</f>
        <v>Series</v>
      </c>
      <c r="F188">
        <v>2</v>
      </c>
      <c r="G188" t="str">
        <f>VLOOKUP(F188,Doctors!$A$3:$B$999,2,0)</f>
        <v>Patrick Troughton</v>
      </c>
      <c r="H188">
        <v>5</v>
      </c>
      <c r="I188">
        <v>1</v>
      </c>
      <c r="J188" t="str">
        <f>VLOOKUP(I188,SeasonFormats!$A$3:$B$999,2,0)</f>
        <v>Season</v>
      </c>
      <c r="K188">
        <v>40</v>
      </c>
      <c r="L188">
        <v>4</v>
      </c>
      <c r="M188" t="s">
        <v>385</v>
      </c>
      <c r="N188">
        <v>1</v>
      </c>
      <c r="O188" t="s">
        <v>360</v>
      </c>
      <c r="P188">
        <v>17</v>
      </c>
      <c r="Q188" s="6" t="d">
        <v>1967-12-23</v>
      </c>
      <c r="R188">
        <v>24</v>
      </c>
      <c r="S188"/>
      <c r="T188" s="15" t="s">
        <v>1175</v>
      </c>
      <c r="U188" t="str" cm="1">
        <f t="array" ref="U188">_xlfn.TEXTJOIN(",",TRUE,_xlfn.XLOOKUP(_xlfn.FILTERXML("&lt;t&gt;&lt;s&gt;" &amp; SUBSTITUTE(T188,",","&lt;/s&gt;&lt;s&gt;") &amp; "&lt;/s&gt;&lt;/t&gt;", "//s"),Writers!$A$3:$A$999,Writers!$B$3:$B$999,""))</f>
        <v>David Whitaker</v>
      </c>
      <c r="V188"/>
      <c r="W188" t="str">
        <f>IF(V188="","",_xlfn.XLOOKUP(V188,Writers!$A$3:$A$999,Writers!$B$3:$B$999,""))</f>
        <v/>
      </c>
      <c r="X188">
        <v>6.8</v>
      </c>
      <c r="Y188"/>
      <c r="Z188"/>
      <c r="AA188">
        <f t="shared" si="6"/>
        <v>8.4499999999999993</v>
      </c>
      <c r="AB188" t="str">
        <f t="shared" si="7"/>
        <v/>
      </c>
      <c r="AC188" t="str">
        <f t="shared" si="8"/>
        <v/>
      </c>
      <c r="AD188">
        <f>VLOOKUP(YEAR(Q188),Populations!$A$3:$B$999,2,0)</f>
        <v>54959000</v>
      </c>
      <c r="AE188">
        <f>(Calculations!B1/AD188)</f>
        <v>1.24283433104678</v>
      </c>
      <c r="AF188"/>
      <c r="AG188">
        <v>1</v>
      </c>
      <c r="AH188" t="str">
        <f>VLOOKUP(AG188,WikiFormats!$A$3:$B$999,2,0)</f>
        <v>Story</v>
      </c>
      <c r="AI188" t="s">
        <v>616</v>
      </c>
    </row>
    <row r="189" spans="1:35" s="2" customFormat="1" x14ac:dyDescent="0.55000000000000004">
      <c r="A189">
        <v>187</v>
      </c>
      <c r="B189">
        <v>1</v>
      </c>
      <c r="C189" t="str">
        <f>VLOOKUP(B189,Eras!$A$3:$B$999,2,0)</f>
        <v>Classic</v>
      </c>
      <c r="D189">
        <v>1</v>
      </c>
      <c r="E189" t="str">
        <f>VLOOKUP(D189,EpisodeFormats!$A$3:$B$999,2,0)</f>
        <v>Series</v>
      </c>
      <c r="F189">
        <v>2</v>
      </c>
      <c r="G189" t="str">
        <f>VLOOKUP(F189,Doctors!$A$3:$B$999,2,0)</f>
        <v>Patrick Troughton</v>
      </c>
      <c r="H189">
        <v>5</v>
      </c>
      <c r="I189">
        <v>1</v>
      </c>
      <c r="J189" t="str">
        <f>VLOOKUP(I189,SeasonFormats!$A$3:$B$999,2,0)</f>
        <v>Season</v>
      </c>
      <c r="K189">
        <v>40</v>
      </c>
      <c r="L189">
        <v>4</v>
      </c>
      <c r="M189" t="s">
        <v>385</v>
      </c>
      <c r="N189">
        <v>2</v>
      </c>
      <c r="O189" t="s">
        <v>361</v>
      </c>
      <c r="P189">
        <v>18</v>
      </c>
      <c r="Q189" s="6" t="d">
        <v>1967-12-30</v>
      </c>
      <c r="R189">
        <v>24</v>
      </c>
      <c r="S189"/>
      <c r="T189" s="15" t="s">
        <v>1175</v>
      </c>
      <c r="U189" t="str" cm="1">
        <f t="array" ref="U189">_xlfn.TEXTJOIN(",",TRUE,_xlfn.XLOOKUP(_xlfn.FILTERXML("&lt;t&gt;&lt;s&gt;" &amp; SUBSTITUTE(T189,",","&lt;/s&gt;&lt;s&gt;") &amp; "&lt;/s&gt;&lt;/t&gt;", "//s"),Writers!$A$3:$A$999,Writers!$B$3:$B$999,""))</f>
        <v>David Whitaker</v>
      </c>
      <c r="V189"/>
      <c r="W189" t="str">
        <f>IF(V189="","",_xlfn.XLOOKUP(V189,Writers!$A$3:$A$999,Writers!$B$3:$B$999,""))</f>
        <v/>
      </c>
      <c r="X189">
        <v>7.6</v>
      </c>
      <c r="Y189"/>
      <c r="Z189"/>
      <c r="AA189">
        <f t="shared" si="6"/>
        <v>9.4499999999999993</v>
      </c>
      <c r="AB189" t="str">
        <f t="shared" si="7"/>
        <v/>
      </c>
      <c r="AC189" t="str">
        <f t="shared" si="8"/>
        <v/>
      </c>
      <c r="AD189">
        <f>VLOOKUP(YEAR(Q189),Populations!$A$3:$B$999,2,0)</f>
        <v>54959000</v>
      </c>
      <c r="AE189">
        <f>(Calculations!B1/AD189)</f>
        <v>1.24283433104678</v>
      </c>
      <c r="AF189"/>
      <c r="AG189">
        <v>1</v>
      </c>
      <c r="AH189" t="str">
        <f>VLOOKUP(AG189,WikiFormats!$A$3:$B$999,2,0)</f>
        <v>Story</v>
      </c>
      <c r="AI189" t="s">
        <v>616</v>
      </c>
    </row>
    <row r="190" spans="1:35" s="2" customFormat="1" x14ac:dyDescent="0.55000000000000004">
      <c r="A190">
        <v>188</v>
      </c>
      <c r="B190">
        <v>1</v>
      </c>
      <c r="C190" t="str">
        <f>VLOOKUP(B190,Eras!$A$3:$B$999,2,0)</f>
        <v>Classic</v>
      </c>
      <c r="D190">
        <v>1</v>
      </c>
      <c r="E190" t="str">
        <f>VLOOKUP(D190,EpisodeFormats!$A$3:$B$999,2,0)</f>
        <v>Series</v>
      </c>
      <c r="F190">
        <v>2</v>
      </c>
      <c r="G190" t="str">
        <f>VLOOKUP(F190,Doctors!$A$3:$B$999,2,0)</f>
        <v>Patrick Troughton</v>
      </c>
      <c r="H190">
        <v>5</v>
      </c>
      <c r="I190">
        <v>1</v>
      </c>
      <c r="J190" t="str">
        <f>VLOOKUP(I190,SeasonFormats!$A$3:$B$999,2,0)</f>
        <v>Season</v>
      </c>
      <c r="K190">
        <v>40</v>
      </c>
      <c r="L190">
        <v>4</v>
      </c>
      <c r="M190" t="s">
        <v>385</v>
      </c>
      <c r="N190">
        <v>3</v>
      </c>
      <c r="O190" t="s">
        <v>362</v>
      </c>
      <c r="P190">
        <v>19</v>
      </c>
      <c r="Q190" s="6" t="d">
        <v>1968-01-06</v>
      </c>
      <c r="R190">
        <v>23</v>
      </c>
      <c r="S190"/>
      <c r="T190" s="15" t="s">
        <v>1175</v>
      </c>
      <c r="U190" t="str" cm="1">
        <f t="array" ref="U190">_xlfn.TEXTJOIN(",",TRUE,_xlfn.XLOOKUP(_xlfn.FILTERXML("&lt;t&gt;&lt;s&gt;" &amp; SUBSTITUTE(T190,",","&lt;/s&gt;&lt;s&gt;") &amp; "&lt;/s&gt;&lt;/t&gt;", "//s"),Writers!$A$3:$A$999,Writers!$B$3:$B$999,""))</f>
        <v>David Whitaker</v>
      </c>
      <c r="V190"/>
      <c r="W190" t="str">
        <f>IF(V190="","",_xlfn.XLOOKUP(V190,Writers!$A$3:$A$999,Writers!$B$3:$B$999,""))</f>
        <v/>
      </c>
      <c r="X190">
        <v>7.1</v>
      </c>
      <c r="Y190"/>
      <c r="Z190"/>
      <c r="AA190">
        <f t="shared" si="6"/>
        <v>8.7799999999999994</v>
      </c>
      <c r="AB190" t="str">
        <f t="shared" si="7"/>
        <v/>
      </c>
      <c r="AC190" t="str">
        <f t="shared" si="8"/>
        <v/>
      </c>
      <c r="AD190">
        <f>VLOOKUP(YEAR(Q190),Populations!$A$3:$B$999,2,0)</f>
        <v>55213500</v>
      </c>
      <c r="AE190">
        <f>(Calculations!B1/AD190)</f>
        <v>1.2371056353971399</v>
      </c>
      <c r="AF190"/>
      <c r="AG190">
        <v>1</v>
      </c>
      <c r="AH190" t="str">
        <f>VLOOKUP(AG190,WikiFormats!$A$3:$B$999,2,0)</f>
        <v>Story</v>
      </c>
      <c r="AI190" t="s">
        <v>616</v>
      </c>
    </row>
    <row r="191" spans="1:35" s="2" customFormat="1" x14ac:dyDescent="0.55000000000000004">
      <c r="A191">
        <v>189</v>
      </c>
      <c r="B191">
        <v>1</v>
      </c>
      <c r="C191" t="str">
        <f>VLOOKUP(B191,Eras!$A$3:$B$999,2,0)</f>
        <v>Classic</v>
      </c>
      <c r="D191">
        <v>1</v>
      </c>
      <c r="E191" t="str">
        <f>VLOOKUP(D191,EpisodeFormats!$A$3:$B$999,2,0)</f>
        <v>Series</v>
      </c>
      <c r="F191">
        <v>2</v>
      </c>
      <c r="G191" t="str">
        <f>VLOOKUP(F191,Doctors!$A$3:$B$999,2,0)</f>
        <v>Patrick Troughton</v>
      </c>
      <c r="H191">
        <v>5</v>
      </c>
      <c r="I191">
        <v>1</v>
      </c>
      <c r="J191" t="str">
        <f>VLOOKUP(I191,SeasonFormats!$A$3:$B$999,2,0)</f>
        <v>Season</v>
      </c>
      <c r="K191">
        <v>40</v>
      </c>
      <c r="L191">
        <v>4</v>
      </c>
      <c r="M191" t="s">
        <v>385</v>
      </c>
      <c r="N191">
        <v>4</v>
      </c>
      <c r="O191" t="s">
        <v>363</v>
      </c>
      <c r="P191">
        <v>20</v>
      </c>
      <c r="Q191" s="6" t="d">
        <v>1968-01-13</v>
      </c>
      <c r="R191">
        <v>24</v>
      </c>
      <c r="S191"/>
      <c r="T191" s="15" t="s">
        <v>1175</v>
      </c>
      <c r="U191" t="str" cm="1">
        <f t="array" ref="U191">_xlfn.TEXTJOIN(",",TRUE,_xlfn.XLOOKUP(_xlfn.FILTERXML("&lt;t&gt;&lt;s&gt;" &amp; SUBSTITUTE(T191,",","&lt;/s&gt;&lt;s&gt;") &amp; "&lt;/s&gt;&lt;/t&gt;", "//s"),Writers!$A$3:$A$999,Writers!$B$3:$B$999,""))</f>
        <v>David Whitaker</v>
      </c>
      <c r="V191"/>
      <c r="W191" t="str">
        <f>IF(V191="","",_xlfn.XLOOKUP(V191,Writers!$A$3:$A$999,Writers!$B$3:$B$999,""))</f>
        <v/>
      </c>
      <c r="X191">
        <v>7.8</v>
      </c>
      <c r="Y191"/>
      <c r="Z191"/>
      <c r="AA191">
        <f t="shared" si="6"/>
        <v>9.65</v>
      </c>
      <c r="AB191" t="str">
        <f t="shared" si="7"/>
        <v/>
      </c>
      <c r="AC191" t="str">
        <f t="shared" si="8"/>
        <v/>
      </c>
      <c r="AD191">
        <f>VLOOKUP(YEAR(Q191),Populations!$A$3:$B$999,2,0)</f>
        <v>55213500</v>
      </c>
      <c r="AE191">
        <f>(Calculations!B1/AD191)</f>
        <v>1.2371056353971399</v>
      </c>
      <c r="AF191"/>
      <c r="AG191">
        <v>1</v>
      </c>
      <c r="AH191" t="str">
        <f>VLOOKUP(AG191,WikiFormats!$A$3:$B$999,2,0)</f>
        <v>Story</v>
      </c>
      <c r="AI191" t="s">
        <v>616</v>
      </c>
    </row>
    <row r="192" spans="1:35" s="2" customFormat="1" x14ac:dyDescent="0.55000000000000004">
      <c r="A192">
        <v>190</v>
      </c>
      <c r="B192">
        <v>1</v>
      </c>
      <c r="C192" t="str">
        <f>VLOOKUP(B192,Eras!$A$3:$B$999,2,0)</f>
        <v>Classic</v>
      </c>
      <c r="D192">
        <v>1</v>
      </c>
      <c r="E192" t="str">
        <f>VLOOKUP(D192,EpisodeFormats!$A$3:$B$999,2,0)</f>
        <v>Series</v>
      </c>
      <c r="F192">
        <v>2</v>
      </c>
      <c r="G192" t="str">
        <f>VLOOKUP(F192,Doctors!$A$3:$B$999,2,0)</f>
        <v>Patrick Troughton</v>
      </c>
      <c r="H192">
        <v>5</v>
      </c>
      <c r="I192">
        <v>1</v>
      </c>
      <c r="J192" t="str">
        <f>VLOOKUP(I192,SeasonFormats!$A$3:$B$999,2,0)</f>
        <v>Season</v>
      </c>
      <c r="K192">
        <v>40</v>
      </c>
      <c r="L192">
        <v>4</v>
      </c>
      <c r="M192" t="s">
        <v>385</v>
      </c>
      <c r="N192">
        <v>5</v>
      </c>
      <c r="O192" t="s">
        <v>379</v>
      </c>
      <c r="P192">
        <v>21</v>
      </c>
      <c r="Q192" s="6" t="d">
        <v>1968-01-20</v>
      </c>
      <c r="R192">
        <v>24</v>
      </c>
      <c r="S192"/>
      <c r="T192" s="15" t="s">
        <v>1175</v>
      </c>
      <c r="U192" t="str" cm="1">
        <f t="array" ref="U192">_xlfn.TEXTJOIN(",",TRUE,_xlfn.XLOOKUP(_xlfn.FILTERXML("&lt;t&gt;&lt;s&gt;" &amp; SUBSTITUTE(T192,",","&lt;/s&gt;&lt;s&gt;") &amp; "&lt;/s&gt;&lt;/t&gt;", "//s"),Writers!$A$3:$A$999,Writers!$B$3:$B$999,""))</f>
        <v>David Whitaker</v>
      </c>
      <c r="V192"/>
      <c r="W192" t="str">
        <f>IF(V192="","",_xlfn.XLOOKUP(V192,Writers!$A$3:$A$999,Writers!$B$3:$B$999,""))</f>
        <v/>
      </c>
      <c r="X192">
        <v>6.9</v>
      </c>
      <c r="Y192"/>
      <c r="Z192"/>
      <c r="AA192">
        <f t="shared" si="6"/>
        <v>8.5399999999999991</v>
      </c>
      <c r="AB192" t="str">
        <f t="shared" si="7"/>
        <v/>
      </c>
      <c r="AC192" t="str">
        <f t="shared" si="8"/>
        <v/>
      </c>
      <c r="AD192">
        <f>VLOOKUP(YEAR(Q192),Populations!$A$3:$B$999,2,0)</f>
        <v>55213500</v>
      </c>
      <c r="AE192">
        <f>(Calculations!B1/AD192)</f>
        <v>1.2371056353971399</v>
      </c>
      <c r="AF192"/>
      <c r="AG192">
        <v>1</v>
      </c>
      <c r="AH192" t="str">
        <f>VLOOKUP(AG192,WikiFormats!$A$3:$B$999,2,0)</f>
        <v>Story</v>
      </c>
      <c r="AI192" t="s">
        <v>616</v>
      </c>
    </row>
    <row r="193" spans="1:35" s="2" customFormat="1" x14ac:dyDescent="0.55000000000000004">
      <c r="A193">
        <v>191</v>
      </c>
      <c r="B193">
        <v>1</v>
      </c>
      <c r="C193" t="str">
        <f>VLOOKUP(B193,Eras!$A$3:$B$999,2,0)</f>
        <v>Classic</v>
      </c>
      <c r="D193">
        <v>1</v>
      </c>
      <c r="E193" t="str">
        <f>VLOOKUP(D193,EpisodeFormats!$A$3:$B$999,2,0)</f>
        <v>Series</v>
      </c>
      <c r="F193">
        <v>2</v>
      </c>
      <c r="G193" t="str">
        <f>VLOOKUP(F193,Doctors!$A$3:$B$999,2,0)</f>
        <v>Patrick Troughton</v>
      </c>
      <c r="H193">
        <v>5</v>
      </c>
      <c r="I193">
        <v>1</v>
      </c>
      <c r="J193" t="str">
        <f>VLOOKUP(I193,SeasonFormats!$A$3:$B$999,2,0)</f>
        <v>Season</v>
      </c>
      <c r="K193">
        <v>40</v>
      </c>
      <c r="L193">
        <v>4</v>
      </c>
      <c r="M193" t="s">
        <v>385</v>
      </c>
      <c r="N193">
        <v>6</v>
      </c>
      <c r="O193" t="s">
        <v>380</v>
      </c>
      <c r="P193">
        <v>22</v>
      </c>
      <c r="Q193" s="6" t="d">
        <v>1968-01-27</v>
      </c>
      <c r="R193">
        <v>22</v>
      </c>
      <c r="S193"/>
      <c r="T193" s="15" t="s">
        <v>1175</v>
      </c>
      <c r="U193" t="str" cm="1">
        <f t="array" ref="U193">_xlfn.TEXTJOIN(",",TRUE,_xlfn.XLOOKUP(_xlfn.FILTERXML("&lt;t&gt;&lt;s&gt;" &amp; SUBSTITUTE(T193,",","&lt;/s&gt;&lt;s&gt;") &amp; "&lt;/s&gt;&lt;/t&gt;", "//s"),Writers!$A$3:$A$999,Writers!$B$3:$B$999,""))</f>
        <v>David Whitaker</v>
      </c>
      <c r="V193"/>
      <c r="W193" t="str">
        <f>IF(V193="","",_xlfn.XLOOKUP(V193,Writers!$A$3:$A$999,Writers!$B$3:$B$999,""))</f>
        <v/>
      </c>
      <c r="X193">
        <v>8.3000000000000007</v>
      </c>
      <c r="Y193"/>
      <c r="Z193"/>
      <c r="AA193">
        <f t="shared" si="6"/>
        <v>10.27</v>
      </c>
      <c r="AB193" t="str">
        <f t="shared" si="7"/>
        <v/>
      </c>
      <c r="AC193" t="str">
        <f t="shared" si="8"/>
        <v/>
      </c>
      <c r="AD193">
        <f>VLOOKUP(YEAR(Q193),Populations!$A$3:$B$999,2,0)</f>
        <v>55213500</v>
      </c>
      <c r="AE193">
        <f>(Calculations!B1/AD193)</f>
        <v>1.2371056353971399</v>
      </c>
      <c r="AF193"/>
      <c r="AG193">
        <v>1</v>
      </c>
      <c r="AH193" t="str">
        <f>VLOOKUP(AG193,WikiFormats!$A$3:$B$999,2,0)</f>
        <v>Story</v>
      </c>
      <c r="AI193" t="s">
        <v>616</v>
      </c>
    </row>
    <row r="194" spans="1:35" s="8" customFormat="1" x14ac:dyDescent="0.55000000000000004">
      <c r="A194" s="3">
        <v>192</v>
      </c>
      <c r="B194" s="3">
        <v>1</v>
      </c>
      <c r="C194" s="3" t="str">
        <f>VLOOKUP(B194,Eras!$A$3:$B$999,2,0)</f>
        <v>Classic</v>
      </c>
      <c r="D194" s="3">
        <v>1</v>
      </c>
      <c r="E194" s="3" t="str">
        <f>VLOOKUP(D194,EpisodeFormats!$A$3:$B$999,2,0)</f>
        <v>Series</v>
      </c>
      <c r="F194" s="3">
        <v>2</v>
      </c>
      <c r="G194" s="3" t="str">
        <f>VLOOKUP(F194,Doctors!$A$3:$B$999,2,0)</f>
        <v>Patrick Troughton</v>
      </c>
      <c r="H194" s="3">
        <v>5</v>
      </c>
      <c r="I194" s="3">
        <v>1</v>
      </c>
      <c r="J194" s="3" t="str">
        <f>VLOOKUP(I194,SeasonFormats!$A$3:$B$999,2,0)</f>
        <v>Season</v>
      </c>
      <c r="K194" s="3">
        <v>41</v>
      </c>
      <c r="L194" s="3">
        <v>5</v>
      </c>
      <c r="M194" s="3" t="s">
        <v>386</v>
      </c>
      <c r="N194" s="3">
        <v>1</v>
      </c>
      <c r="O194" s="3" t="s">
        <v>360</v>
      </c>
      <c r="P194" s="3">
        <v>23</v>
      </c>
      <c r="Q194" s="7" t="d">
        <v>1968-02-03</v>
      </c>
      <c r="R194" s="3">
        <v>25</v>
      </c>
      <c r="S194" s="3"/>
      <c r="T194" s="4" t="s">
        <v>1062</v>
      </c>
      <c r="U194" s="3" t="str" cm="1">
        <f t="array" ref="U194">_xlfn.TEXTJOIN(",",TRUE,_xlfn.XLOOKUP(_xlfn.FILTERXML("&lt;t&gt;&lt;s&gt;" &amp; SUBSTITUTE(T194,",","&lt;/s&gt;&lt;s&gt;") &amp; "&lt;/s&gt;&lt;/t&gt;", "//s"),Writers!$A$3:$A$999,Writers!$B$3:$B$999,""))</f>
        <v>Mervyn Haisman,Henry Lincoln</v>
      </c>
      <c r="V194" s="3"/>
      <c r="W194" s="3" t="str">
        <f>IF(V194="","",_xlfn.XLOOKUP(V194,Writers!$A$3:$A$999,Writers!$B$3:$B$999,""))</f>
        <v/>
      </c>
      <c r="X194" s="3">
        <v>7.2</v>
      </c>
      <c r="Y194" s="3"/>
      <c r="Z194" s="3"/>
      <c r="AA194" s="3">
        <f t="shared" si="6"/>
        <v>8.91</v>
      </c>
      <c r="AB194" s="3" t="str">
        <f t="shared" si="7"/>
        <v/>
      </c>
      <c r="AC194" s="3" t="str">
        <f t="shared" si="8"/>
        <v/>
      </c>
      <c r="AD194" s="3">
        <f>VLOOKUP(YEAR(Q194),Populations!$A$3:$B$999,2,0)</f>
        <v>55213500</v>
      </c>
      <c r="AE194" s="3">
        <f>(Calculations!B1/AD194)</f>
        <v>1.2371056353971399</v>
      </c>
      <c r="AF194" s="3"/>
      <c r="AG194" s="3">
        <v>1</v>
      </c>
      <c r="AH194" s="3" t="str">
        <f>VLOOKUP(AG194,WikiFormats!$A$3:$B$999,2,0)</f>
        <v>Story</v>
      </c>
      <c r="AI194" s="3" t="s">
        <v>617</v>
      </c>
    </row>
    <row r="195" spans="1:35" s="8" customFormat="1" x14ac:dyDescent="0.55000000000000004">
      <c r="A195" s="3">
        <v>193</v>
      </c>
      <c r="B195" s="3">
        <v>1</v>
      </c>
      <c r="C195" s="3" t="str">
        <f>VLOOKUP(B195,Eras!$A$3:$B$999,2,0)</f>
        <v>Classic</v>
      </c>
      <c r="D195" s="3">
        <v>1</v>
      </c>
      <c r="E195" s="3" t="str">
        <f>VLOOKUP(D195,EpisodeFormats!$A$3:$B$999,2,0)</f>
        <v>Series</v>
      </c>
      <c r="F195" s="3">
        <v>2</v>
      </c>
      <c r="G195" s="3" t="str">
        <f>VLOOKUP(F195,Doctors!$A$3:$B$999,2,0)</f>
        <v>Patrick Troughton</v>
      </c>
      <c r="H195" s="3">
        <v>5</v>
      </c>
      <c r="I195" s="3">
        <v>1</v>
      </c>
      <c r="J195" s="3" t="str">
        <f>VLOOKUP(I195,SeasonFormats!$A$3:$B$999,2,0)</f>
        <v>Season</v>
      </c>
      <c r="K195" s="3">
        <v>41</v>
      </c>
      <c r="L195" s="3">
        <v>5</v>
      </c>
      <c r="M195" s="3" t="s">
        <v>386</v>
      </c>
      <c r="N195" s="3">
        <v>2</v>
      </c>
      <c r="O195" s="3" t="s">
        <v>361</v>
      </c>
      <c r="P195" s="3">
        <v>24</v>
      </c>
      <c r="Q195" s="7" t="d">
        <v>1968-02-10</v>
      </c>
      <c r="R195" s="3">
        <v>25</v>
      </c>
      <c r="S195" s="3"/>
      <c r="T195" s="4" t="s">
        <v>1062</v>
      </c>
      <c r="U195" s="3" t="str" cm="1">
        <f t="array" ref="U195">_xlfn.TEXTJOIN(",",TRUE,_xlfn.XLOOKUP(_xlfn.FILTERXML("&lt;t&gt;&lt;s&gt;" &amp; SUBSTITUTE(T195,",","&lt;/s&gt;&lt;s&gt;") &amp; "&lt;/s&gt;&lt;/t&gt;", "//s"),Writers!$A$3:$A$999,Writers!$B$3:$B$999,""))</f>
        <v>Mervyn Haisman,Henry Lincoln</v>
      </c>
      <c r="V195" s="3"/>
      <c r="W195" s="3" t="str">
        <f>IF(V195="","",_xlfn.XLOOKUP(V195,Writers!$A$3:$A$999,Writers!$B$3:$B$999,""))</f>
        <v/>
      </c>
      <c r="X195" s="3">
        <v>6.8</v>
      </c>
      <c r="Y195" s="3"/>
      <c r="Z195" s="3"/>
      <c r="AA195" s="3">
        <f t="shared" si="6"/>
        <v>8.41</v>
      </c>
      <c r="AB195" s="3" t="str">
        <f t="shared" si="7"/>
        <v/>
      </c>
      <c r="AC195" s="3" t="str">
        <f t="shared" si="8"/>
        <v/>
      </c>
      <c r="AD195" s="3">
        <f>VLOOKUP(YEAR(Q195),Populations!$A$3:$B$999,2,0)</f>
        <v>55213500</v>
      </c>
      <c r="AE195" s="3">
        <f>(Calculations!B1/AD195)</f>
        <v>1.2371056353971399</v>
      </c>
      <c r="AF195" s="3"/>
      <c r="AG195" s="3">
        <v>1</v>
      </c>
      <c r="AH195" s="3" t="str">
        <f>VLOOKUP(AG195,WikiFormats!$A$3:$B$999,2,0)</f>
        <v>Story</v>
      </c>
      <c r="AI195" s="3" t="s">
        <v>617</v>
      </c>
    </row>
    <row r="196" spans="1:35" s="8" customFormat="1" x14ac:dyDescent="0.55000000000000004">
      <c r="A196" s="3">
        <v>194</v>
      </c>
      <c r="B196" s="3">
        <v>1</v>
      </c>
      <c r="C196" s="3" t="str">
        <f>VLOOKUP(B196,Eras!$A$3:$B$999,2,0)</f>
        <v>Classic</v>
      </c>
      <c r="D196" s="3">
        <v>1</v>
      </c>
      <c r="E196" s="3" t="str">
        <f>VLOOKUP(D196,EpisodeFormats!$A$3:$B$999,2,0)</f>
        <v>Series</v>
      </c>
      <c r="F196" s="3">
        <v>2</v>
      </c>
      <c r="G196" s="3" t="str">
        <f>VLOOKUP(F196,Doctors!$A$3:$B$999,2,0)</f>
        <v>Patrick Troughton</v>
      </c>
      <c r="H196" s="3">
        <v>5</v>
      </c>
      <c r="I196" s="3">
        <v>1</v>
      </c>
      <c r="J196" s="3" t="str">
        <f>VLOOKUP(I196,SeasonFormats!$A$3:$B$999,2,0)</f>
        <v>Season</v>
      </c>
      <c r="K196" s="3">
        <v>41</v>
      </c>
      <c r="L196" s="3">
        <v>5</v>
      </c>
      <c r="M196" s="3" t="s">
        <v>386</v>
      </c>
      <c r="N196" s="3">
        <v>3</v>
      </c>
      <c r="O196" s="3" t="s">
        <v>362</v>
      </c>
      <c r="P196" s="3">
        <v>25</v>
      </c>
      <c r="Q196" s="7" t="d">
        <v>1968-02-17</v>
      </c>
      <c r="R196" s="3">
        <v>25</v>
      </c>
      <c r="S196" s="3">
        <v>1</v>
      </c>
      <c r="T196" s="4" t="s">
        <v>1062</v>
      </c>
      <c r="U196" s="3" t="str" cm="1">
        <f t="array" ref="U196">_xlfn.TEXTJOIN(",",TRUE,_xlfn.XLOOKUP(_xlfn.FILTERXML("&lt;t&gt;&lt;s&gt;" &amp; SUBSTITUTE(T196,",","&lt;/s&gt;&lt;s&gt;") &amp; "&lt;/s&gt;&lt;/t&gt;", "//s"),Writers!$A$3:$A$999,Writers!$B$3:$B$999,""))</f>
        <v>Mervyn Haisman,Henry Lincoln</v>
      </c>
      <c r="V196" s="3"/>
      <c r="W196" s="3" t="str">
        <f>IF(V196="","",_xlfn.XLOOKUP(V196,Writers!$A$3:$A$999,Writers!$B$3:$B$999,""))</f>
        <v/>
      </c>
      <c r="X196" s="3">
        <v>7</v>
      </c>
      <c r="Y196" s="3"/>
      <c r="Z196" s="3"/>
      <c r="AA196" s="3">
        <f t="shared" ref="AA196:AA259" si="9">IF(ISBLANK(X196),"",ROUND(X196*AE196,2))</f>
        <v>8.66</v>
      </c>
      <c r="AB196" s="3" t="str">
        <f t="shared" ref="AB196:AB259" si="10">IF(ISBLANK(Y196),"",ROUND(Y196*AE196,2))</f>
        <v/>
      </c>
      <c r="AC196" s="3" t="str">
        <f t="shared" ref="AC196:AC259" si="11">IF(ISBLANK(Z196),"",ROUND(Z196*AE196,2))</f>
        <v/>
      </c>
      <c r="AD196" s="3">
        <f>VLOOKUP(YEAR(Q196),Populations!$A$3:$B$999,2,0)</f>
        <v>55213500</v>
      </c>
      <c r="AE196" s="3">
        <f>(Calculations!B1/AD196)</f>
        <v>1.2371056353971399</v>
      </c>
      <c r="AF196" s="3"/>
      <c r="AG196" s="3">
        <v>1</v>
      </c>
      <c r="AH196" s="3" t="str">
        <f>VLOOKUP(AG196,WikiFormats!$A$3:$B$999,2,0)</f>
        <v>Story</v>
      </c>
      <c r="AI196" s="3" t="s">
        <v>617</v>
      </c>
    </row>
    <row r="197" spans="1:35" s="8" customFormat="1" x14ac:dyDescent="0.55000000000000004">
      <c r="A197" s="3">
        <v>195</v>
      </c>
      <c r="B197" s="3">
        <v>1</v>
      </c>
      <c r="C197" s="3" t="str">
        <f>VLOOKUP(B197,Eras!$A$3:$B$999,2,0)</f>
        <v>Classic</v>
      </c>
      <c r="D197" s="3">
        <v>1</v>
      </c>
      <c r="E197" s="3" t="str">
        <f>VLOOKUP(D197,EpisodeFormats!$A$3:$B$999,2,0)</f>
        <v>Series</v>
      </c>
      <c r="F197" s="3">
        <v>2</v>
      </c>
      <c r="G197" s="3" t="str">
        <f>VLOOKUP(F197,Doctors!$A$3:$B$999,2,0)</f>
        <v>Patrick Troughton</v>
      </c>
      <c r="H197" s="3">
        <v>5</v>
      </c>
      <c r="I197" s="3">
        <v>1</v>
      </c>
      <c r="J197" s="3" t="str">
        <f>VLOOKUP(I197,SeasonFormats!$A$3:$B$999,2,0)</f>
        <v>Season</v>
      </c>
      <c r="K197" s="3">
        <v>41</v>
      </c>
      <c r="L197" s="3">
        <v>5</v>
      </c>
      <c r="M197" s="3" t="s">
        <v>386</v>
      </c>
      <c r="N197" s="3">
        <v>4</v>
      </c>
      <c r="O197" s="3" t="s">
        <v>363</v>
      </c>
      <c r="P197" s="3">
        <v>26</v>
      </c>
      <c r="Q197" s="7" t="d">
        <v>1968-02-24</v>
      </c>
      <c r="R197" s="3">
        <v>25</v>
      </c>
      <c r="S197" s="3"/>
      <c r="T197" s="4" t="s">
        <v>1062</v>
      </c>
      <c r="U197" s="3" t="str" cm="1">
        <f t="array" ref="U197">_xlfn.TEXTJOIN(",",TRUE,_xlfn.XLOOKUP(_xlfn.FILTERXML("&lt;t&gt;&lt;s&gt;" &amp; SUBSTITUTE(T197,",","&lt;/s&gt;&lt;s&gt;") &amp; "&lt;/s&gt;&lt;/t&gt;", "//s"),Writers!$A$3:$A$999,Writers!$B$3:$B$999,""))</f>
        <v>Mervyn Haisman,Henry Lincoln</v>
      </c>
      <c r="V197" s="3"/>
      <c r="W197" s="3" t="str">
        <f>IF(V197="","",_xlfn.XLOOKUP(V197,Writers!$A$3:$A$999,Writers!$B$3:$B$999,""))</f>
        <v/>
      </c>
      <c r="X197" s="3">
        <v>8.4</v>
      </c>
      <c r="Y197" s="3"/>
      <c r="Z197" s="3"/>
      <c r="AA197" s="3">
        <f t="shared" si="9"/>
        <v>10.39</v>
      </c>
      <c r="AB197" s="3" t="str">
        <f t="shared" si="10"/>
        <v/>
      </c>
      <c r="AC197" s="3" t="str">
        <f t="shared" si="11"/>
        <v/>
      </c>
      <c r="AD197" s="3">
        <f>VLOOKUP(YEAR(Q197),Populations!$A$3:$B$999,2,0)</f>
        <v>55213500</v>
      </c>
      <c r="AE197" s="3">
        <f>(Calculations!B1/AD197)</f>
        <v>1.2371056353971399</v>
      </c>
      <c r="AF197" s="3"/>
      <c r="AG197" s="3">
        <v>1</v>
      </c>
      <c r="AH197" s="3" t="str">
        <f>VLOOKUP(AG197,WikiFormats!$A$3:$B$999,2,0)</f>
        <v>Story</v>
      </c>
      <c r="AI197" s="3" t="s">
        <v>617</v>
      </c>
    </row>
    <row r="198" spans="1:35" s="8" customFormat="1" x14ac:dyDescent="0.55000000000000004">
      <c r="A198" s="3">
        <v>196</v>
      </c>
      <c r="B198" s="3">
        <v>1</v>
      </c>
      <c r="C198" s="3" t="str">
        <f>VLOOKUP(B198,Eras!$A$3:$B$999,2,0)</f>
        <v>Classic</v>
      </c>
      <c r="D198" s="3">
        <v>1</v>
      </c>
      <c r="E198" s="3" t="str">
        <f>VLOOKUP(D198,EpisodeFormats!$A$3:$B$999,2,0)</f>
        <v>Series</v>
      </c>
      <c r="F198" s="3">
        <v>2</v>
      </c>
      <c r="G198" s="3" t="str">
        <f>VLOOKUP(F198,Doctors!$A$3:$B$999,2,0)</f>
        <v>Patrick Troughton</v>
      </c>
      <c r="H198" s="3">
        <v>5</v>
      </c>
      <c r="I198" s="3">
        <v>1</v>
      </c>
      <c r="J198" s="3" t="str">
        <f>VLOOKUP(I198,SeasonFormats!$A$3:$B$999,2,0)</f>
        <v>Season</v>
      </c>
      <c r="K198" s="3">
        <v>41</v>
      </c>
      <c r="L198" s="3">
        <v>5</v>
      </c>
      <c r="M198" s="3" t="s">
        <v>386</v>
      </c>
      <c r="N198" s="3">
        <v>5</v>
      </c>
      <c r="O198" s="3" t="s">
        <v>379</v>
      </c>
      <c r="P198" s="3">
        <v>27</v>
      </c>
      <c r="Q198" s="7" t="d">
        <v>1968-03-02</v>
      </c>
      <c r="R198" s="3">
        <v>24</v>
      </c>
      <c r="S198" s="3"/>
      <c r="T198" s="4" t="s">
        <v>1062</v>
      </c>
      <c r="U198" s="3" t="str" cm="1">
        <f t="array" ref="U198">_xlfn.TEXTJOIN(",",TRUE,_xlfn.XLOOKUP(_xlfn.FILTERXML("&lt;t&gt;&lt;s&gt;" &amp; SUBSTITUTE(T198,",","&lt;/s&gt;&lt;s&gt;") &amp; "&lt;/s&gt;&lt;/t&gt;", "//s"),Writers!$A$3:$A$999,Writers!$B$3:$B$999,""))</f>
        <v>Mervyn Haisman,Henry Lincoln</v>
      </c>
      <c r="V198" s="3"/>
      <c r="W198" s="3" t="str">
        <f>IF(V198="","",_xlfn.XLOOKUP(V198,Writers!$A$3:$A$999,Writers!$B$3:$B$999,""))</f>
        <v/>
      </c>
      <c r="X198" s="3">
        <v>8</v>
      </c>
      <c r="Y198" s="3"/>
      <c r="Z198" s="3"/>
      <c r="AA198" s="3">
        <f t="shared" si="9"/>
        <v>9.9</v>
      </c>
      <c r="AB198" s="3" t="str">
        <f t="shared" si="10"/>
        <v/>
      </c>
      <c r="AC198" s="3" t="str">
        <f t="shared" si="11"/>
        <v/>
      </c>
      <c r="AD198" s="3">
        <f>VLOOKUP(YEAR(Q198),Populations!$A$3:$B$999,2,0)</f>
        <v>55213500</v>
      </c>
      <c r="AE198" s="3">
        <f>(Calculations!B1/AD198)</f>
        <v>1.2371056353971399</v>
      </c>
      <c r="AF198" s="3"/>
      <c r="AG198" s="3">
        <v>1</v>
      </c>
      <c r="AH198" s="3" t="str">
        <f>VLOOKUP(AG198,WikiFormats!$A$3:$B$999,2,0)</f>
        <v>Story</v>
      </c>
      <c r="AI198" s="3" t="s">
        <v>617</v>
      </c>
    </row>
    <row r="199" spans="1:35" s="8" customFormat="1" x14ac:dyDescent="0.55000000000000004">
      <c r="A199" s="3">
        <v>197</v>
      </c>
      <c r="B199" s="3">
        <v>1</v>
      </c>
      <c r="C199" s="3" t="str">
        <f>VLOOKUP(B199,Eras!$A$3:$B$999,2,0)</f>
        <v>Classic</v>
      </c>
      <c r="D199" s="3">
        <v>1</v>
      </c>
      <c r="E199" s="3" t="str">
        <f>VLOOKUP(D199,EpisodeFormats!$A$3:$B$999,2,0)</f>
        <v>Series</v>
      </c>
      <c r="F199" s="3">
        <v>2</v>
      </c>
      <c r="G199" s="3" t="str">
        <f>VLOOKUP(F199,Doctors!$A$3:$B$999,2,0)</f>
        <v>Patrick Troughton</v>
      </c>
      <c r="H199" s="3">
        <v>5</v>
      </c>
      <c r="I199" s="3">
        <v>1</v>
      </c>
      <c r="J199" s="3" t="str">
        <f>VLOOKUP(I199,SeasonFormats!$A$3:$B$999,2,0)</f>
        <v>Season</v>
      </c>
      <c r="K199" s="3">
        <v>41</v>
      </c>
      <c r="L199" s="3">
        <v>5</v>
      </c>
      <c r="M199" s="3" t="s">
        <v>386</v>
      </c>
      <c r="N199" s="3">
        <v>6</v>
      </c>
      <c r="O199" s="3" t="s">
        <v>380</v>
      </c>
      <c r="P199" s="3">
        <v>28</v>
      </c>
      <c r="Q199" s="7" t="d">
        <v>1968-03-09</v>
      </c>
      <c r="R199" s="3">
        <v>25</v>
      </c>
      <c r="S199" s="3"/>
      <c r="T199" s="4" t="s">
        <v>1062</v>
      </c>
      <c r="U199" s="3" t="str" cm="1">
        <f t="array" ref="U199">_xlfn.TEXTJOIN(",",TRUE,_xlfn.XLOOKUP(_xlfn.FILTERXML("&lt;t&gt;&lt;s&gt;" &amp; SUBSTITUTE(T199,",","&lt;/s&gt;&lt;s&gt;") &amp; "&lt;/s&gt;&lt;/t&gt;", "//s"),Writers!$A$3:$A$999,Writers!$B$3:$B$999,""))</f>
        <v>Mervyn Haisman,Henry Lincoln</v>
      </c>
      <c r="V199" s="3"/>
      <c r="W199" s="3" t="str">
        <f>IF(V199="","",_xlfn.XLOOKUP(V199,Writers!$A$3:$A$999,Writers!$B$3:$B$999,""))</f>
        <v/>
      </c>
      <c r="X199" s="3">
        <v>8.3000000000000007</v>
      </c>
      <c r="Y199" s="3"/>
      <c r="Z199" s="3"/>
      <c r="AA199" s="3">
        <f t="shared" si="9"/>
        <v>10.27</v>
      </c>
      <c r="AB199" s="3" t="str">
        <f t="shared" si="10"/>
        <v/>
      </c>
      <c r="AC199" s="3" t="str">
        <f t="shared" si="11"/>
        <v/>
      </c>
      <c r="AD199" s="3">
        <f>VLOOKUP(YEAR(Q199),Populations!$A$3:$B$999,2,0)</f>
        <v>55213500</v>
      </c>
      <c r="AE199" s="3">
        <f>(Calculations!B1/AD199)</f>
        <v>1.2371056353971399</v>
      </c>
      <c r="AF199" s="3"/>
      <c r="AG199" s="3">
        <v>1</v>
      </c>
      <c r="AH199" s="3" t="str">
        <f>VLOOKUP(AG199,WikiFormats!$A$3:$B$999,2,0)</f>
        <v>Story</v>
      </c>
      <c r="AI199" s="3" t="s">
        <v>617</v>
      </c>
    </row>
    <row r="200" spans="1:35" s="2" customFormat="1" x14ac:dyDescent="0.55000000000000004">
      <c r="A200">
        <v>198</v>
      </c>
      <c r="B200">
        <v>1</v>
      </c>
      <c r="C200" t="str">
        <f>VLOOKUP(B200,Eras!$A$3:$B$999,2,0)</f>
        <v>Classic</v>
      </c>
      <c r="D200">
        <v>1</v>
      </c>
      <c r="E200" t="str">
        <f>VLOOKUP(D200,EpisodeFormats!$A$3:$B$999,2,0)</f>
        <v>Series</v>
      </c>
      <c r="F200">
        <v>2</v>
      </c>
      <c r="G200" t="str">
        <f>VLOOKUP(F200,Doctors!$A$3:$B$999,2,0)</f>
        <v>Patrick Troughton</v>
      </c>
      <c r="H200">
        <v>5</v>
      </c>
      <c r="I200">
        <v>1</v>
      </c>
      <c r="J200" t="str">
        <f>VLOOKUP(I200,SeasonFormats!$A$3:$B$999,2,0)</f>
        <v>Season</v>
      </c>
      <c r="K200">
        <v>42</v>
      </c>
      <c r="L200">
        <v>6</v>
      </c>
      <c r="M200" t="s">
        <v>387</v>
      </c>
      <c r="N200">
        <v>1</v>
      </c>
      <c r="O200" t="s">
        <v>360</v>
      </c>
      <c r="P200">
        <v>29</v>
      </c>
      <c r="Q200" s="6" t="d">
        <v>1968-03-16</v>
      </c>
      <c r="R200">
        <v>26</v>
      </c>
      <c r="S200">
        <v>1</v>
      </c>
      <c r="T200" s="15" t="s">
        <v>1144</v>
      </c>
      <c r="U200" t="str" cm="1">
        <f t="array" ref="U200">_xlfn.TEXTJOIN(",",TRUE,_xlfn.XLOOKUP(_xlfn.FILTERXML("&lt;t&gt;&lt;s&gt;" &amp; SUBSTITUTE(T200,",","&lt;/s&gt;&lt;s&gt;") &amp; "&lt;/s&gt;&lt;/t&gt;", "//s"),Writers!$A$3:$A$999,Writers!$B$3:$B$999,""))</f>
        <v>Victor Pemberton</v>
      </c>
      <c r="V200"/>
      <c r="W200" t="str">
        <f>IF(V200="","",_xlfn.XLOOKUP(V200,Writers!$A$3:$A$999,Writers!$B$3:$B$999,""))</f>
        <v/>
      </c>
      <c r="X200">
        <v>8.1999999999999993</v>
      </c>
      <c r="Y200"/>
      <c r="Z200"/>
      <c r="AA200">
        <f t="shared" si="9"/>
        <v>10.14</v>
      </c>
      <c r="AB200" t="str">
        <f t="shared" si="10"/>
        <v/>
      </c>
      <c r="AC200" t="str">
        <f t="shared" si="11"/>
        <v/>
      </c>
      <c r="AD200">
        <f>VLOOKUP(YEAR(Q200),Populations!$A$3:$B$999,2,0)</f>
        <v>55213500</v>
      </c>
      <c r="AE200">
        <f>(Calculations!B1/AD200)</f>
        <v>1.2371056353971399</v>
      </c>
      <c r="AF200"/>
      <c r="AG200">
        <v>1</v>
      </c>
      <c r="AH200" t="str">
        <f>VLOOKUP(AG200,WikiFormats!$A$3:$B$999,2,0)</f>
        <v>Story</v>
      </c>
      <c r="AI200" t="s">
        <v>618</v>
      </c>
    </row>
    <row r="201" spans="1:35" s="2" customFormat="1" x14ac:dyDescent="0.55000000000000004">
      <c r="A201">
        <v>199</v>
      </c>
      <c r="B201">
        <v>1</v>
      </c>
      <c r="C201" t="str">
        <f>VLOOKUP(B201,Eras!$A$3:$B$999,2,0)</f>
        <v>Classic</v>
      </c>
      <c r="D201">
        <v>1</v>
      </c>
      <c r="E201" t="str">
        <f>VLOOKUP(D201,EpisodeFormats!$A$3:$B$999,2,0)</f>
        <v>Series</v>
      </c>
      <c r="F201">
        <v>2</v>
      </c>
      <c r="G201" t="str">
        <f>VLOOKUP(F201,Doctors!$A$3:$B$999,2,0)</f>
        <v>Patrick Troughton</v>
      </c>
      <c r="H201">
        <v>5</v>
      </c>
      <c r="I201">
        <v>1</v>
      </c>
      <c r="J201" t="str">
        <f>VLOOKUP(I201,SeasonFormats!$A$3:$B$999,2,0)</f>
        <v>Season</v>
      </c>
      <c r="K201">
        <v>42</v>
      </c>
      <c r="L201">
        <v>6</v>
      </c>
      <c r="M201" t="s">
        <v>387</v>
      </c>
      <c r="N201">
        <v>2</v>
      </c>
      <c r="O201" t="s">
        <v>361</v>
      </c>
      <c r="P201">
        <v>30</v>
      </c>
      <c r="Q201" s="6" t="d">
        <v>1968-03-23</v>
      </c>
      <c r="R201">
        <v>25</v>
      </c>
      <c r="S201">
        <v>1</v>
      </c>
      <c r="T201" s="15" t="s">
        <v>1144</v>
      </c>
      <c r="U201" t="str" cm="1">
        <f t="array" ref="U201">_xlfn.TEXTJOIN(",",TRUE,_xlfn.XLOOKUP(_xlfn.FILTERXML("&lt;t&gt;&lt;s&gt;" &amp; SUBSTITUTE(T201,",","&lt;/s&gt;&lt;s&gt;") &amp; "&lt;/s&gt;&lt;/t&gt;", "//s"),Writers!$A$3:$A$999,Writers!$B$3:$B$999,""))</f>
        <v>Victor Pemberton</v>
      </c>
      <c r="V201"/>
      <c r="W201" t="str">
        <f>IF(V201="","",_xlfn.XLOOKUP(V201,Writers!$A$3:$A$999,Writers!$B$3:$B$999,""))</f>
        <v/>
      </c>
      <c r="X201">
        <v>7.9</v>
      </c>
      <c r="Y201"/>
      <c r="Z201"/>
      <c r="AA201">
        <f t="shared" si="9"/>
        <v>9.77</v>
      </c>
      <c r="AB201" t="str">
        <f t="shared" si="10"/>
        <v/>
      </c>
      <c r="AC201" t="str">
        <f t="shared" si="11"/>
        <v/>
      </c>
      <c r="AD201">
        <f>VLOOKUP(YEAR(Q201),Populations!$A$3:$B$999,2,0)</f>
        <v>55213500</v>
      </c>
      <c r="AE201">
        <f>(Calculations!B1/AD201)</f>
        <v>1.2371056353971399</v>
      </c>
      <c r="AF201"/>
      <c r="AG201">
        <v>1</v>
      </c>
      <c r="AH201" t="str">
        <f>VLOOKUP(AG201,WikiFormats!$A$3:$B$999,2,0)</f>
        <v>Story</v>
      </c>
      <c r="AI201" t="s">
        <v>618</v>
      </c>
    </row>
    <row r="202" spans="1:35" s="2" customFormat="1" x14ac:dyDescent="0.55000000000000004">
      <c r="A202">
        <v>200</v>
      </c>
      <c r="B202">
        <v>1</v>
      </c>
      <c r="C202" t="str">
        <f>VLOOKUP(B202,Eras!$A$3:$B$999,2,0)</f>
        <v>Classic</v>
      </c>
      <c r="D202">
        <v>1</v>
      </c>
      <c r="E202" t="str">
        <f>VLOOKUP(D202,EpisodeFormats!$A$3:$B$999,2,0)</f>
        <v>Series</v>
      </c>
      <c r="F202">
        <v>2</v>
      </c>
      <c r="G202" t="str">
        <f>VLOOKUP(F202,Doctors!$A$3:$B$999,2,0)</f>
        <v>Patrick Troughton</v>
      </c>
      <c r="H202">
        <v>5</v>
      </c>
      <c r="I202">
        <v>1</v>
      </c>
      <c r="J202" t="str">
        <f>VLOOKUP(I202,SeasonFormats!$A$3:$B$999,2,0)</f>
        <v>Season</v>
      </c>
      <c r="K202">
        <v>42</v>
      </c>
      <c r="L202">
        <v>6</v>
      </c>
      <c r="M202" t="s">
        <v>387</v>
      </c>
      <c r="N202">
        <v>3</v>
      </c>
      <c r="O202" t="s">
        <v>362</v>
      </c>
      <c r="P202">
        <v>31</v>
      </c>
      <c r="Q202" s="6" t="d">
        <v>1968-03-30</v>
      </c>
      <c r="R202">
        <v>22</v>
      </c>
      <c r="S202">
        <v>1</v>
      </c>
      <c r="T202" s="15" t="s">
        <v>1144</v>
      </c>
      <c r="U202" t="str" cm="1">
        <f t="array" ref="U202">_xlfn.TEXTJOIN(",",TRUE,_xlfn.XLOOKUP(_xlfn.FILTERXML("&lt;t&gt;&lt;s&gt;" &amp; SUBSTITUTE(T202,",","&lt;/s&gt;&lt;s&gt;") &amp; "&lt;/s&gt;&lt;/t&gt;", "//s"),Writers!$A$3:$A$999,Writers!$B$3:$B$999,""))</f>
        <v>Victor Pemberton</v>
      </c>
      <c r="V202"/>
      <c r="W202" t="str">
        <f>IF(V202="","",_xlfn.XLOOKUP(V202,Writers!$A$3:$A$999,Writers!$B$3:$B$999,""))</f>
        <v/>
      </c>
      <c r="X202">
        <v>7.7</v>
      </c>
      <c r="Y202"/>
      <c r="Z202"/>
      <c r="AA202">
        <f t="shared" si="9"/>
        <v>9.5299999999999994</v>
      </c>
      <c r="AB202" t="str">
        <f t="shared" si="10"/>
        <v/>
      </c>
      <c r="AC202" t="str">
        <f t="shared" si="11"/>
        <v/>
      </c>
      <c r="AD202">
        <f>VLOOKUP(YEAR(Q202),Populations!$A$3:$B$999,2,0)</f>
        <v>55213500</v>
      </c>
      <c r="AE202">
        <f>(Calculations!B1/AD202)</f>
        <v>1.2371056353971399</v>
      </c>
      <c r="AF202"/>
      <c r="AG202">
        <v>1</v>
      </c>
      <c r="AH202" t="str">
        <f>VLOOKUP(AG202,WikiFormats!$A$3:$B$999,2,0)</f>
        <v>Story</v>
      </c>
      <c r="AI202" t="s">
        <v>618</v>
      </c>
    </row>
    <row r="203" spans="1:35" s="2" customFormat="1" x14ac:dyDescent="0.55000000000000004">
      <c r="A203">
        <v>201</v>
      </c>
      <c r="B203">
        <v>1</v>
      </c>
      <c r="C203" t="str">
        <f>VLOOKUP(B203,Eras!$A$3:$B$999,2,0)</f>
        <v>Classic</v>
      </c>
      <c r="D203">
        <v>1</v>
      </c>
      <c r="E203" t="str">
        <f>VLOOKUP(D203,EpisodeFormats!$A$3:$B$999,2,0)</f>
        <v>Series</v>
      </c>
      <c r="F203">
        <v>2</v>
      </c>
      <c r="G203" t="str">
        <f>VLOOKUP(F203,Doctors!$A$3:$B$999,2,0)</f>
        <v>Patrick Troughton</v>
      </c>
      <c r="H203">
        <v>5</v>
      </c>
      <c r="I203">
        <v>1</v>
      </c>
      <c r="J203" t="str">
        <f>VLOOKUP(I203,SeasonFormats!$A$3:$B$999,2,0)</f>
        <v>Season</v>
      </c>
      <c r="K203">
        <v>42</v>
      </c>
      <c r="L203">
        <v>6</v>
      </c>
      <c r="M203" t="s">
        <v>387</v>
      </c>
      <c r="N203">
        <v>4</v>
      </c>
      <c r="O203" t="s">
        <v>363</v>
      </c>
      <c r="P203">
        <v>32</v>
      </c>
      <c r="Q203" s="6" t="d">
        <v>1968-04-06</v>
      </c>
      <c r="R203">
        <v>26</v>
      </c>
      <c r="S203">
        <v>1</v>
      </c>
      <c r="T203" s="15" t="s">
        <v>1144</v>
      </c>
      <c r="U203" t="str" cm="1">
        <f t="array" ref="U203">_xlfn.TEXTJOIN(",",TRUE,_xlfn.XLOOKUP(_xlfn.FILTERXML("&lt;t&gt;&lt;s&gt;" &amp; SUBSTITUTE(T203,",","&lt;/s&gt;&lt;s&gt;") &amp; "&lt;/s&gt;&lt;/t&gt;", "//s"),Writers!$A$3:$A$999,Writers!$B$3:$B$999,""))</f>
        <v>Victor Pemberton</v>
      </c>
      <c r="V203"/>
      <c r="W203" t="str">
        <f>IF(V203="","",_xlfn.XLOOKUP(V203,Writers!$A$3:$A$999,Writers!$B$3:$B$999,""))</f>
        <v/>
      </c>
      <c r="X203">
        <v>6.6</v>
      </c>
      <c r="Y203"/>
      <c r="Z203"/>
      <c r="AA203">
        <f t="shared" si="9"/>
        <v>8.16</v>
      </c>
      <c r="AB203" t="str">
        <f t="shared" si="10"/>
        <v/>
      </c>
      <c r="AC203" t="str">
        <f t="shared" si="11"/>
        <v/>
      </c>
      <c r="AD203">
        <f>VLOOKUP(YEAR(Q203),Populations!$A$3:$B$999,2,0)</f>
        <v>55213500</v>
      </c>
      <c r="AE203">
        <f>(Calculations!B1/AD203)</f>
        <v>1.2371056353971399</v>
      </c>
      <c r="AF203"/>
      <c r="AG203">
        <v>1</v>
      </c>
      <c r="AH203" t="str">
        <f>VLOOKUP(AG203,WikiFormats!$A$3:$B$999,2,0)</f>
        <v>Story</v>
      </c>
      <c r="AI203" t="s">
        <v>618</v>
      </c>
    </row>
    <row r="204" spans="1:35" s="2" customFormat="1" x14ac:dyDescent="0.55000000000000004">
      <c r="A204">
        <v>202</v>
      </c>
      <c r="B204">
        <v>1</v>
      </c>
      <c r="C204" t="str">
        <f>VLOOKUP(B204,Eras!$A$3:$B$999,2,0)</f>
        <v>Classic</v>
      </c>
      <c r="D204">
        <v>1</v>
      </c>
      <c r="E204" t="str">
        <f>VLOOKUP(D204,EpisodeFormats!$A$3:$B$999,2,0)</f>
        <v>Series</v>
      </c>
      <c r="F204">
        <v>2</v>
      </c>
      <c r="G204" t="str">
        <f>VLOOKUP(F204,Doctors!$A$3:$B$999,2,0)</f>
        <v>Patrick Troughton</v>
      </c>
      <c r="H204">
        <v>5</v>
      </c>
      <c r="I204">
        <v>1</v>
      </c>
      <c r="J204" t="str">
        <f>VLOOKUP(I204,SeasonFormats!$A$3:$B$999,2,0)</f>
        <v>Season</v>
      </c>
      <c r="K204">
        <v>42</v>
      </c>
      <c r="L204">
        <v>6</v>
      </c>
      <c r="M204" t="s">
        <v>387</v>
      </c>
      <c r="N204">
        <v>5</v>
      </c>
      <c r="O204" t="s">
        <v>379</v>
      </c>
      <c r="P204">
        <v>33</v>
      </c>
      <c r="Q204" s="6" t="d">
        <v>1968-04-13</v>
      </c>
      <c r="R204">
        <v>25</v>
      </c>
      <c r="S204">
        <v>1</v>
      </c>
      <c r="T204" s="15" t="s">
        <v>1144</v>
      </c>
      <c r="U204" t="str" cm="1">
        <f t="array" ref="U204">_xlfn.TEXTJOIN(",",TRUE,_xlfn.XLOOKUP(_xlfn.FILTERXML("&lt;t&gt;&lt;s&gt;" &amp; SUBSTITUTE(T204,",","&lt;/s&gt;&lt;s&gt;") &amp; "&lt;/s&gt;&lt;/t&gt;", "//s"),Writers!$A$3:$A$999,Writers!$B$3:$B$999,""))</f>
        <v>Victor Pemberton</v>
      </c>
      <c r="V204"/>
      <c r="W204" t="str">
        <f>IF(V204="","",_xlfn.XLOOKUP(V204,Writers!$A$3:$A$999,Writers!$B$3:$B$999,""))</f>
        <v/>
      </c>
      <c r="X204">
        <v>5.9</v>
      </c>
      <c r="Y204"/>
      <c r="Z204"/>
      <c r="AA204">
        <f t="shared" si="9"/>
        <v>7.3</v>
      </c>
      <c r="AB204" t="str">
        <f t="shared" si="10"/>
        <v/>
      </c>
      <c r="AC204" t="str">
        <f t="shared" si="11"/>
        <v/>
      </c>
      <c r="AD204">
        <f>VLOOKUP(YEAR(Q204),Populations!$A$3:$B$999,2,0)</f>
        <v>55213500</v>
      </c>
      <c r="AE204">
        <f>(Calculations!B1/AD204)</f>
        <v>1.2371056353971399</v>
      </c>
      <c r="AF204"/>
      <c r="AG204">
        <v>1</v>
      </c>
      <c r="AH204" t="str">
        <f>VLOOKUP(AG204,WikiFormats!$A$3:$B$999,2,0)</f>
        <v>Story</v>
      </c>
      <c r="AI204" t="s">
        <v>618</v>
      </c>
    </row>
    <row r="205" spans="1:35" s="2" customFormat="1" x14ac:dyDescent="0.55000000000000004">
      <c r="A205">
        <v>203</v>
      </c>
      <c r="B205">
        <v>1</v>
      </c>
      <c r="C205" t="str">
        <f>VLOOKUP(B205,Eras!$A$3:$B$999,2,0)</f>
        <v>Classic</v>
      </c>
      <c r="D205">
        <v>1</v>
      </c>
      <c r="E205" t="str">
        <f>VLOOKUP(D205,EpisodeFormats!$A$3:$B$999,2,0)</f>
        <v>Series</v>
      </c>
      <c r="F205">
        <v>2</v>
      </c>
      <c r="G205" t="str">
        <f>VLOOKUP(F205,Doctors!$A$3:$B$999,2,0)</f>
        <v>Patrick Troughton</v>
      </c>
      <c r="H205">
        <v>5</v>
      </c>
      <c r="I205">
        <v>1</v>
      </c>
      <c r="J205" t="str">
        <f>VLOOKUP(I205,SeasonFormats!$A$3:$B$999,2,0)</f>
        <v>Season</v>
      </c>
      <c r="K205">
        <v>42</v>
      </c>
      <c r="L205">
        <v>6</v>
      </c>
      <c r="M205" t="s">
        <v>387</v>
      </c>
      <c r="N205">
        <v>6</v>
      </c>
      <c r="O205" t="s">
        <v>380</v>
      </c>
      <c r="P205">
        <v>34</v>
      </c>
      <c r="Q205" s="6" t="d">
        <v>1968-04-20</v>
      </c>
      <c r="R205">
        <v>27</v>
      </c>
      <c r="S205">
        <v>1</v>
      </c>
      <c r="T205" s="15" t="s">
        <v>1144</v>
      </c>
      <c r="U205" t="str" cm="1">
        <f t="array" ref="U205">_xlfn.TEXTJOIN(",",TRUE,_xlfn.XLOOKUP(_xlfn.FILTERXML("&lt;t&gt;&lt;s&gt;" &amp; SUBSTITUTE(T205,",","&lt;/s&gt;&lt;s&gt;") &amp; "&lt;/s&gt;&lt;/t&gt;", "//s"),Writers!$A$3:$A$999,Writers!$B$3:$B$999,""))</f>
        <v>Victor Pemberton</v>
      </c>
      <c r="V205"/>
      <c r="W205" t="str">
        <f>IF(V205="","",_xlfn.XLOOKUP(V205,Writers!$A$3:$A$999,Writers!$B$3:$B$999,""))</f>
        <v/>
      </c>
      <c r="X205">
        <v>6.9</v>
      </c>
      <c r="Y205"/>
      <c r="Z205"/>
      <c r="AA205">
        <f t="shared" si="9"/>
        <v>8.5399999999999991</v>
      </c>
      <c r="AB205" t="str">
        <f t="shared" si="10"/>
        <v/>
      </c>
      <c r="AC205" t="str">
        <f t="shared" si="11"/>
        <v/>
      </c>
      <c r="AD205">
        <f>VLOOKUP(YEAR(Q205),Populations!$A$3:$B$999,2,0)</f>
        <v>55213500</v>
      </c>
      <c r="AE205">
        <f>(Calculations!B1/AD205)</f>
        <v>1.2371056353971399</v>
      </c>
      <c r="AF205"/>
      <c r="AG205">
        <v>1</v>
      </c>
      <c r="AH205" t="str">
        <f>VLOOKUP(AG205,WikiFormats!$A$3:$B$999,2,0)</f>
        <v>Story</v>
      </c>
      <c r="AI205" t="s">
        <v>618</v>
      </c>
    </row>
    <row r="206" spans="1:35" s="8" customFormat="1" x14ac:dyDescent="0.55000000000000004">
      <c r="A206" s="3">
        <v>204</v>
      </c>
      <c r="B206" s="3">
        <v>1</v>
      </c>
      <c r="C206" s="3" t="str">
        <f>VLOOKUP(B206,Eras!$A$3:$B$999,2,0)</f>
        <v>Classic</v>
      </c>
      <c r="D206" s="3">
        <v>1</v>
      </c>
      <c r="E206" s="3" t="str">
        <f>VLOOKUP(D206,EpisodeFormats!$A$3:$B$999,2,0)</f>
        <v>Series</v>
      </c>
      <c r="F206" s="3">
        <v>2</v>
      </c>
      <c r="G206" s="3" t="str">
        <f>VLOOKUP(F206,Doctors!$A$3:$B$999,2,0)</f>
        <v>Patrick Troughton</v>
      </c>
      <c r="H206" s="3">
        <v>5</v>
      </c>
      <c r="I206" s="3">
        <v>1</v>
      </c>
      <c r="J206" s="3" t="str">
        <f>VLOOKUP(I206,SeasonFormats!$A$3:$B$999,2,0)</f>
        <v>Season</v>
      </c>
      <c r="K206" s="3">
        <v>43</v>
      </c>
      <c r="L206" s="3">
        <v>7</v>
      </c>
      <c r="M206" s="3" t="s">
        <v>388</v>
      </c>
      <c r="N206" s="3">
        <v>1</v>
      </c>
      <c r="O206" s="3" t="s">
        <v>360</v>
      </c>
      <c r="P206" s="3">
        <v>35</v>
      </c>
      <c r="Q206" s="7" t="d">
        <v>1968-04-27</v>
      </c>
      <c r="R206" s="3">
        <v>24</v>
      </c>
      <c r="S206" s="3">
        <v>1</v>
      </c>
      <c r="T206" s="4" t="s">
        <v>1175</v>
      </c>
      <c r="U206" s="3" t="str" cm="1">
        <f t="array" ref="U206">_xlfn.TEXTJOIN(",",TRUE,_xlfn.XLOOKUP(_xlfn.FILTERXML("&lt;t&gt;&lt;s&gt;" &amp; SUBSTITUTE(T206,",","&lt;/s&gt;&lt;s&gt;") &amp; "&lt;/s&gt;&lt;/t&gt;", "//s"),Writers!$A$3:$A$999,Writers!$B$3:$B$999,""))</f>
        <v>David Whitaker</v>
      </c>
      <c r="V206" s="3"/>
      <c r="W206" s="3" t="str">
        <f>IF(V206="","",_xlfn.XLOOKUP(V206,Writers!$A$3:$A$999,Writers!$B$3:$B$999,""))</f>
        <v/>
      </c>
      <c r="X206" s="3">
        <v>7.2</v>
      </c>
      <c r="Y206" s="3"/>
      <c r="Z206" s="3"/>
      <c r="AA206" s="3">
        <f t="shared" si="9"/>
        <v>8.91</v>
      </c>
      <c r="AB206" s="3" t="str">
        <f t="shared" si="10"/>
        <v/>
      </c>
      <c r="AC206" s="3" t="str">
        <f t="shared" si="11"/>
        <v/>
      </c>
      <c r="AD206" s="3">
        <f>VLOOKUP(YEAR(Q206),Populations!$A$3:$B$999,2,0)</f>
        <v>55213500</v>
      </c>
      <c r="AE206" s="3">
        <f>(Calculations!B1/AD206)</f>
        <v>1.2371056353971399</v>
      </c>
      <c r="AF206" s="3"/>
      <c r="AG206" s="3">
        <v>1</v>
      </c>
      <c r="AH206" s="3" t="str">
        <f>VLOOKUP(AG206,WikiFormats!$A$3:$B$999,2,0)</f>
        <v>Story</v>
      </c>
      <c r="AI206" s="3" t="s">
        <v>619</v>
      </c>
    </row>
    <row r="207" spans="1:35" s="8" customFormat="1" x14ac:dyDescent="0.55000000000000004">
      <c r="A207" s="3">
        <v>205</v>
      </c>
      <c r="B207" s="3">
        <v>1</v>
      </c>
      <c r="C207" s="3" t="str">
        <f>VLOOKUP(B207,Eras!$A$3:$B$999,2,0)</f>
        <v>Classic</v>
      </c>
      <c r="D207" s="3">
        <v>1</v>
      </c>
      <c r="E207" s="3" t="str">
        <f>VLOOKUP(D207,EpisodeFormats!$A$3:$B$999,2,0)</f>
        <v>Series</v>
      </c>
      <c r="F207" s="3">
        <v>2</v>
      </c>
      <c r="G207" s="3" t="str">
        <f>VLOOKUP(F207,Doctors!$A$3:$B$999,2,0)</f>
        <v>Patrick Troughton</v>
      </c>
      <c r="H207" s="3">
        <v>5</v>
      </c>
      <c r="I207" s="3">
        <v>1</v>
      </c>
      <c r="J207" s="3" t="str">
        <f>VLOOKUP(I207,SeasonFormats!$A$3:$B$999,2,0)</f>
        <v>Season</v>
      </c>
      <c r="K207" s="3">
        <v>43</v>
      </c>
      <c r="L207" s="3">
        <v>7</v>
      </c>
      <c r="M207" s="3" t="s">
        <v>388</v>
      </c>
      <c r="N207" s="3">
        <v>2</v>
      </c>
      <c r="O207" s="3" t="s">
        <v>361</v>
      </c>
      <c r="P207" s="3">
        <v>36</v>
      </c>
      <c r="Q207" s="7" t="d">
        <v>1968-05-04</v>
      </c>
      <c r="R207" s="3">
        <v>23</v>
      </c>
      <c r="S207" s="3">
        <v>1</v>
      </c>
      <c r="T207" s="4" t="s">
        <v>1175</v>
      </c>
      <c r="U207" s="3" t="str" cm="1">
        <f t="array" ref="U207">_xlfn.TEXTJOIN(",",TRUE,_xlfn.XLOOKUP(_xlfn.FILTERXML("&lt;t&gt;&lt;s&gt;" &amp; SUBSTITUTE(T207,",","&lt;/s&gt;&lt;s&gt;") &amp; "&lt;/s&gt;&lt;/t&gt;", "//s"),Writers!$A$3:$A$999,Writers!$B$3:$B$999,""))</f>
        <v>David Whitaker</v>
      </c>
      <c r="V207" s="3"/>
      <c r="W207" s="3" t="str">
        <f>IF(V207="","",_xlfn.XLOOKUP(V207,Writers!$A$3:$A$999,Writers!$B$3:$B$999,""))</f>
        <v/>
      </c>
      <c r="X207" s="3">
        <v>6.9</v>
      </c>
      <c r="Y207" s="3"/>
      <c r="Z207" s="3"/>
      <c r="AA207" s="3">
        <f t="shared" si="9"/>
        <v>8.5399999999999991</v>
      </c>
      <c r="AB207" s="3" t="str">
        <f t="shared" si="10"/>
        <v/>
      </c>
      <c r="AC207" s="3" t="str">
        <f t="shared" si="11"/>
        <v/>
      </c>
      <c r="AD207" s="3">
        <f>VLOOKUP(YEAR(Q207),Populations!$A$3:$B$999,2,0)</f>
        <v>55213500</v>
      </c>
      <c r="AE207" s="3">
        <f>(Calculations!B1/AD207)</f>
        <v>1.2371056353971399</v>
      </c>
      <c r="AF207" s="3"/>
      <c r="AG207" s="3">
        <v>1</v>
      </c>
      <c r="AH207" s="3" t="str">
        <f>VLOOKUP(AG207,WikiFormats!$A$3:$B$999,2,0)</f>
        <v>Story</v>
      </c>
      <c r="AI207" s="3" t="s">
        <v>619</v>
      </c>
    </row>
    <row r="208" spans="1:35" s="8" customFormat="1" x14ac:dyDescent="0.55000000000000004">
      <c r="A208" s="3">
        <v>206</v>
      </c>
      <c r="B208" s="3">
        <v>1</v>
      </c>
      <c r="C208" s="3" t="str">
        <f>VLOOKUP(B208,Eras!$A$3:$B$999,2,0)</f>
        <v>Classic</v>
      </c>
      <c r="D208" s="3">
        <v>1</v>
      </c>
      <c r="E208" s="3" t="str">
        <f>VLOOKUP(D208,EpisodeFormats!$A$3:$B$999,2,0)</f>
        <v>Series</v>
      </c>
      <c r="F208" s="3">
        <v>2</v>
      </c>
      <c r="G208" s="3" t="str">
        <f>VLOOKUP(F208,Doctors!$A$3:$B$999,2,0)</f>
        <v>Patrick Troughton</v>
      </c>
      <c r="H208" s="3">
        <v>5</v>
      </c>
      <c r="I208" s="3">
        <v>1</v>
      </c>
      <c r="J208" s="3" t="str">
        <f>VLOOKUP(I208,SeasonFormats!$A$3:$B$999,2,0)</f>
        <v>Season</v>
      </c>
      <c r="K208" s="3">
        <v>43</v>
      </c>
      <c r="L208" s="3">
        <v>7</v>
      </c>
      <c r="M208" s="3" t="s">
        <v>388</v>
      </c>
      <c r="N208" s="3">
        <v>3</v>
      </c>
      <c r="O208" s="3" t="s">
        <v>362</v>
      </c>
      <c r="P208" s="3">
        <v>37</v>
      </c>
      <c r="Q208" s="7" t="d">
        <v>1968-05-11</v>
      </c>
      <c r="R208" s="3">
        <v>24</v>
      </c>
      <c r="S208" s="3"/>
      <c r="T208" s="4" t="s">
        <v>1175</v>
      </c>
      <c r="U208" s="3" t="str" cm="1">
        <f t="array" ref="U208">_xlfn.TEXTJOIN(",",TRUE,_xlfn.XLOOKUP(_xlfn.FILTERXML("&lt;t&gt;&lt;s&gt;" &amp; SUBSTITUTE(T208,",","&lt;/s&gt;&lt;s&gt;") &amp; "&lt;/s&gt;&lt;/t&gt;", "//s"),Writers!$A$3:$A$999,Writers!$B$3:$B$999,""))</f>
        <v>David Whitaker</v>
      </c>
      <c r="V208" s="3"/>
      <c r="W208" s="3" t="str">
        <f>IF(V208="","",_xlfn.XLOOKUP(V208,Writers!$A$3:$A$999,Writers!$B$3:$B$999,""))</f>
        <v/>
      </c>
      <c r="X208" s="3">
        <v>7.5</v>
      </c>
      <c r="Y208" s="3"/>
      <c r="Z208" s="3"/>
      <c r="AA208" s="3">
        <f t="shared" si="9"/>
        <v>9.2799999999999994</v>
      </c>
      <c r="AB208" s="3" t="str">
        <f t="shared" si="10"/>
        <v/>
      </c>
      <c r="AC208" s="3" t="str">
        <f t="shared" si="11"/>
        <v/>
      </c>
      <c r="AD208" s="3">
        <f>VLOOKUP(YEAR(Q208),Populations!$A$3:$B$999,2,0)</f>
        <v>55213500</v>
      </c>
      <c r="AE208" s="3">
        <f>(Calculations!B1/AD208)</f>
        <v>1.2371056353971399</v>
      </c>
      <c r="AF208" s="3"/>
      <c r="AG208" s="3">
        <v>1</v>
      </c>
      <c r="AH208" s="3" t="str">
        <f>VLOOKUP(AG208,WikiFormats!$A$3:$B$999,2,0)</f>
        <v>Story</v>
      </c>
      <c r="AI208" s="3" t="s">
        <v>619</v>
      </c>
    </row>
    <row r="209" spans="1:35" s="8" customFormat="1" x14ac:dyDescent="0.55000000000000004">
      <c r="A209" s="3">
        <v>207</v>
      </c>
      <c r="B209" s="3">
        <v>1</v>
      </c>
      <c r="C209" s="3" t="str">
        <f>VLOOKUP(B209,Eras!$A$3:$B$999,2,0)</f>
        <v>Classic</v>
      </c>
      <c r="D209" s="3">
        <v>1</v>
      </c>
      <c r="E209" s="3" t="str">
        <f>VLOOKUP(D209,EpisodeFormats!$A$3:$B$999,2,0)</f>
        <v>Series</v>
      </c>
      <c r="F209" s="3">
        <v>2</v>
      </c>
      <c r="G209" s="3" t="str">
        <f>VLOOKUP(F209,Doctors!$A$3:$B$999,2,0)</f>
        <v>Patrick Troughton</v>
      </c>
      <c r="H209" s="3">
        <v>5</v>
      </c>
      <c r="I209" s="3">
        <v>1</v>
      </c>
      <c r="J209" s="3" t="str">
        <f>VLOOKUP(I209,SeasonFormats!$A$3:$B$999,2,0)</f>
        <v>Season</v>
      </c>
      <c r="K209" s="3">
        <v>43</v>
      </c>
      <c r="L209" s="3">
        <v>7</v>
      </c>
      <c r="M209" s="3" t="s">
        <v>388</v>
      </c>
      <c r="N209" s="3">
        <v>4</v>
      </c>
      <c r="O209" s="3" t="s">
        <v>363</v>
      </c>
      <c r="P209" s="3">
        <v>38</v>
      </c>
      <c r="Q209" s="7" t="d">
        <v>1968-05-18</v>
      </c>
      <c r="R209" s="3">
        <v>24</v>
      </c>
      <c r="S209" s="3">
        <v>1</v>
      </c>
      <c r="T209" s="4" t="s">
        <v>1175</v>
      </c>
      <c r="U209" s="3" t="str" cm="1">
        <f t="array" ref="U209">_xlfn.TEXTJOIN(",",TRUE,_xlfn.XLOOKUP(_xlfn.FILTERXML("&lt;t&gt;&lt;s&gt;" &amp; SUBSTITUTE(T209,",","&lt;/s&gt;&lt;s&gt;") &amp; "&lt;/s&gt;&lt;/t&gt;", "//s"),Writers!$A$3:$A$999,Writers!$B$3:$B$999,""))</f>
        <v>David Whitaker</v>
      </c>
      <c r="V209" s="3"/>
      <c r="W209" s="3" t="str">
        <f>IF(V209="","",_xlfn.XLOOKUP(V209,Writers!$A$3:$A$999,Writers!$B$3:$B$999,""))</f>
        <v/>
      </c>
      <c r="X209" s="3">
        <v>8.6</v>
      </c>
      <c r="Y209" s="3"/>
      <c r="Z209" s="3"/>
      <c r="AA209" s="3">
        <f t="shared" si="9"/>
        <v>10.64</v>
      </c>
      <c r="AB209" s="3" t="str">
        <f t="shared" si="10"/>
        <v/>
      </c>
      <c r="AC209" s="3" t="str">
        <f t="shared" si="11"/>
        <v/>
      </c>
      <c r="AD209" s="3">
        <f>VLOOKUP(YEAR(Q209),Populations!$A$3:$B$999,2,0)</f>
        <v>55213500</v>
      </c>
      <c r="AE209" s="3">
        <f>(Calculations!B1/AD209)</f>
        <v>1.2371056353971399</v>
      </c>
      <c r="AF209" s="3"/>
      <c r="AG209" s="3">
        <v>1</v>
      </c>
      <c r="AH209" s="3" t="str">
        <f>VLOOKUP(AG209,WikiFormats!$A$3:$B$999,2,0)</f>
        <v>Story</v>
      </c>
      <c r="AI209" s="3" t="s">
        <v>619</v>
      </c>
    </row>
    <row r="210" spans="1:35" s="8" customFormat="1" x14ac:dyDescent="0.55000000000000004">
      <c r="A210" s="3">
        <v>208</v>
      </c>
      <c r="B210" s="3">
        <v>1</v>
      </c>
      <c r="C210" s="3" t="str">
        <f>VLOOKUP(B210,Eras!$A$3:$B$999,2,0)</f>
        <v>Classic</v>
      </c>
      <c r="D210" s="3">
        <v>1</v>
      </c>
      <c r="E210" s="3" t="str">
        <f>VLOOKUP(D210,EpisodeFormats!$A$3:$B$999,2,0)</f>
        <v>Series</v>
      </c>
      <c r="F210" s="3">
        <v>2</v>
      </c>
      <c r="G210" s="3" t="str">
        <f>VLOOKUP(F210,Doctors!$A$3:$B$999,2,0)</f>
        <v>Patrick Troughton</v>
      </c>
      <c r="H210" s="3">
        <v>5</v>
      </c>
      <c r="I210" s="3">
        <v>1</v>
      </c>
      <c r="J210" s="3" t="str">
        <f>VLOOKUP(I210,SeasonFormats!$A$3:$B$999,2,0)</f>
        <v>Season</v>
      </c>
      <c r="K210" s="3">
        <v>43</v>
      </c>
      <c r="L210" s="3">
        <v>7</v>
      </c>
      <c r="M210" s="3" t="s">
        <v>388</v>
      </c>
      <c r="N210" s="3">
        <v>5</v>
      </c>
      <c r="O210" s="3" t="s">
        <v>379</v>
      </c>
      <c r="P210" s="3">
        <v>39</v>
      </c>
      <c r="Q210" s="7" t="d">
        <v>1968-05-25</v>
      </c>
      <c r="R210" s="3">
        <v>22</v>
      </c>
      <c r="S210" s="3">
        <v>1</v>
      </c>
      <c r="T210" s="4" t="s">
        <v>1175</v>
      </c>
      <c r="U210" s="3" t="str" cm="1">
        <f t="array" ref="U210">_xlfn.TEXTJOIN(",",TRUE,_xlfn.XLOOKUP(_xlfn.FILTERXML("&lt;t&gt;&lt;s&gt;" &amp; SUBSTITUTE(T210,",","&lt;/s&gt;&lt;s&gt;") &amp; "&lt;/s&gt;&lt;/t&gt;", "//s"),Writers!$A$3:$A$999,Writers!$B$3:$B$999,""))</f>
        <v>David Whitaker</v>
      </c>
      <c r="V210" s="3"/>
      <c r="W210" s="3" t="str">
        <f>IF(V210="","",_xlfn.XLOOKUP(V210,Writers!$A$3:$A$999,Writers!$B$3:$B$999,""))</f>
        <v/>
      </c>
      <c r="X210" s="3">
        <v>6.8</v>
      </c>
      <c r="Y210" s="3"/>
      <c r="Z210" s="3"/>
      <c r="AA210" s="3">
        <f t="shared" si="9"/>
        <v>8.41</v>
      </c>
      <c r="AB210" s="3" t="str">
        <f t="shared" si="10"/>
        <v/>
      </c>
      <c r="AC210" s="3" t="str">
        <f t="shared" si="11"/>
        <v/>
      </c>
      <c r="AD210" s="3">
        <f>VLOOKUP(YEAR(Q210),Populations!$A$3:$B$999,2,0)</f>
        <v>55213500</v>
      </c>
      <c r="AE210" s="3">
        <f>(Calculations!B1/AD210)</f>
        <v>1.2371056353971399</v>
      </c>
      <c r="AF210" s="3"/>
      <c r="AG210" s="3">
        <v>1</v>
      </c>
      <c r="AH210" s="3" t="str">
        <f>VLOOKUP(AG210,WikiFormats!$A$3:$B$999,2,0)</f>
        <v>Story</v>
      </c>
      <c r="AI210" s="3" t="s">
        <v>619</v>
      </c>
    </row>
    <row r="211" spans="1:35" s="8" customFormat="1" x14ac:dyDescent="0.55000000000000004">
      <c r="A211" s="3">
        <v>209</v>
      </c>
      <c r="B211" s="3">
        <v>1</v>
      </c>
      <c r="C211" s="3" t="str">
        <f>VLOOKUP(B211,Eras!$A$3:$B$999,2,0)</f>
        <v>Classic</v>
      </c>
      <c r="D211" s="3">
        <v>1</v>
      </c>
      <c r="E211" s="3" t="str">
        <f>VLOOKUP(D211,EpisodeFormats!$A$3:$B$999,2,0)</f>
        <v>Series</v>
      </c>
      <c r="F211" s="3">
        <v>2</v>
      </c>
      <c r="G211" s="3" t="str">
        <f>VLOOKUP(F211,Doctors!$A$3:$B$999,2,0)</f>
        <v>Patrick Troughton</v>
      </c>
      <c r="H211" s="3">
        <v>5</v>
      </c>
      <c r="I211" s="3">
        <v>1</v>
      </c>
      <c r="J211" s="3" t="str">
        <f>VLOOKUP(I211,SeasonFormats!$A$3:$B$999,2,0)</f>
        <v>Season</v>
      </c>
      <c r="K211" s="3">
        <v>43</v>
      </c>
      <c r="L211" s="3">
        <v>7</v>
      </c>
      <c r="M211" s="3" t="s">
        <v>388</v>
      </c>
      <c r="N211" s="3">
        <v>6</v>
      </c>
      <c r="O211" s="3" t="s">
        <v>380</v>
      </c>
      <c r="P211" s="3">
        <v>40</v>
      </c>
      <c r="Q211" s="7" t="d">
        <v>1968-06-01</v>
      </c>
      <c r="R211" s="3">
        <v>23</v>
      </c>
      <c r="S211" s="3"/>
      <c r="T211" s="4" t="s">
        <v>1175</v>
      </c>
      <c r="U211" s="3" t="str" cm="1">
        <f t="array" ref="U211">_xlfn.TEXTJOIN(",",TRUE,_xlfn.XLOOKUP(_xlfn.FILTERXML("&lt;t&gt;&lt;s&gt;" &amp; SUBSTITUTE(T211,",","&lt;/s&gt;&lt;s&gt;") &amp; "&lt;/s&gt;&lt;/t&gt;", "//s"),Writers!$A$3:$A$999,Writers!$B$3:$B$999,""))</f>
        <v>David Whitaker</v>
      </c>
      <c r="V211" s="3"/>
      <c r="W211" s="3" t="str">
        <f>IF(V211="","",_xlfn.XLOOKUP(V211,Writers!$A$3:$A$999,Writers!$B$3:$B$999,""))</f>
        <v/>
      </c>
      <c r="X211" s="3">
        <v>6.5</v>
      </c>
      <c r="Y211" s="3"/>
      <c r="Z211" s="3"/>
      <c r="AA211" s="3">
        <f t="shared" si="9"/>
        <v>8.0399999999999991</v>
      </c>
      <c r="AB211" s="3" t="str">
        <f t="shared" si="10"/>
        <v/>
      </c>
      <c r="AC211" s="3" t="str">
        <f t="shared" si="11"/>
        <v/>
      </c>
      <c r="AD211" s="3">
        <f>VLOOKUP(YEAR(Q211),Populations!$A$3:$B$999,2,0)</f>
        <v>55213500</v>
      </c>
      <c r="AE211" s="3">
        <f>(Calculations!B1/AD211)</f>
        <v>1.2371056353971399</v>
      </c>
      <c r="AF211" s="3"/>
      <c r="AG211" s="3">
        <v>1</v>
      </c>
      <c r="AH211" s="3" t="str">
        <f>VLOOKUP(AG211,WikiFormats!$A$3:$B$999,2,0)</f>
        <v>Story</v>
      </c>
      <c r="AI211" s="3" t="s">
        <v>619</v>
      </c>
    </row>
    <row r="212" spans="1:35" s="2" customFormat="1" x14ac:dyDescent="0.55000000000000004">
      <c r="A212">
        <v>210</v>
      </c>
      <c r="B212">
        <v>1</v>
      </c>
      <c r="C212" t="str">
        <f>VLOOKUP(B212,Eras!$A$3:$B$999,2,0)</f>
        <v>Classic</v>
      </c>
      <c r="D212">
        <v>1</v>
      </c>
      <c r="E212" t="str">
        <f>VLOOKUP(D212,EpisodeFormats!$A$3:$B$999,2,0)</f>
        <v>Series</v>
      </c>
      <c r="F212">
        <v>2</v>
      </c>
      <c r="G212" t="str">
        <f>VLOOKUP(F212,Doctors!$A$3:$B$999,2,0)</f>
        <v>Patrick Troughton</v>
      </c>
      <c r="H212">
        <v>6</v>
      </c>
      <c r="I212">
        <v>1</v>
      </c>
      <c r="J212" t="str">
        <f>VLOOKUP(I212,SeasonFormats!$A$3:$B$999,2,0)</f>
        <v>Season</v>
      </c>
      <c r="K212">
        <v>44</v>
      </c>
      <c r="L212">
        <v>1</v>
      </c>
      <c r="M212" t="s">
        <v>395</v>
      </c>
      <c r="N212">
        <v>1</v>
      </c>
      <c r="O212" t="s">
        <v>360</v>
      </c>
      <c r="P212">
        <v>1</v>
      </c>
      <c r="Q212" s="6" t="d">
        <v>1968-08-10</v>
      </c>
      <c r="R212">
        <v>24</v>
      </c>
      <c r="S212"/>
      <c r="T212" s="15" t="s">
        <v>1062</v>
      </c>
      <c r="U212" t="str" cm="1">
        <f t="array" ref="U212">_xlfn.TEXTJOIN(",",TRUE,_xlfn.XLOOKUP(_xlfn.FILTERXML("&lt;t&gt;&lt;s&gt;" &amp; SUBSTITUTE(T212,",","&lt;/s&gt;&lt;s&gt;") &amp; "&lt;/s&gt;&lt;/t&gt;", "//s"),Writers!$A$3:$A$999,Writers!$B$3:$B$999,""))</f>
        <v>Mervyn Haisman,Henry Lincoln</v>
      </c>
      <c r="V212">
        <v>6</v>
      </c>
      <c r="W212" t="str">
        <f>IF(V212="","",_xlfn.XLOOKUP(V212,Writers!$A$3:$A$999,Writers!$B$3:$B$999,""))</f>
        <v>Norman Ashby</v>
      </c>
      <c r="X212">
        <v>6.1</v>
      </c>
      <c r="Y212"/>
      <c r="Z212"/>
      <c r="AA212">
        <f t="shared" si="9"/>
        <v>7.55</v>
      </c>
      <c r="AB212" t="str">
        <f t="shared" si="10"/>
        <v/>
      </c>
      <c r="AC212" t="str">
        <f t="shared" si="11"/>
        <v/>
      </c>
      <c r="AD212">
        <f>VLOOKUP(YEAR(Q212),Populations!$A$3:$B$999,2,0)</f>
        <v>55213500</v>
      </c>
      <c r="AE212">
        <f>(Calculations!B1/AD212)</f>
        <v>1.2371056353971399</v>
      </c>
      <c r="AF212"/>
      <c r="AG212">
        <v>1</v>
      </c>
      <c r="AH212" t="str">
        <f>VLOOKUP(AG212,WikiFormats!$A$3:$B$999,2,0)</f>
        <v>Story</v>
      </c>
      <c r="AI212" t="s">
        <v>620</v>
      </c>
    </row>
    <row r="213" spans="1:35" s="2" customFormat="1" x14ac:dyDescent="0.55000000000000004">
      <c r="A213">
        <v>211</v>
      </c>
      <c r="B213">
        <v>1</v>
      </c>
      <c r="C213" t="str">
        <f>VLOOKUP(B213,Eras!$A$3:$B$999,2,0)</f>
        <v>Classic</v>
      </c>
      <c r="D213">
        <v>1</v>
      </c>
      <c r="E213" t="str">
        <f>VLOOKUP(D213,EpisodeFormats!$A$3:$B$999,2,0)</f>
        <v>Series</v>
      </c>
      <c r="F213">
        <v>2</v>
      </c>
      <c r="G213" t="str">
        <f>VLOOKUP(F213,Doctors!$A$3:$B$999,2,0)</f>
        <v>Patrick Troughton</v>
      </c>
      <c r="H213">
        <v>6</v>
      </c>
      <c r="I213">
        <v>1</v>
      </c>
      <c r="J213" t="str">
        <f>VLOOKUP(I213,SeasonFormats!$A$3:$B$999,2,0)</f>
        <v>Season</v>
      </c>
      <c r="K213">
        <v>44</v>
      </c>
      <c r="L213">
        <v>1</v>
      </c>
      <c r="M213" t="s">
        <v>395</v>
      </c>
      <c r="N213">
        <v>2</v>
      </c>
      <c r="O213" t="s">
        <v>361</v>
      </c>
      <c r="P213">
        <v>2</v>
      </c>
      <c r="Q213" s="6" t="d">
        <v>1968-08-17</v>
      </c>
      <c r="R213">
        <v>24</v>
      </c>
      <c r="S213"/>
      <c r="T213" s="15" t="s">
        <v>1062</v>
      </c>
      <c r="U213" t="str" cm="1">
        <f t="array" ref="U213">_xlfn.TEXTJOIN(",",TRUE,_xlfn.XLOOKUP(_xlfn.FILTERXML("&lt;t&gt;&lt;s&gt;" &amp; SUBSTITUTE(T213,",","&lt;/s&gt;&lt;s&gt;") &amp; "&lt;/s&gt;&lt;/t&gt;", "//s"),Writers!$A$3:$A$999,Writers!$B$3:$B$999,""))</f>
        <v>Mervyn Haisman,Henry Lincoln</v>
      </c>
      <c r="V213">
        <v>6</v>
      </c>
      <c r="W213" t="str">
        <f>IF(V213="","",_xlfn.XLOOKUP(V213,Writers!$A$3:$A$999,Writers!$B$3:$B$999,""))</f>
        <v>Norman Ashby</v>
      </c>
      <c r="X213">
        <v>5.9</v>
      </c>
      <c r="Y213"/>
      <c r="Z213"/>
      <c r="AA213">
        <f t="shared" si="9"/>
        <v>7.3</v>
      </c>
      <c r="AB213" t="str">
        <f t="shared" si="10"/>
        <v/>
      </c>
      <c r="AC213" t="str">
        <f t="shared" si="11"/>
        <v/>
      </c>
      <c r="AD213">
        <f>VLOOKUP(YEAR(Q213),Populations!$A$3:$B$999,2,0)</f>
        <v>55213500</v>
      </c>
      <c r="AE213">
        <f>(Calculations!B1/AD213)</f>
        <v>1.2371056353971399</v>
      </c>
      <c r="AF213"/>
      <c r="AG213">
        <v>1</v>
      </c>
      <c r="AH213" t="str">
        <f>VLOOKUP(AG213,WikiFormats!$A$3:$B$999,2,0)</f>
        <v>Story</v>
      </c>
      <c r="AI213" t="s">
        <v>620</v>
      </c>
    </row>
    <row r="214" spans="1:35" s="2" customFormat="1" x14ac:dyDescent="0.55000000000000004">
      <c r="A214">
        <v>212</v>
      </c>
      <c r="B214">
        <v>1</v>
      </c>
      <c r="C214" t="str">
        <f>VLOOKUP(B214,Eras!$A$3:$B$999,2,0)</f>
        <v>Classic</v>
      </c>
      <c r="D214">
        <v>1</v>
      </c>
      <c r="E214" t="str">
        <f>VLOOKUP(D214,EpisodeFormats!$A$3:$B$999,2,0)</f>
        <v>Series</v>
      </c>
      <c r="F214">
        <v>2</v>
      </c>
      <c r="G214" t="str">
        <f>VLOOKUP(F214,Doctors!$A$3:$B$999,2,0)</f>
        <v>Patrick Troughton</v>
      </c>
      <c r="H214">
        <v>6</v>
      </c>
      <c r="I214">
        <v>1</v>
      </c>
      <c r="J214" t="str">
        <f>VLOOKUP(I214,SeasonFormats!$A$3:$B$999,2,0)</f>
        <v>Season</v>
      </c>
      <c r="K214">
        <v>44</v>
      </c>
      <c r="L214">
        <v>1</v>
      </c>
      <c r="M214" t="s">
        <v>395</v>
      </c>
      <c r="N214">
        <v>3</v>
      </c>
      <c r="O214" t="s">
        <v>362</v>
      </c>
      <c r="P214">
        <v>3</v>
      </c>
      <c r="Q214" s="6" t="d">
        <v>1968-08-24</v>
      </c>
      <c r="R214">
        <v>24</v>
      </c>
      <c r="S214"/>
      <c r="T214" s="15" t="s">
        <v>1062</v>
      </c>
      <c r="U214" t="str" cm="1">
        <f t="array" ref="U214">_xlfn.TEXTJOIN(",",TRUE,_xlfn.XLOOKUP(_xlfn.FILTERXML("&lt;t&gt;&lt;s&gt;" &amp; SUBSTITUTE(T214,",","&lt;/s&gt;&lt;s&gt;") &amp; "&lt;/s&gt;&lt;/t&gt;", "//s"),Writers!$A$3:$A$999,Writers!$B$3:$B$999,""))</f>
        <v>Mervyn Haisman,Henry Lincoln</v>
      </c>
      <c r="V214">
        <v>6</v>
      </c>
      <c r="W214" t="str">
        <f>IF(V214="","",_xlfn.XLOOKUP(V214,Writers!$A$3:$A$999,Writers!$B$3:$B$999,""))</f>
        <v>Norman Ashby</v>
      </c>
      <c r="X214">
        <v>5.4</v>
      </c>
      <c r="Y214"/>
      <c r="Z214"/>
      <c r="AA214">
        <f t="shared" si="9"/>
        <v>6.68</v>
      </c>
      <c r="AB214" t="str">
        <f t="shared" si="10"/>
        <v/>
      </c>
      <c r="AC214" t="str">
        <f t="shared" si="11"/>
        <v/>
      </c>
      <c r="AD214">
        <f>VLOOKUP(YEAR(Q214),Populations!$A$3:$B$999,2,0)</f>
        <v>55213500</v>
      </c>
      <c r="AE214">
        <f>(Calculations!B1/AD214)</f>
        <v>1.2371056353971399</v>
      </c>
      <c r="AF214"/>
      <c r="AG214">
        <v>1</v>
      </c>
      <c r="AH214" t="str">
        <f>VLOOKUP(AG214,WikiFormats!$A$3:$B$999,2,0)</f>
        <v>Story</v>
      </c>
      <c r="AI214" t="s">
        <v>620</v>
      </c>
    </row>
    <row r="215" spans="1:35" s="2" customFormat="1" x14ac:dyDescent="0.55000000000000004">
      <c r="A215">
        <v>213</v>
      </c>
      <c r="B215">
        <v>1</v>
      </c>
      <c r="C215" t="str">
        <f>VLOOKUP(B215,Eras!$A$3:$B$999,2,0)</f>
        <v>Classic</v>
      </c>
      <c r="D215">
        <v>1</v>
      </c>
      <c r="E215" t="str">
        <f>VLOOKUP(D215,EpisodeFormats!$A$3:$B$999,2,0)</f>
        <v>Series</v>
      </c>
      <c r="F215">
        <v>2</v>
      </c>
      <c r="G215" t="str">
        <f>VLOOKUP(F215,Doctors!$A$3:$B$999,2,0)</f>
        <v>Patrick Troughton</v>
      </c>
      <c r="H215">
        <v>6</v>
      </c>
      <c r="I215">
        <v>1</v>
      </c>
      <c r="J215" t="str">
        <f>VLOOKUP(I215,SeasonFormats!$A$3:$B$999,2,0)</f>
        <v>Season</v>
      </c>
      <c r="K215">
        <v>44</v>
      </c>
      <c r="L215">
        <v>1</v>
      </c>
      <c r="M215" t="s">
        <v>395</v>
      </c>
      <c r="N215">
        <v>4</v>
      </c>
      <c r="O215" t="s">
        <v>363</v>
      </c>
      <c r="P215">
        <v>4</v>
      </c>
      <c r="Q215" s="6" t="d">
        <v>1968-08-31</v>
      </c>
      <c r="R215">
        <v>24</v>
      </c>
      <c r="S215"/>
      <c r="T215" s="15" t="s">
        <v>1062</v>
      </c>
      <c r="U215" t="str" cm="1">
        <f t="array" ref="U215">_xlfn.TEXTJOIN(",",TRUE,_xlfn.XLOOKUP(_xlfn.FILTERXML("&lt;t&gt;&lt;s&gt;" &amp; SUBSTITUTE(T215,",","&lt;/s&gt;&lt;s&gt;") &amp; "&lt;/s&gt;&lt;/t&gt;", "//s"),Writers!$A$3:$A$999,Writers!$B$3:$B$999,""))</f>
        <v>Mervyn Haisman,Henry Lincoln</v>
      </c>
      <c r="V215">
        <v>6</v>
      </c>
      <c r="W215" t="str">
        <f>IF(V215="","",_xlfn.XLOOKUP(V215,Writers!$A$3:$A$999,Writers!$B$3:$B$999,""))</f>
        <v>Norman Ashby</v>
      </c>
      <c r="X215">
        <v>7.5</v>
      </c>
      <c r="Y215"/>
      <c r="Z215"/>
      <c r="AA215">
        <f t="shared" si="9"/>
        <v>9.2799999999999994</v>
      </c>
      <c r="AB215" t="str">
        <f t="shared" si="10"/>
        <v/>
      </c>
      <c r="AC215" t="str">
        <f t="shared" si="11"/>
        <v/>
      </c>
      <c r="AD215">
        <f>VLOOKUP(YEAR(Q215),Populations!$A$3:$B$999,2,0)</f>
        <v>55213500</v>
      </c>
      <c r="AE215">
        <f>(Calculations!B1/AD215)</f>
        <v>1.2371056353971399</v>
      </c>
      <c r="AF215"/>
      <c r="AG215">
        <v>1</v>
      </c>
      <c r="AH215" t="str">
        <f>VLOOKUP(AG215,WikiFormats!$A$3:$B$999,2,0)</f>
        <v>Story</v>
      </c>
      <c r="AI215" t="s">
        <v>620</v>
      </c>
    </row>
    <row r="216" spans="1:35" s="2" customFormat="1" x14ac:dyDescent="0.55000000000000004">
      <c r="A216">
        <v>214</v>
      </c>
      <c r="B216">
        <v>1</v>
      </c>
      <c r="C216" t="str">
        <f>VLOOKUP(B216,Eras!$A$3:$B$999,2,0)</f>
        <v>Classic</v>
      </c>
      <c r="D216">
        <v>1</v>
      </c>
      <c r="E216" t="str">
        <f>VLOOKUP(D216,EpisodeFormats!$A$3:$B$999,2,0)</f>
        <v>Series</v>
      </c>
      <c r="F216">
        <v>2</v>
      </c>
      <c r="G216" t="str">
        <f>VLOOKUP(F216,Doctors!$A$3:$B$999,2,0)</f>
        <v>Patrick Troughton</v>
      </c>
      <c r="H216">
        <v>6</v>
      </c>
      <c r="I216">
        <v>1</v>
      </c>
      <c r="J216" t="str">
        <f>VLOOKUP(I216,SeasonFormats!$A$3:$B$999,2,0)</f>
        <v>Season</v>
      </c>
      <c r="K216">
        <v>44</v>
      </c>
      <c r="L216">
        <v>1</v>
      </c>
      <c r="M216" t="s">
        <v>395</v>
      </c>
      <c r="N216">
        <v>5</v>
      </c>
      <c r="O216" t="s">
        <v>379</v>
      </c>
      <c r="P216">
        <v>5</v>
      </c>
      <c r="Q216" s="6" t="d">
        <v>1968-09-07</v>
      </c>
      <c r="R216">
        <v>24</v>
      </c>
      <c r="S216"/>
      <c r="T216" s="15" t="s">
        <v>1062</v>
      </c>
      <c r="U216" t="str" cm="1">
        <f t="array" ref="U216">_xlfn.TEXTJOIN(",",TRUE,_xlfn.XLOOKUP(_xlfn.FILTERXML("&lt;t&gt;&lt;s&gt;" &amp; SUBSTITUTE(T216,",","&lt;/s&gt;&lt;s&gt;") &amp; "&lt;/s&gt;&lt;/t&gt;", "//s"),Writers!$A$3:$A$999,Writers!$B$3:$B$999,""))</f>
        <v>Mervyn Haisman,Henry Lincoln</v>
      </c>
      <c r="V216">
        <v>6</v>
      </c>
      <c r="W216" t="str">
        <f>IF(V216="","",_xlfn.XLOOKUP(V216,Writers!$A$3:$A$999,Writers!$B$3:$B$999,""))</f>
        <v>Norman Ashby</v>
      </c>
      <c r="X216">
        <v>5.9</v>
      </c>
      <c r="Y216"/>
      <c r="Z216"/>
      <c r="AA216">
        <f t="shared" si="9"/>
        <v>7.3</v>
      </c>
      <c r="AB216" t="str">
        <f t="shared" si="10"/>
        <v/>
      </c>
      <c r="AC216" t="str">
        <f t="shared" si="11"/>
        <v/>
      </c>
      <c r="AD216">
        <f>VLOOKUP(YEAR(Q216),Populations!$A$3:$B$999,2,0)</f>
        <v>55213500</v>
      </c>
      <c r="AE216">
        <f>(Calculations!B1/AD216)</f>
        <v>1.2371056353971399</v>
      </c>
      <c r="AF216"/>
      <c r="AG216">
        <v>1</v>
      </c>
      <c r="AH216" t="str">
        <f>VLOOKUP(AG216,WikiFormats!$A$3:$B$999,2,0)</f>
        <v>Story</v>
      </c>
      <c r="AI216" t="s">
        <v>620</v>
      </c>
    </row>
    <row r="217" spans="1:35" s="8" customFormat="1" x14ac:dyDescent="0.55000000000000004">
      <c r="A217" s="3">
        <v>215</v>
      </c>
      <c r="B217" s="3">
        <v>1</v>
      </c>
      <c r="C217" s="3" t="str">
        <f>VLOOKUP(B217,Eras!$A$3:$B$999,2,0)</f>
        <v>Classic</v>
      </c>
      <c r="D217" s="3">
        <v>1</v>
      </c>
      <c r="E217" s="3" t="str">
        <f>VLOOKUP(D217,EpisodeFormats!$A$3:$B$999,2,0)</f>
        <v>Series</v>
      </c>
      <c r="F217" s="3">
        <v>2</v>
      </c>
      <c r="G217" s="3" t="str">
        <f>VLOOKUP(F217,Doctors!$A$3:$B$999,2,0)</f>
        <v>Patrick Troughton</v>
      </c>
      <c r="H217" s="3">
        <v>6</v>
      </c>
      <c r="I217" s="3">
        <v>1</v>
      </c>
      <c r="J217" s="3" t="str">
        <f>VLOOKUP(I217,SeasonFormats!$A$3:$B$999,2,0)</f>
        <v>Season</v>
      </c>
      <c r="K217" s="3">
        <v>45</v>
      </c>
      <c r="L217" s="3">
        <v>2</v>
      </c>
      <c r="M217" s="3" t="s">
        <v>396</v>
      </c>
      <c r="N217" s="3">
        <v>1</v>
      </c>
      <c r="O217" s="3" t="s">
        <v>360</v>
      </c>
      <c r="P217" s="3">
        <v>6</v>
      </c>
      <c r="Q217" s="7" t="d">
        <v>1968-09-14</v>
      </c>
      <c r="R217" s="3">
        <v>21</v>
      </c>
      <c r="S217" s="3"/>
      <c r="T217" s="4" t="s">
        <v>1125</v>
      </c>
      <c r="U217" s="3" t="str" cm="1">
        <f t="array" ref="U217">_xlfn.TEXTJOIN(",",TRUE,_xlfn.XLOOKUP(_xlfn.FILTERXML("&lt;t&gt;&lt;s&gt;" &amp; SUBSTITUTE(T217,",","&lt;/s&gt;&lt;s&gt;") &amp; "&lt;/s&gt;&lt;/t&gt;", "//s"),Writers!$A$3:$A$999,Writers!$B$3:$B$999,""))</f>
        <v>Peter Ling</v>
      </c>
      <c r="V217" s="3"/>
      <c r="W217" s="3" t="str">
        <f>IF(V217="","",_xlfn.XLOOKUP(V217,Writers!$A$3:$A$999,Writers!$B$3:$B$999,""))</f>
        <v/>
      </c>
      <c r="X217" s="3">
        <v>6.6</v>
      </c>
      <c r="Y217" s="3"/>
      <c r="Z217" s="3"/>
      <c r="AA217" s="3">
        <f t="shared" si="9"/>
        <v>8.16</v>
      </c>
      <c r="AB217" s="3" t="str">
        <f t="shared" si="10"/>
        <v/>
      </c>
      <c r="AC217" s="3" t="str">
        <f t="shared" si="11"/>
        <v/>
      </c>
      <c r="AD217" s="3">
        <f>VLOOKUP(YEAR(Q217),Populations!$A$3:$B$999,2,0)</f>
        <v>55213500</v>
      </c>
      <c r="AE217" s="3">
        <f>(Calculations!B1/AD217)</f>
        <v>1.2371056353971399</v>
      </c>
      <c r="AF217" s="3"/>
      <c r="AG217" s="3">
        <v>1</v>
      </c>
      <c r="AH217" s="3" t="str">
        <f>VLOOKUP(AG217,WikiFormats!$A$3:$B$999,2,0)</f>
        <v>Story</v>
      </c>
      <c r="AI217" s="3" t="s">
        <v>621</v>
      </c>
    </row>
    <row r="218" spans="1:35" s="8" customFormat="1" x14ac:dyDescent="0.55000000000000004">
      <c r="A218" s="3">
        <v>216</v>
      </c>
      <c r="B218" s="3">
        <v>1</v>
      </c>
      <c r="C218" s="3" t="str">
        <f>VLOOKUP(B218,Eras!$A$3:$B$999,2,0)</f>
        <v>Classic</v>
      </c>
      <c r="D218" s="3">
        <v>1</v>
      </c>
      <c r="E218" s="3" t="str">
        <f>VLOOKUP(D218,EpisodeFormats!$A$3:$B$999,2,0)</f>
        <v>Series</v>
      </c>
      <c r="F218" s="3">
        <v>2</v>
      </c>
      <c r="G218" s="3" t="str">
        <f>VLOOKUP(F218,Doctors!$A$3:$B$999,2,0)</f>
        <v>Patrick Troughton</v>
      </c>
      <c r="H218" s="3">
        <v>6</v>
      </c>
      <c r="I218" s="3">
        <v>1</v>
      </c>
      <c r="J218" s="3" t="str">
        <f>VLOOKUP(I218,SeasonFormats!$A$3:$B$999,2,0)</f>
        <v>Season</v>
      </c>
      <c r="K218" s="3">
        <v>45</v>
      </c>
      <c r="L218" s="3">
        <v>2</v>
      </c>
      <c r="M218" s="3" t="s">
        <v>396</v>
      </c>
      <c r="N218" s="3">
        <v>2</v>
      </c>
      <c r="O218" s="3" t="s">
        <v>361</v>
      </c>
      <c r="P218" s="3">
        <v>7</v>
      </c>
      <c r="Q218" s="7" t="d">
        <v>1968-09-21</v>
      </c>
      <c r="R218" s="3">
        <v>22</v>
      </c>
      <c r="S218" s="3"/>
      <c r="T218" s="4" t="s">
        <v>1125</v>
      </c>
      <c r="U218" s="3" t="str" cm="1">
        <f t="array" ref="U218">_xlfn.TEXTJOIN(",",TRUE,_xlfn.XLOOKUP(_xlfn.FILTERXML("&lt;t&gt;&lt;s&gt;" &amp; SUBSTITUTE(T218,",","&lt;/s&gt;&lt;s&gt;") &amp; "&lt;/s&gt;&lt;/t&gt;", "//s"),Writers!$A$3:$A$999,Writers!$B$3:$B$999,""))</f>
        <v>Peter Ling</v>
      </c>
      <c r="V218" s="3"/>
      <c r="W218" s="3" t="str">
        <f>IF(V218="","",_xlfn.XLOOKUP(V218,Writers!$A$3:$A$999,Writers!$B$3:$B$999,""))</f>
        <v/>
      </c>
      <c r="X218" s="3">
        <v>6.5</v>
      </c>
      <c r="Y218" s="3"/>
      <c r="Z218" s="3"/>
      <c r="AA218" s="3">
        <f t="shared" si="9"/>
        <v>8.0399999999999991</v>
      </c>
      <c r="AB218" s="3" t="str">
        <f t="shared" si="10"/>
        <v/>
      </c>
      <c r="AC218" s="3" t="str">
        <f t="shared" si="11"/>
        <v/>
      </c>
      <c r="AD218" s="3">
        <f>VLOOKUP(YEAR(Q218),Populations!$A$3:$B$999,2,0)</f>
        <v>55213500</v>
      </c>
      <c r="AE218" s="3">
        <f>(Calculations!B1/AD218)</f>
        <v>1.2371056353971399</v>
      </c>
      <c r="AF218" s="3"/>
      <c r="AG218" s="3">
        <v>1</v>
      </c>
      <c r="AH218" s="3" t="str">
        <f>VLOOKUP(AG218,WikiFormats!$A$3:$B$999,2,0)</f>
        <v>Story</v>
      </c>
      <c r="AI218" s="3" t="s">
        <v>621</v>
      </c>
    </row>
    <row r="219" spans="1:35" s="8" customFormat="1" x14ac:dyDescent="0.55000000000000004">
      <c r="A219" s="3">
        <v>217</v>
      </c>
      <c r="B219" s="3">
        <v>1</v>
      </c>
      <c r="C219" s="3" t="str">
        <f>VLOOKUP(B219,Eras!$A$3:$B$999,2,0)</f>
        <v>Classic</v>
      </c>
      <c r="D219" s="3">
        <v>1</v>
      </c>
      <c r="E219" s="3" t="str">
        <f>VLOOKUP(D219,EpisodeFormats!$A$3:$B$999,2,0)</f>
        <v>Series</v>
      </c>
      <c r="F219" s="3">
        <v>2</v>
      </c>
      <c r="G219" s="3" t="str">
        <f>VLOOKUP(F219,Doctors!$A$3:$B$999,2,0)</f>
        <v>Patrick Troughton</v>
      </c>
      <c r="H219" s="3">
        <v>6</v>
      </c>
      <c r="I219" s="3">
        <v>1</v>
      </c>
      <c r="J219" s="3" t="str">
        <f>VLOOKUP(I219,SeasonFormats!$A$3:$B$999,2,0)</f>
        <v>Season</v>
      </c>
      <c r="K219" s="3">
        <v>45</v>
      </c>
      <c r="L219" s="3">
        <v>2</v>
      </c>
      <c r="M219" s="3" t="s">
        <v>396</v>
      </c>
      <c r="N219" s="3">
        <v>3</v>
      </c>
      <c r="O219" s="3" t="s">
        <v>362</v>
      </c>
      <c r="P219" s="3">
        <v>8</v>
      </c>
      <c r="Q219" s="7" t="d">
        <v>1968-09-28</v>
      </c>
      <c r="R219" s="3">
        <v>19</v>
      </c>
      <c r="S219" s="3"/>
      <c r="T219" s="4" t="s">
        <v>1125</v>
      </c>
      <c r="U219" s="3" t="str" cm="1">
        <f t="array" ref="U219">_xlfn.TEXTJOIN(",",TRUE,_xlfn.XLOOKUP(_xlfn.FILTERXML("&lt;t&gt;&lt;s&gt;" &amp; SUBSTITUTE(T219,",","&lt;/s&gt;&lt;s&gt;") &amp; "&lt;/s&gt;&lt;/t&gt;", "//s"),Writers!$A$3:$A$999,Writers!$B$3:$B$999,""))</f>
        <v>Peter Ling</v>
      </c>
      <c r="V219" s="3"/>
      <c r="W219" s="3" t="str">
        <f>IF(V219="","",_xlfn.XLOOKUP(V219,Writers!$A$3:$A$999,Writers!$B$3:$B$999,""))</f>
        <v/>
      </c>
      <c r="X219" s="3">
        <v>7.2</v>
      </c>
      <c r="Y219" s="3"/>
      <c r="Z219" s="3"/>
      <c r="AA219" s="3">
        <f t="shared" si="9"/>
        <v>8.91</v>
      </c>
      <c r="AB219" s="3" t="str">
        <f t="shared" si="10"/>
        <v/>
      </c>
      <c r="AC219" s="3" t="str">
        <f t="shared" si="11"/>
        <v/>
      </c>
      <c r="AD219" s="3">
        <f>VLOOKUP(YEAR(Q219),Populations!$A$3:$B$999,2,0)</f>
        <v>55213500</v>
      </c>
      <c r="AE219" s="3">
        <f>(Calculations!B1/AD219)</f>
        <v>1.2371056353971399</v>
      </c>
      <c r="AF219" s="3"/>
      <c r="AG219" s="3">
        <v>1</v>
      </c>
      <c r="AH219" s="3" t="str">
        <f>VLOOKUP(AG219,WikiFormats!$A$3:$B$999,2,0)</f>
        <v>Story</v>
      </c>
      <c r="AI219" s="3" t="s">
        <v>621</v>
      </c>
    </row>
    <row r="220" spans="1:35" s="8" customFormat="1" x14ac:dyDescent="0.55000000000000004">
      <c r="A220" s="3">
        <v>218</v>
      </c>
      <c r="B220" s="3">
        <v>1</v>
      </c>
      <c r="C220" s="3" t="str">
        <f>VLOOKUP(B220,Eras!$A$3:$B$999,2,0)</f>
        <v>Classic</v>
      </c>
      <c r="D220" s="3">
        <v>1</v>
      </c>
      <c r="E220" s="3" t="str">
        <f>VLOOKUP(D220,EpisodeFormats!$A$3:$B$999,2,0)</f>
        <v>Series</v>
      </c>
      <c r="F220" s="3">
        <v>2</v>
      </c>
      <c r="G220" s="3" t="str">
        <f>VLOOKUP(F220,Doctors!$A$3:$B$999,2,0)</f>
        <v>Patrick Troughton</v>
      </c>
      <c r="H220" s="3">
        <v>6</v>
      </c>
      <c r="I220" s="3">
        <v>1</v>
      </c>
      <c r="J220" s="3" t="str">
        <f>VLOOKUP(I220,SeasonFormats!$A$3:$B$999,2,0)</f>
        <v>Season</v>
      </c>
      <c r="K220" s="3">
        <v>45</v>
      </c>
      <c r="L220" s="3">
        <v>2</v>
      </c>
      <c r="M220" s="3" t="s">
        <v>396</v>
      </c>
      <c r="N220" s="3">
        <v>4</v>
      </c>
      <c r="O220" s="3" t="s">
        <v>363</v>
      </c>
      <c r="P220" s="3">
        <v>9</v>
      </c>
      <c r="Q220" s="7" t="d">
        <v>1968-10-05</v>
      </c>
      <c r="R220" s="3">
        <v>19</v>
      </c>
      <c r="S220" s="3"/>
      <c r="T220" s="4" t="s">
        <v>1125</v>
      </c>
      <c r="U220" s="3" t="str" cm="1">
        <f t="array" ref="U220">_xlfn.TEXTJOIN(",",TRUE,_xlfn.XLOOKUP(_xlfn.FILTERXML("&lt;t&gt;&lt;s&gt;" &amp; SUBSTITUTE(T220,",","&lt;/s&gt;&lt;s&gt;") &amp; "&lt;/s&gt;&lt;/t&gt;", "//s"),Writers!$A$3:$A$999,Writers!$B$3:$B$999,""))</f>
        <v>Peter Ling</v>
      </c>
      <c r="V220" s="3"/>
      <c r="W220" s="3" t="str">
        <f>IF(V220="","",_xlfn.XLOOKUP(V220,Writers!$A$3:$A$999,Writers!$B$3:$B$999,""))</f>
        <v/>
      </c>
      <c r="X220" s="3">
        <v>7.3</v>
      </c>
      <c r="Y220" s="3"/>
      <c r="Z220" s="3"/>
      <c r="AA220" s="3">
        <f t="shared" si="9"/>
        <v>9.0299999999999994</v>
      </c>
      <c r="AB220" s="3" t="str">
        <f t="shared" si="10"/>
        <v/>
      </c>
      <c r="AC220" s="3" t="str">
        <f t="shared" si="11"/>
        <v/>
      </c>
      <c r="AD220" s="3">
        <f>VLOOKUP(YEAR(Q220),Populations!$A$3:$B$999,2,0)</f>
        <v>55213500</v>
      </c>
      <c r="AE220" s="3">
        <f>(Calculations!B1/AD220)</f>
        <v>1.2371056353971399</v>
      </c>
      <c r="AF220" s="3"/>
      <c r="AG220" s="3">
        <v>1</v>
      </c>
      <c r="AH220" s="3" t="str">
        <f>VLOOKUP(AG220,WikiFormats!$A$3:$B$999,2,0)</f>
        <v>Story</v>
      </c>
      <c r="AI220" s="3" t="s">
        <v>621</v>
      </c>
    </row>
    <row r="221" spans="1:35" s="8" customFormat="1" x14ac:dyDescent="0.55000000000000004">
      <c r="A221" s="3">
        <v>219</v>
      </c>
      <c r="B221" s="3">
        <v>1</v>
      </c>
      <c r="C221" s="3" t="str">
        <f>VLOOKUP(B221,Eras!$A$3:$B$999,2,0)</f>
        <v>Classic</v>
      </c>
      <c r="D221" s="3">
        <v>1</v>
      </c>
      <c r="E221" s="3" t="str">
        <f>VLOOKUP(D221,EpisodeFormats!$A$3:$B$999,2,0)</f>
        <v>Series</v>
      </c>
      <c r="F221" s="3">
        <v>2</v>
      </c>
      <c r="G221" s="3" t="str">
        <f>VLOOKUP(F221,Doctors!$A$3:$B$999,2,0)</f>
        <v>Patrick Troughton</v>
      </c>
      <c r="H221" s="3">
        <v>6</v>
      </c>
      <c r="I221" s="3">
        <v>1</v>
      </c>
      <c r="J221" s="3" t="str">
        <f>VLOOKUP(I221,SeasonFormats!$A$3:$B$999,2,0)</f>
        <v>Season</v>
      </c>
      <c r="K221" s="3">
        <v>45</v>
      </c>
      <c r="L221" s="3">
        <v>2</v>
      </c>
      <c r="M221" s="3" t="s">
        <v>396</v>
      </c>
      <c r="N221" s="3">
        <v>5</v>
      </c>
      <c r="O221" s="3" t="s">
        <v>379</v>
      </c>
      <c r="P221" s="3">
        <v>10</v>
      </c>
      <c r="Q221" s="7" t="d">
        <v>1968-10-12</v>
      </c>
      <c r="R221" s="3">
        <v>18</v>
      </c>
      <c r="S221" s="3"/>
      <c r="T221" s="4" t="s">
        <v>1125</v>
      </c>
      <c r="U221" s="3" t="str" cm="1">
        <f t="array" ref="U221">_xlfn.TEXTJOIN(",",TRUE,_xlfn.XLOOKUP(_xlfn.FILTERXML("&lt;t&gt;&lt;s&gt;" &amp; SUBSTITUTE(T221,",","&lt;/s&gt;&lt;s&gt;") &amp; "&lt;/s&gt;&lt;/t&gt;", "//s"),Writers!$A$3:$A$999,Writers!$B$3:$B$999,""))</f>
        <v>Peter Ling</v>
      </c>
      <c r="V221" s="3"/>
      <c r="W221" s="3" t="str">
        <f>IF(V221="","",_xlfn.XLOOKUP(V221,Writers!$A$3:$A$999,Writers!$B$3:$B$999,""))</f>
        <v/>
      </c>
      <c r="X221" s="3">
        <v>6.7</v>
      </c>
      <c r="Y221" s="3"/>
      <c r="Z221" s="3"/>
      <c r="AA221" s="3">
        <f t="shared" si="9"/>
        <v>8.2899999999999991</v>
      </c>
      <c r="AB221" s="3" t="str">
        <f t="shared" si="10"/>
        <v/>
      </c>
      <c r="AC221" s="3" t="str">
        <f t="shared" si="11"/>
        <v/>
      </c>
      <c r="AD221" s="3">
        <f>VLOOKUP(YEAR(Q221),Populations!$A$3:$B$999,2,0)</f>
        <v>55213500</v>
      </c>
      <c r="AE221" s="3">
        <f>(Calculations!B1/AD221)</f>
        <v>1.2371056353971399</v>
      </c>
      <c r="AF221" s="3"/>
      <c r="AG221" s="3">
        <v>1</v>
      </c>
      <c r="AH221" s="3" t="str">
        <f>VLOOKUP(AG221,WikiFormats!$A$3:$B$999,2,0)</f>
        <v>Story</v>
      </c>
      <c r="AI221" s="3" t="s">
        <v>621</v>
      </c>
    </row>
    <row r="222" spans="1:35" s="2" customFormat="1" x14ac:dyDescent="0.55000000000000004">
      <c r="A222">
        <v>220</v>
      </c>
      <c r="B222">
        <v>1</v>
      </c>
      <c r="C222" t="str">
        <f>VLOOKUP(B222,Eras!$A$3:$B$999,2,0)</f>
        <v>Classic</v>
      </c>
      <c r="D222">
        <v>1</v>
      </c>
      <c r="E222" t="str">
        <f>VLOOKUP(D222,EpisodeFormats!$A$3:$B$999,2,0)</f>
        <v>Series</v>
      </c>
      <c r="F222">
        <v>2</v>
      </c>
      <c r="G222" t="str">
        <f>VLOOKUP(F222,Doctors!$A$3:$B$999,2,0)</f>
        <v>Patrick Troughton</v>
      </c>
      <c r="H222">
        <v>6</v>
      </c>
      <c r="I222">
        <v>1</v>
      </c>
      <c r="J222" t="str">
        <f>VLOOKUP(I222,SeasonFormats!$A$3:$B$999,2,0)</f>
        <v>Season</v>
      </c>
      <c r="K222">
        <v>46</v>
      </c>
      <c r="L222">
        <v>3</v>
      </c>
      <c r="M222" t="s">
        <v>397</v>
      </c>
      <c r="N222">
        <v>1</v>
      </c>
      <c r="O222" t="s">
        <v>373</v>
      </c>
      <c r="P222">
        <v>11</v>
      </c>
      <c r="Q222" s="6" t="d">
        <v>1968-11-02</v>
      </c>
      <c r="R222">
        <v>24</v>
      </c>
      <c r="S222">
        <v>1</v>
      </c>
      <c r="T222" s="15" t="s">
        <v>1157</v>
      </c>
      <c r="U222" t="str" cm="1">
        <f t="array" ref="U222">_xlfn.TEXTJOIN(",",TRUE,_xlfn.XLOOKUP(_xlfn.FILTERXML("&lt;t&gt;&lt;s&gt;" &amp; SUBSTITUTE(T222,",","&lt;/s&gt;&lt;s&gt;") &amp; "&lt;/s&gt;&lt;/t&gt;", "//s"),Writers!$A$3:$A$999,Writers!$B$3:$B$999,""))</f>
        <v>Derrick Sherwin</v>
      </c>
      <c r="V222"/>
      <c r="W222" t="str">
        <f>IF(V222="","",_xlfn.XLOOKUP(V222,Writers!$A$3:$A$999,Writers!$B$3:$B$999,""))</f>
        <v/>
      </c>
      <c r="X222">
        <v>7.3</v>
      </c>
      <c r="Y222"/>
      <c r="Z222"/>
      <c r="AA222">
        <f t="shared" si="9"/>
        <v>9.0299999999999994</v>
      </c>
      <c r="AB222" t="str">
        <f t="shared" si="10"/>
        <v/>
      </c>
      <c r="AC222" t="str">
        <f t="shared" si="11"/>
        <v/>
      </c>
      <c r="AD222">
        <f>VLOOKUP(YEAR(Q222),Populations!$A$3:$B$999,2,0)</f>
        <v>55213500</v>
      </c>
      <c r="AE222">
        <f>(Calculations!B1/AD222)</f>
        <v>1.2371056353971399</v>
      </c>
      <c r="AF222"/>
      <c r="AG222">
        <v>1</v>
      </c>
      <c r="AH222" t="str">
        <f>VLOOKUP(AG222,WikiFormats!$A$3:$B$999,2,0)</f>
        <v>Story</v>
      </c>
      <c r="AI222" t="s">
        <v>622</v>
      </c>
    </row>
    <row r="223" spans="1:35" s="2" customFormat="1" x14ac:dyDescent="0.55000000000000004">
      <c r="A223">
        <v>221</v>
      </c>
      <c r="B223">
        <v>1</v>
      </c>
      <c r="C223" t="str">
        <f>VLOOKUP(B223,Eras!$A$3:$B$999,2,0)</f>
        <v>Classic</v>
      </c>
      <c r="D223">
        <v>1</v>
      </c>
      <c r="E223" t="str">
        <f>VLOOKUP(D223,EpisodeFormats!$A$3:$B$999,2,0)</f>
        <v>Series</v>
      </c>
      <c r="F223">
        <v>2</v>
      </c>
      <c r="G223" t="str">
        <f>VLOOKUP(F223,Doctors!$A$3:$B$999,2,0)</f>
        <v>Patrick Troughton</v>
      </c>
      <c r="H223">
        <v>6</v>
      </c>
      <c r="I223">
        <v>1</v>
      </c>
      <c r="J223" t="str">
        <f>VLOOKUP(I223,SeasonFormats!$A$3:$B$999,2,0)</f>
        <v>Season</v>
      </c>
      <c r="K223">
        <v>46</v>
      </c>
      <c r="L223">
        <v>3</v>
      </c>
      <c r="M223" t="s">
        <v>397</v>
      </c>
      <c r="N223">
        <v>2</v>
      </c>
      <c r="O223" t="s">
        <v>374</v>
      </c>
      <c r="P223">
        <v>12</v>
      </c>
      <c r="Q223" s="6" t="d">
        <v>1968-11-09</v>
      </c>
      <c r="R223">
        <v>24</v>
      </c>
      <c r="S223"/>
      <c r="T223" s="15" t="s">
        <v>1157</v>
      </c>
      <c r="U223" t="str" cm="1">
        <f t="array" ref="U223">_xlfn.TEXTJOIN(",",TRUE,_xlfn.XLOOKUP(_xlfn.FILTERXML("&lt;t&gt;&lt;s&gt;" &amp; SUBSTITUTE(T223,",","&lt;/s&gt;&lt;s&gt;") &amp; "&lt;/s&gt;&lt;/t&gt;", "//s"),Writers!$A$3:$A$999,Writers!$B$3:$B$999,""))</f>
        <v>Derrick Sherwin</v>
      </c>
      <c r="V223"/>
      <c r="W223" t="str">
        <f>IF(V223="","",_xlfn.XLOOKUP(V223,Writers!$A$3:$A$999,Writers!$B$3:$B$999,""))</f>
        <v/>
      </c>
      <c r="X223">
        <v>7.1</v>
      </c>
      <c r="Y223"/>
      <c r="Z223"/>
      <c r="AA223">
        <f t="shared" si="9"/>
        <v>8.7799999999999994</v>
      </c>
      <c r="AB223" t="str">
        <f t="shared" si="10"/>
        <v/>
      </c>
      <c r="AC223" t="str">
        <f t="shared" si="11"/>
        <v/>
      </c>
      <c r="AD223">
        <f>VLOOKUP(YEAR(Q223),Populations!$A$3:$B$999,2,0)</f>
        <v>55213500</v>
      </c>
      <c r="AE223">
        <f>(Calculations!B1/AD223)</f>
        <v>1.2371056353971399</v>
      </c>
      <c r="AF223"/>
      <c r="AG223">
        <v>1</v>
      </c>
      <c r="AH223" t="str">
        <f>VLOOKUP(AG223,WikiFormats!$A$3:$B$999,2,0)</f>
        <v>Story</v>
      </c>
      <c r="AI223" t="s">
        <v>622</v>
      </c>
    </row>
    <row r="224" spans="1:35" s="2" customFormat="1" x14ac:dyDescent="0.55000000000000004">
      <c r="A224">
        <v>222</v>
      </c>
      <c r="B224">
        <v>1</v>
      </c>
      <c r="C224" t="str">
        <f>VLOOKUP(B224,Eras!$A$3:$B$999,2,0)</f>
        <v>Classic</v>
      </c>
      <c r="D224">
        <v>1</v>
      </c>
      <c r="E224" t="str">
        <f>VLOOKUP(D224,EpisodeFormats!$A$3:$B$999,2,0)</f>
        <v>Series</v>
      </c>
      <c r="F224">
        <v>2</v>
      </c>
      <c r="G224" t="str">
        <f>VLOOKUP(F224,Doctors!$A$3:$B$999,2,0)</f>
        <v>Patrick Troughton</v>
      </c>
      <c r="H224">
        <v>6</v>
      </c>
      <c r="I224">
        <v>1</v>
      </c>
      <c r="J224" t="str">
        <f>VLOOKUP(I224,SeasonFormats!$A$3:$B$999,2,0)</f>
        <v>Season</v>
      </c>
      <c r="K224">
        <v>46</v>
      </c>
      <c r="L224">
        <v>3</v>
      </c>
      <c r="M224" t="s">
        <v>397</v>
      </c>
      <c r="N224">
        <v>3</v>
      </c>
      <c r="O224" t="s">
        <v>375</v>
      </c>
      <c r="P224">
        <v>13</v>
      </c>
      <c r="Q224" s="6" t="d">
        <v>1968-11-16</v>
      </c>
      <c r="R224">
        <v>24</v>
      </c>
      <c r="S224"/>
      <c r="T224" s="15" t="s">
        <v>1157</v>
      </c>
      <c r="U224" t="str" cm="1">
        <f t="array" ref="U224">_xlfn.TEXTJOIN(",",TRUE,_xlfn.XLOOKUP(_xlfn.FILTERXML("&lt;t&gt;&lt;s&gt;" &amp; SUBSTITUTE(T224,",","&lt;/s&gt;&lt;s&gt;") &amp; "&lt;/s&gt;&lt;/t&gt;", "//s"),Writers!$A$3:$A$999,Writers!$B$3:$B$999,""))</f>
        <v>Derrick Sherwin</v>
      </c>
      <c r="V224"/>
      <c r="W224" t="str">
        <f>IF(V224="","",_xlfn.XLOOKUP(V224,Writers!$A$3:$A$999,Writers!$B$3:$B$999,""))</f>
        <v/>
      </c>
      <c r="X224">
        <v>7.1</v>
      </c>
      <c r="Y224"/>
      <c r="Z224"/>
      <c r="AA224">
        <f t="shared" si="9"/>
        <v>8.7799999999999994</v>
      </c>
      <c r="AB224" t="str">
        <f t="shared" si="10"/>
        <v/>
      </c>
      <c r="AC224" t="str">
        <f t="shared" si="11"/>
        <v/>
      </c>
      <c r="AD224">
        <f>VLOOKUP(YEAR(Q224),Populations!$A$3:$B$999,2,0)</f>
        <v>55213500</v>
      </c>
      <c r="AE224">
        <f>(Calculations!B1/AD224)</f>
        <v>1.2371056353971399</v>
      </c>
      <c r="AF224"/>
      <c r="AG224">
        <v>1</v>
      </c>
      <c r="AH224" t="str">
        <f>VLOOKUP(AG224,WikiFormats!$A$3:$B$999,2,0)</f>
        <v>Story</v>
      </c>
      <c r="AI224" t="s">
        <v>622</v>
      </c>
    </row>
    <row r="225" spans="1:35" s="2" customFormat="1" x14ac:dyDescent="0.55000000000000004">
      <c r="A225">
        <v>223</v>
      </c>
      <c r="B225">
        <v>1</v>
      </c>
      <c r="C225" t="str">
        <f>VLOOKUP(B225,Eras!$A$3:$B$999,2,0)</f>
        <v>Classic</v>
      </c>
      <c r="D225">
        <v>1</v>
      </c>
      <c r="E225" t="str">
        <f>VLOOKUP(D225,EpisodeFormats!$A$3:$B$999,2,0)</f>
        <v>Series</v>
      </c>
      <c r="F225">
        <v>2</v>
      </c>
      <c r="G225" t="str">
        <f>VLOOKUP(F225,Doctors!$A$3:$B$999,2,0)</f>
        <v>Patrick Troughton</v>
      </c>
      <c r="H225">
        <v>6</v>
      </c>
      <c r="I225">
        <v>1</v>
      </c>
      <c r="J225" t="str">
        <f>VLOOKUP(I225,SeasonFormats!$A$3:$B$999,2,0)</f>
        <v>Season</v>
      </c>
      <c r="K225">
        <v>46</v>
      </c>
      <c r="L225">
        <v>3</v>
      </c>
      <c r="M225" t="s">
        <v>397</v>
      </c>
      <c r="N225">
        <v>4</v>
      </c>
      <c r="O225" t="s">
        <v>376</v>
      </c>
      <c r="P225">
        <v>14</v>
      </c>
      <c r="Q225" s="6" t="d">
        <v>1968-11-23</v>
      </c>
      <c r="R225">
        <v>23</v>
      </c>
      <c r="S225">
        <v>1</v>
      </c>
      <c r="T225" s="15" t="s">
        <v>1157</v>
      </c>
      <c r="U225" t="str" cm="1">
        <f t="array" ref="U225">_xlfn.TEXTJOIN(",",TRUE,_xlfn.XLOOKUP(_xlfn.FILTERXML("&lt;t&gt;&lt;s&gt;" &amp; SUBSTITUTE(T225,",","&lt;/s&gt;&lt;s&gt;") &amp; "&lt;/s&gt;&lt;/t&gt;", "//s"),Writers!$A$3:$A$999,Writers!$B$3:$B$999,""))</f>
        <v>Derrick Sherwin</v>
      </c>
      <c r="V225"/>
      <c r="W225" t="str">
        <f>IF(V225="","",_xlfn.XLOOKUP(V225,Writers!$A$3:$A$999,Writers!$B$3:$B$999,""))</f>
        <v/>
      </c>
      <c r="X225">
        <v>6.4</v>
      </c>
      <c r="Y225"/>
      <c r="Z225"/>
      <c r="AA225">
        <f t="shared" si="9"/>
        <v>7.92</v>
      </c>
      <c r="AB225" t="str">
        <f t="shared" si="10"/>
        <v/>
      </c>
      <c r="AC225" t="str">
        <f t="shared" si="11"/>
        <v/>
      </c>
      <c r="AD225">
        <f>VLOOKUP(YEAR(Q225),Populations!$A$3:$B$999,2,0)</f>
        <v>55213500</v>
      </c>
      <c r="AE225">
        <f>(Calculations!B1/AD225)</f>
        <v>1.2371056353971399</v>
      </c>
      <c r="AF225"/>
      <c r="AG225">
        <v>1</v>
      </c>
      <c r="AH225" t="str">
        <f>VLOOKUP(AG225,WikiFormats!$A$3:$B$999,2,0)</f>
        <v>Story</v>
      </c>
      <c r="AI225" t="s">
        <v>622</v>
      </c>
    </row>
    <row r="226" spans="1:35" s="2" customFormat="1" x14ac:dyDescent="0.55000000000000004">
      <c r="A226">
        <v>224</v>
      </c>
      <c r="B226">
        <v>1</v>
      </c>
      <c r="C226" t="str">
        <f>VLOOKUP(B226,Eras!$A$3:$B$999,2,0)</f>
        <v>Classic</v>
      </c>
      <c r="D226">
        <v>1</v>
      </c>
      <c r="E226" t="str">
        <f>VLOOKUP(D226,EpisodeFormats!$A$3:$B$999,2,0)</f>
        <v>Series</v>
      </c>
      <c r="F226">
        <v>2</v>
      </c>
      <c r="G226" t="str">
        <f>VLOOKUP(F226,Doctors!$A$3:$B$999,2,0)</f>
        <v>Patrick Troughton</v>
      </c>
      <c r="H226">
        <v>6</v>
      </c>
      <c r="I226">
        <v>1</v>
      </c>
      <c r="J226" t="str">
        <f>VLOOKUP(I226,SeasonFormats!$A$3:$B$999,2,0)</f>
        <v>Season</v>
      </c>
      <c r="K226">
        <v>46</v>
      </c>
      <c r="L226">
        <v>3</v>
      </c>
      <c r="M226" t="s">
        <v>397</v>
      </c>
      <c r="N226">
        <v>5</v>
      </c>
      <c r="O226" t="s">
        <v>377</v>
      </c>
      <c r="P226">
        <v>15</v>
      </c>
      <c r="Q226" s="6" t="d">
        <v>1968-11-30</v>
      </c>
      <c r="R226">
        <v>23</v>
      </c>
      <c r="S226"/>
      <c r="T226" s="15" t="s">
        <v>1157</v>
      </c>
      <c r="U226" t="str" cm="1">
        <f t="array" ref="U226">_xlfn.TEXTJOIN(",",TRUE,_xlfn.XLOOKUP(_xlfn.FILTERXML("&lt;t&gt;&lt;s&gt;" &amp; SUBSTITUTE(T226,",","&lt;/s&gt;&lt;s&gt;") &amp; "&lt;/s&gt;&lt;/t&gt;", "//s"),Writers!$A$3:$A$999,Writers!$B$3:$B$999,""))</f>
        <v>Derrick Sherwin</v>
      </c>
      <c r="V226"/>
      <c r="W226" t="str">
        <f>IF(V226="","",_xlfn.XLOOKUP(V226,Writers!$A$3:$A$999,Writers!$B$3:$B$999,""))</f>
        <v/>
      </c>
      <c r="X226">
        <v>6.7</v>
      </c>
      <c r="Y226"/>
      <c r="Z226"/>
      <c r="AA226">
        <f t="shared" si="9"/>
        <v>8.2899999999999991</v>
      </c>
      <c r="AB226" t="str">
        <f t="shared" si="10"/>
        <v/>
      </c>
      <c r="AC226" t="str">
        <f t="shared" si="11"/>
        <v/>
      </c>
      <c r="AD226">
        <f>VLOOKUP(YEAR(Q226),Populations!$A$3:$B$999,2,0)</f>
        <v>55213500</v>
      </c>
      <c r="AE226">
        <f>(Calculations!B1/AD226)</f>
        <v>1.2371056353971399</v>
      </c>
      <c r="AF226"/>
      <c r="AG226">
        <v>1</v>
      </c>
      <c r="AH226" t="str">
        <f>VLOOKUP(AG226,WikiFormats!$A$3:$B$999,2,0)</f>
        <v>Story</v>
      </c>
      <c r="AI226" t="s">
        <v>622</v>
      </c>
    </row>
    <row r="227" spans="1:35" s="2" customFormat="1" x14ac:dyDescent="0.55000000000000004">
      <c r="A227">
        <v>225</v>
      </c>
      <c r="B227">
        <v>1</v>
      </c>
      <c r="C227" t="str">
        <f>VLOOKUP(B227,Eras!$A$3:$B$999,2,0)</f>
        <v>Classic</v>
      </c>
      <c r="D227">
        <v>1</v>
      </c>
      <c r="E227" t="str">
        <f>VLOOKUP(D227,EpisodeFormats!$A$3:$B$999,2,0)</f>
        <v>Series</v>
      </c>
      <c r="F227">
        <v>2</v>
      </c>
      <c r="G227" t="str">
        <f>VLOOKUP(F227,Doctors!$A$3:$B$999,2,0)</f>
        <v>Patrick Troughton</v>
      </c>
      <c r="H227">
        <v>6</v>
      </c>
      <c r="I227">
        <v>1</v>
      </c>
      <c r="J227" t="str">
        <f>VLOOKUP(I227,SeasonFormats!$A$3:$B$999,2,0)</f>
        <v>Season</v>
      </c>
      <c r="K227">
        <v>46</v>
      </c>
      <c r="L227">
        <v>3</v>
      </c>
      <c r="M227" t="s">
        <v>397</v>
      </c>
      <c r="N227">
        <v>6</v>
      </c>
      <c r="O227" t="s">
        <v>378</v>
      </c>
      <c r="P227">
        <v>16</v>
      </c>
      <c r="Q227" s="6" t="d">
        <v>1968-12-07</v>
      </c>
      <c r="R227">
        <v>23</v>
      </c>
      <c r="S227"/>
      <c r="T227" s="15" t="s">
        <v>1157</v>
      </c>
      <c r="U227" t="str" cm="1">
        <f t="array" ref="U227">_xlfn.TEXTJOIN(",",TRUE,_xlfn.XLOOKUP(_xlfn.FILTERXML("&lt;t&gt;&lt;s&gt;" &amp; SUBSTITUTE(T227,",","&lt;/s&gt;&lt;s&gt;") &amp; "&lt;/s&gt;&lt;/t&gt;", "//s"),Writers!$A$3:$A$999,Writers!$B$3:$B$999,""))</f>
        <v>Derrick Sherwin</v>
      </c>
      <c r="V227"/>
      <c r="W227" t="str">
        <f>IF(V227="","",_xlfn.XLOOKUP(V227,Writers!$A$3:$A$999,Writers!$B$3:$B$999,""))</f>
        <v/>
      </c>
      <c r="X227">
        <v>6.5</v>
      </c>
      <c r="Y227"/>
      <c r="Z227"/>
      <c r="AA227">
        <f t="shared" si="9"/>
        <v>8.0399999999999991</v>
      </c>
      <c r="AB227" t="str">
        <f t="shared" si="10"/>
        <v/>
      </c>
      <c r="AC227" t="str">
        <f t="shared" si="11"/>
        <v/>
      </c>
      <c r="AD227">
        <f>VLOOKUP(YEAR(Q227),Populations!$A$3:$B$999,2,0)</f>
        <v>55213500</v>
      </c>
      <c r="AE227">
        <f>(Calculations!B1/AD227)</f>
        <v>1.2371056353971399</v>
      </c>
      <c r="AF227"/>
      <c r="AG227">
        <v>1</v>
      </c>
      <c r="AH227" t="str">
        <f>VLOOKUP(AG227,WikiFormats!$A$3:$B$999,2,0)</f>
        <v>Story</v>
      </c>
      <c r="AI227" t="s">
        <v>622</v>
      </c>
    </row>
    <row r="228" spans="1:35" s="2" customFormat="1" x14ac:dyDescent="0.55000000000000004">
      <c r="A228">
        <v>226</v>
      </c>
      <c r="B228">
        <v>1</v>
      </c>
      <c r="C228" t="str">
        <f>VLOOKUP(B228,Eras!$A$3:$B$999,2,0)</f>
        <v>Classic</v>
      </c>
      <c r="D228">
        <v>1</v>
      </c>
      <c r="E228" t="str">
        <f>VLOOKUP(D228,EpisodeFormats!$A$3:$B$999,2,0)</f>
        <v>Series</v>
      </c>
      <c r="F228">
        <v>2</v>
      </c>
      <c r="G228" t="str">
        <f>VLOOKUP(F228,Doctors!$A$3:$B$999,2,0)</f>
        <v>Patrick Troughton</v>
      </c>
      <c r="H228">
        <v>6</v>
      </c>
      <c r="I228">
        <v>1</v>
      </c>
      <c r="J228" t="str">
        <f>VLOOKUP(I228,SeasonFormats!$A$3:$B$999,2,0)</f>
        <v>Season</v>
      </c>
      <c r="K228">
        <v>46</v>
      </c>
      <c r="L228">
        <v>3</v>
      </c>
      <c r="M228" t="s">
        <v>397</v>
      </c>
      <c r="N228">
        <v>7</v>
      </c>
      <c r="O228" t="s">
        <v>402</v>
      </c>
      <c r="P228">
        <v>17</v>
      </c>
      <c r="Q228" s="6" t="d">
        <v>1968-12-14</v>
      </c>
      <c r="R228">
        <v>25</v>
      </c>
      <c r="S228"/>
      <c r="T228" s="15" t="s">
        <v>1157</v>
      </c>
      <c r="U228" t="str" cm="1">
        <f t="array" ref="U228">_xlfn.TEXTJOIN(",",TRUE,_xlfn.XLOOKUP(_xlfn.FILTERXML("&lt;t&gt;&lt;s&gt;" &amp; SUBSTITUTE(T228,",","&lt;/s&gt;&lt;s&gt;") &amp; "&lt;/s&gt;&lt;/t&gt;", "//s"),Writers!$A$3:$A$999,Writers!$B$3:$B$999,""))</f>
        <v>Derrick Sherwin</v>
      </c>
      <c r="V228"/>
      <c r="W228" t="str">
        <f>IF(V228="","",_xlfn.XLOOKUP(V228,Writers!$A$3:$A$999,Writers!$B$3:$B$999,""))</f>
        <v/>
      </c>
      <c r="X228">
        <v>7.2</v>
      </c>
      <c r="Y228"/>
      <c r="Z228"/>
      <c r="AA228">
        <f t="shared" si="9"/>
        <v>8.91</v>
      </c>
      <c r="AB228" t="str">
        <f t="shared" si="10"/>
        <v/>
      </c>
      <c r="AC228" t="str">
        <f t="shared" si="11"/>
        <v/>
      </c>
      <c r="AD228">
        <f>VLOOKUP(YEAR(Q228),Populations!$A$3:$B$999,2,0)</f>
        <v>55213500</v>
      </c>
      <c r="AE228">
        <f>(Calculations!B1/AD228)</f>
        <v>1.2371056353971399</v>
      </c>
      <c r="AF228"/>
      <c r="AG228">
        <v>1</v>
      </c>
      <c r="AH228" t="str">
        <f>VLOOKUP(AG228,WikiFormats!$A$3:$B$999,2,0)</f>
        <v>Story</v>
      </c>
      <c r="AI228" t="s">
        <v>622</v>
      </c>
    </row>
    <row r="229" spans="1:35" s="2" customFormat="1" x14ac:dyDescent="0.55000000000000004">
      <c r="A229">
        <v>227</v>
      </c>
      <c r="B229">
        <v>1</v>
      </c>
      <c r="C229" t="str">
        <f>VLOOKUP(B229,Eras!$A$3:$B$999,2,0)</f>
        <v>Classic</v>
      </c>
      <c r="D229">
        <v>1</v>
      </c>
      <c r="E229" t="str">
        <f>VLOOKUP(D229,EpisodeFormats!$A$3:$B$999,2,0)</f>
        <v>Series</v>
      </c>
      <c r="F229">
        <v>2</v>
      </c>
      <c r="G229" t="str">
        <f>VLOOKUP(F229,Doctors!$A$3:$B$999,2,0)</f>
        <v>Patrick Troughton</v>
      </c>
      <c r="H229">
        <v>6</v>
      </c>
      <c r="I229">
        <v>1</v>
      </c>
      <c r="J229" t="str">
        <f>VLOOKUP(I229,SeasonFormats!$A$3:$B$999,2,0)</f>
        <v>Season</v>
      </c>
      <c r="K229">
        <v>46</v>
      </c>
      <c r="L229">
        <v>3</v>
      </c>
      <c r="M229" t="s">
        <v>397</v>
      </c>
      <c r="N229">
        <v>8</v>
      </c>
      <c r="O229" t="s">
        <v>403</v>
      </c>
      <c r="P229">
        <v>18</v>
      </c>
      <c r="Q229" s="6" t="d">
        <v>1968-12-21</v>
      </c>
      <c r="R229">
        <v>24</v>
      </c>
      <c r="S229"/>
      <c r="T229" s="15" t="s">
        <v>1157</v>
      </c>
      <c r="U229" t="str" cm="1">
        <f t="array" ref="U229">_xlfn.TEXTJOIN(",",TRUE,_xlfn.XLOOKUP(_xlfn.FILTERXML("&lt;t&gt;&lt;s&gt;" &amp; SUBSTITUTE(T229,",","&lt;/s&gt;&lt;s&gt;") &amp; "&lt;/s&gt;&lt;/t&gt;", "//s"),Writers!$A$3:$A$999,Writers!$B$3:$B$999,""))</f>
        <v>Derrick Sherwin</v>
      </c>
      <c r="V229"/>
      <c r="W229" t="str">
        <f>IF(V229="","",_xlfn.XLOOKUP(V229,Writers!$A$3:$A$999,Writers!$B$3:$B$999,""))</f>
        <v/>
      </c>
      <c r="X229">
        <v>7</v>
      </c>
      <c r="Y229"/>
      <c r="Z229"/>
      <c r="AA229">
        <f t="shared" si="9"/>
        <v>8.66</v>
      </c>
      <c r="AB229" t="str">
        <f t="shared" si="10"/>
        <v/>
      </c>
      <c r="AC229" t="str">
        <f t="shared" si="11"/>
        <v/>
      </c>
      <c r="AD229">
        <f>VLOOKUP(YEAR(Q229),Populations!$A$3:$B$999,2,0)</f>
        <v>55213500</v>
      </c>
      <c r="AE229">
        <f>(Calculations!B1/AD229)</f>
        <v>1.2371056353971399</v>
      </c>
      <c r="AF229"/>
      <c r="AG229">
        <v>1</v>
      </c>
      <c r="AH229" t="str">
        <f>VLOOKUP(AG229,WikiFormats!$A$3:$B$999,2,0)</f>
        <v>Story</v>
      </c>
      <c r="AI229" t="s">
        <v>622</v>
      </c>
    </row>
    <row r="230" spans="1:35" s="8" customFormat="1" x14ac:dyDescent="0.55000000000000004">
      <c r="A230" s="3">
        <v>228</v>
      </c>
      <c r="B230" s="3">
        <v>1</v>
      </c>
      <c r="C230" s="3" t="str">
        <f>VLOOKUP(B230,Eras!$A$3:$B$999,2,0)</f>
        <v>Classic</v>
      </c>
      <c r="D230" s="3">
        <v>1</v>
      </c>
      <c r="E230" s="3" t="str">
        <f>VLOOKUP(D230,EpisodeFormats!$A$3:$B$999,2,0)</f>
        <v>Series</v>
      </c>
      <c r="F230" s="3">
        <v>2</v>
      </c>
      <c r="G230" s="3" t="str">
        <f>VLOOKUP(F230,Doctors!$A$3:$B$999,2,0)</f>
        <v>Patrick Troughton</v>
      </c>
      <c r="H230" s="3">
        <v>6</v>
      </c>
      <c r="I230" s="3">
        <v>1</v>
      </c>
      <c r="J230" s="3" t="str">
        <f>VLOOKUP(I230,SeasonFormats!$A$3:$B$999,2,0)</f>
        <v>Season</v>
      </c>
      <c r="K230" s="3">
        <v>47</v>
      </c>
      <c r="L230" s="3">
        <v>4</v>
      </c>
      <c r="M230" s="3" t="s">
        <v>398</v>
      </c>
      <c r="N230" s="3">
        <v>1</v>
      </c>
      <c r="O230" s="3" t="s">
        <v>373</v>
      </c>
      <c r="P230" s="3">
        <v>19</v>
      </c>
      <c r="Q230" s="7" t="d">
        <v>1968-12-28</v>
      </c>
      <c r="R230" s="3">
        <v>23</v>
      </c>
      <c r="S230" s="3"/>
      <c r="T230" s="4" t="s">
        <v>1122</v>
      </c>
      <c r="U230" s="3" t="str" cm="1">
        <f t="array" ref="U230">_xlfn.TEXTJOIN(",",TRUE,_xlfn.XLOOKUP(_xlfn.FILTERXML("&lt;t&gt;&lt;s&gt;" &amp; SUBSTITUTE(T230,",","&lt;/s&gt;&lt;s&gt;") &amp; "&lt;/s&gt;&lt;/t&gt;", "//s"),Writers!$A$3:$A$999,Writers!$B$3:$B$999,""))</f>
        <v>Robert Holmes</v>
      </c>
      <c r="V230" s="3"/>
      <c r="W230" s="3" t="str">
        <f>IF(V230="","",_xlfn.XLOOKUP(V230,Writers!$A$3:$A$999,Writers!$B$3:$B$999,""))</f>
        <v/>
      </c>
      <c r="X230" s="3">
        <v>9</v>
      </c>
      <c r="Y230" s="3"/>
      <c r="Z230" s="3"/>
      <c r="AA230" s="3">
        <f t="shared" si="9"/>
        <v>11.13</v>
      </c>
      <c r="AB230" s="3" t="str">
        <f t="shared" si="10"/>
        <v/>
      </c>
      <c r="AC230" s="3" t="str">
        <f t="shared" si="11"/>
        <v/>
      </c>
      <c r="AD230" s="3">
        <f>VLOOKUP(YEAR(Q230),Populations!$A$3:$B$999,2,0)</f>
        <v>55213500</v>
      </c>
      <c r="AE230" s="3">
        <f>(Calculations!B1/AD230)</f>
        <v>1.2371056353971399</v>
      </c>
      <c r="AF230" s="3"/>
      <c r="AG230" s="3">
        <v>1</v>
      </c>
      <c r="AH230" s="3" t="str">
        <f>VLOOKUP(AG230,WikiFormats!$A$3:$B$999,2,0)</f>
        <v>Story</v>
      </c>
      <c r="AI230" s="3" t="s">
        <v>623</v>
      </c>
    </row>
    <row r="231" spans="1:35" s="8" customFormat="1" x14ac:dyDescent="0.55000000000000004">
      <c r="A231" s="3">
        <v>229</v>
      </c>
      <c r="B231" s="3">
        <v>1</v>
      </c>
      <c r="C231" s="3" t="str">
        <f>VLOOKUP(B231,Eras!$A$3:$B$999,2,0)</f>
        <v>Classic</v>
      </c>
      <c r="D231" s="3">
        <v>1</v>
      </c>
      <c r="E231" s="3" t="str">
        <f>VLOOKUP(D231,EpisodeFormats!$A$3:$B$999,2,0)</f>
        <v>Series</v>
      </c>
      <c r="F231" s="3">
        <v>2</v>
      </c>
      <c r="G231" s="3" t="str">
        <f>VLOOKUP(F231,Doctors!$A$3:$B$999,2,0)</f>
        <v>Patrick Troughton</v>
      </c>
      <c r="H231" s="3">
        <v>6</v>
      </c>
      <c r="I231" s="3">
        <v>1</v>
      </c>
      <c r="J231" s="3" t="str">
        <f>VLOOKUP(I231,SeasonFormats!$A$3:$B$999,2,0)</f>
        <v>Season</v>
      </c>
      <c r="K231" s="3">
        <v>47</v>
      </c>
      <c r="L231" s="3">
        <v>4</v>
      </c>
      <c r="M231" s="3" t="s">
        <v>398</v>
      </c>
      <c r="N231" s="3">
        <v>2</v>
      </c>
      <c r="O231" s="3" t="s">
        <v>374</v>
      </c>
      <c r="P231" s="3">
        <v>20</v>
      </c>
      <c r="Q231" s="7" t="d">
        <v>1969-01-04</v>
      </c>
      <c r="R231" s="3">
        <v>23</v>
      </c>
      <c r="S231" s="3"/>
      <c r="T231" s="4" t="s">
        <v>1122</v>
      </c>
      <c r="U231" s="3" t="str" cm="1">
        <f t="array" ref="U231">_xlfn.TEXTJOIN(",",TRUE,_xlfn.XLOOKUP(_xlfn.FILTERXML("&lt;t&gt;&lt;s&gt;" &amp; SUBSTITUTE(T231,",","&lt;/s&gt;&lt;s&gt;") &amp; "&lt;/s&gt;&lt;/t&gt;", "//s"),Writers!$A$3:$A$999,Writers!$B$3:$B$999,""))</f>
        <v>Robert Holmes</v>
      </c>
      <c r="V231" s="3"/>
      <c r="W231" s="3" t="str">
        <f>IF(V231="","",_xlfn.XLOOKUP(V231,Writers!$A$3:$A$999,Writers!$B$3:$B$999,""))</f>
        <v/>
      </c>
      <c r="X231" s="3">
        <v>8.4</v>
      </c>
      <c r="Y231" s="3"/>
      <c r="Z231" s="3"/>
      <c r="AA231" s="3">
        <f t="shared" si="9"/>
        <v>10.35</v>
      </c>
      <c r="AB231" s="3" t="str">
        <f t="shared" si="10"/>
        <v/>
      </c>
      <c r="AC231" s="3" t="str">
        <f t="shared" si="11"/>
        <v/>
      </c>
      <c r="AD231" s="3">
        <f>VLOOKUP(YEAR(Q231),Populations!$A$3:$B$999,2,0)</f>
        <v>55460600</v>
      </c>
      <c r="AE231" s="3">
        <f>(Calculations!B1/AD231)</f>
        <v>1.23159381615056</v>
      </c>
      <c r="AF231" s="3"/>
      <c r="AG231" s="3">
        <v>1</v>
      </c>
      <c r="AH231" s="3" t="str">
        <f>VLOOKUP(AG231,WikiFormats!$A$3:$B$999,2,0)</f>
        <v>Story</v>
      </c>
      <c r="AI231" s="3" t="s">
        <v>623</v>
      </c>
    </row>
    <row r="232" spans="1:35" s="8" customFormat="1" x14ac:dyDescent="0.55000000000000004">
      <c r="A232" s="3">
        <v>230</v>
      </c>
      <c r="B232" s="3">
        <v>1</v>
      </c>
      <c r="C232" s="3" t="str">
        <f>VLOOKUP(B232,Eras!$A$3:$B$999,2,0)</f>
        <v>Classic</v>
      </c>
      <c r="D232" s="3">
        <v>1</v>
      </c>
      <c r="E232" s="3" t="str">
        <f>VLOOKUP(D232,EpisodeFormats!$A$3:$B$999,2,0)</f>
        <v>Series</v>
      </c>
      <c r="F232" s="3">
        <v>2</v>
      </c>
      <c r="G232" s="3" t="str">
        <f>VLOOKUP(F232,Doctors!$A$3:$B$999,2,0)</f>
        <v>Patrick Troughton</v>
      </c>
      <c r="H232" s="3">
        <v>6</v>
      </c>
      <c r="I232" s="3">
        <v>1</v>
      </c>
      <c r="J232" s="3" t="str">
        <f>VLOOKUP(I232,SeasonFormats!$A$3:$B$999,2,0)</f>
        <v>Season</v>
      </c>
      <c r="K232" s="3">
        <v>47</v>
      </c>
      <c r="L232" s="3">
        <v>4</v>
      </c>
      <c r="M232" s="3" t="s">
        <v>398</v>
      </c>
      <c r="N232" s="3">
        <v>3</v>
      </c>
      <c r="O232" s="3" t="s">
        <v>375</v>
      </c>
      <c r="P232" s="3">
        <v>21</v>
      </c>
      <c r="Q232" s="7" t="d">
        <v>1969-01-11</v>
      </c>
      <c r="R232" s="3">
        <v>22</v>
      </c>
      <c r="S232" s="3"/>
      <c r="T232" s="4" t="s">
        <v>1122</v>
      </c>
      <c r="U232" s="3" t="str" cm="1">
        <f t="array" ref="U232">_xlfn.TEXTJOIN(",",TRUE,_xlfn.XLOOKUP(_xlfn.FILTERXML("&lt;t&gt;&lt;s&gt;" &amp; SUBSTITUTE(T232,",","&lt;/s&gt;&lt;s&gt;") &amp; "&lt;/s&gt;&lt;/t&gt;", "//s"),Writers!$A$3:$A$999,Writers!$B$3:$B$999,""))</f>
        <v>Robert Holmes</v>
      </c>
      <c r="V232" s="3"/>
      <c r="W232" s="3" t="str">
        <f>IF(V232="","",_xlfn.XLOOKUP(V232,Writers!$A$3:$A$999,Writers!$B$3:$B$999,""))</f>
        <v/>
      </c>
      <c r="X232" s="3">
        <v>7.5</v>
      </c>
      <c r="Y232" s="3"/>
      <c r="Z232" s="3"/>
      <c r="AA232" s="3">
        <f t="shared" si="9"/>
        <v>9.24</v>
      </c>
      <c r="AB232" s="3" t="str">
        <f t="shared" si="10"/>
        <v/>
      </c>
      <c r="AC232" s="3" t="str">
        <f t="shared" si="11"/>
        <v/>
      </c>
      <c r="AD232" s="3">
        <f>VLOOKUP(YEAR(Q232),Populations!$A$3:$B$999,2,0)</f>
        <v>55460600</v>
      </c>
      <c r="AE232" s="3">
        <f>(Calculations!B1/AD232)</f>
        <v>1.23159381615056</v>
      </c>
      <c r="AF232" s="3"/>
      <c r="AG232" s="3">
        <v>1</v>
      </c>
      <c r="AH232" s="3" t="str">
        <f>VLOOKUP(AG232,WikiFormats!$A$3:$B$999,2,0)</f>
        <v>Story</v>
      </c>
      <c r="AI232" s="3" t="s">
        <v>623</v>
      </c>
    </row>
    <row r="233" spans="1:35" s="8" customFormat="1" x14ac:dyDescent="0.55000000000000004">
      <c r="A233" s="3">
        <v>231</v>
      </c>
      <c r="B233" s="3">
        <v>1</v>
      </c>
      <c r="C233" s="3" t="str">
        <f>VLOOKUP(B233,Eras!$A$3:$B$999,2,0)</f>
        <v>Classic</v>
      </c>
      <c r="D233" s="3">
        <v>1</v>
      </c>
      <c r="E233" s="3" t="str">
        <f>VLOOKUP(D233,EpisodeFormats!$A$3:$B$999,2,0)</f>
        <v>Series</v>
      </c>
      <c r="F233" s="3">
        <v>2</v>
      </c>
      <c r="G233" s="3" t="str">
        <f>VLOOKUP(F233,Doctors!$A$3:$B$999,2,0)</f>
        <v>Patrick Troughton</v>
      </c>
      <c r="H233" s="3">
        <v>6</v>
      </c>
      <c r="I233" s="3">
        <v>1</v>
      </c>
      <c r="J233" s="3" t="str">
        <f>VLOOKUP(I233,SeasonFormats!$A$3:$B$999,2,0)</f>
        <v>Season</v>
      </c>
      <c r="K233" s="3">
        <v>47</v>
      </c>
      <c r="L233" s="3">
        <v>4</v>
      </c>
      <c r="M233" s="3" t="s">
        <v>398</v>
      </c>
      <c r="N233" s="3">
        <v>4</v>
      </c>
      <c r="O233" s="3" t="s">
        <v>376</v>
      </c>
      <c r="P233" s="3">
        <v>22</v>
      </c>
      <c r="Q233" s="7" t="d">
        <v>1969-01-18</v>
      </c>
      <c r="R233" s="3">
        <v>23</v>
      </c>
      <c r="S233" s="3"/>
      <c r="T233" s="4" t="s">
        <v>1122</v>
      </c>
      <c r="U233" s="3" t="str" cm="1">
        <f t="array" ref="U233">_xlfn.TEXTJOIN(",",TRUE,_xlfn.XLOOKUP(_xlfn.FILTERXML("&lt;t&gt;&lt;s&gt;" &amp; SUBSTITUTE(T233,",","&lt;/s&gt;&lt;s&gt;") &amp; "&lt;/s&gt;&lt;/t&gt;", "//s"),Writers!$A$3:$A$999,Writers!$B$3:$B$999,""))</f>
        <v>Robert Holmes</v>
      </c>
      <c r="V233" s="3"/>
      <c r="W233" s="3" t="str">
        <f>IF(V233="","",_xlfn.XLOOKUP(V233,Writers!$A$3:$A$999,Writers!$B$3:$B$999,""))</f>
        <v/>
      </c>
      <c r="X233" s="3">
        <v>7.1</v>
      </c>
      <c r="Y233" s="3"/>
      <c r="Z233" s="3"/>
      <c r="AA233" s="3">
        <f t="shared" si="9"/>
        <v>8.74</v>
      </c>
      <c r="AB233" s="3" t="str">
        <f t="shared" si="10"/>
        <v/>
      </c>
      <c r="AC233" s="3" t="str">
        <f t="shared" si="11"/>
        <v/>
      </c>
      <c r="AD233" s="3">
        <f>VLOOKUP(YEAR(Q233),Populations!$A$3:$B$999,2,0)</f>
        <v>55460600</v>
      </c>
      <c r="AE233" s="3">
        <f>(Calculations!B1/AD233)</f>
        <v>1.23159381615056</v>
      </c>
      <c r="AF233" s="3"/>
      <c r="AG233" s="3">
        <v>1</v>
      </c>
      <c r="AH233" s="3" t="str">
        <f>VLOOKUP(AG233,WikiFormats!$A$3:$B$999,2,0)</f>
        <v>Story</v>
      </c>
      <c r="AI233" s="3" t="s">
        <v>623</v>
      </c>
    </row>
    <row r="234" spans="1:35" s="2" customFormat="1" x14ac:dyDescent="0.55000000000000004">
      <c r="A234">
        <v>232</v>
      </c>
      <c r="B234">
        <v>1</v>
      </c>
      <c r="C234" t="str">
        <f>VLOOKUP(B234,Eras!$A$3:$B$999,2,0)</f>
        <v>Classic</v>
      </c>
      <c r="D234">
        <v>1</v>
      </c>
      <c r="E234" t="str">
        <f>VLOOKUP(D234,EpisodeFormats!$A$3:$B$999,2,0)</f>
        <v>Series</v>
      </c>
      <c r="F234">
        <v>2</v>
      </c>
      <c r="G234" t="str">
        <f>VLOOKUP(F234,Doctors!$A$3:$B$999,2,0)</f>
        <v>Patrick Troughton</v>
      </c>
      <c r="H234">
        <v>6</v>
      </c>
      <c r="I234">
        <v>1</v>
      </c>
      <c r="J234" t="str">
        <f>VLOOKUP(I234,SeasonFormats!$A$3:$B$999,2,0)</f>
        <v>Season</v>
      </c>
      <c r="K234">
        <v>48</v>
      </c>
      <c r="L234">
        <v>5</v>
      </c>
      <c r="M234" t="s">
        <v>399</v>
      </c>
      <c r="N234">
        <v>1</v>
      </c>
      <c r="O234" t="s">
        <v>373</v>
      </c>
      <c r="P234">
        <v>23</v>
      </c>
      <c r="Q234" s="6" t="d">
        <v>1969-01-25</v>
      </c>
      <c r="R234">
        <v>23</v>
      </c>
      <c r="S234"/>
      <c r="T234" s="15" t="s">
        <v>1106</v>
      </c>
      <c r="U234" t="str" cm="1">
        <f t="array" ref="U234">_xlfn.TEXTJOIN(",",TRUE,_xlfn.XLOOKUP(_xlfn.FILTERXML("&lt;t&gt;&lt;s&gt;" &amp; SUBSTITUTE(T234,",","&lt;/s&gt;&lt;s&gt;") &amp; "&lt;/s&gt;&lt;/t&gt;", "//s"),Writers!$A$3:$A$999,Writers!$B$3:$B$999,""))</f>
        <v>Brian Hayles</v>
      </c>
      <c r="V234"/>
      <c r="W234" t="str">
        <f>IF(V234="","",_xlfn.XLOOKUP(V234,Writers!$A$3:$A$999,Writers!$B$3:$B$999,""))</f>
        <v/>
      </c>
      <c r="X234">
        <v>6.6</v>
      </c>
      <c r="Y234"/>
      <c r="Z234"/>
      <c r="AA234">
        <f t="shared" si="9"/>
        <v>8.1300000000000008</v>
      </c>
      <c r="AB234" t="str">
        <f t="shared" si="10"/>
        <v/>
      </c>
      <c r="AC234" t="str">
        <f t="shared" si="11"/>
        <v/>
      </c>
      <c r="AD234">
        <f>VLOOKUP(YEAR(Q234),Populations!$A$3:$B$999,2,0)</f>
        <v>55460600</v>
      </c>
      <c r="AE234">
        <f>(Calculations!B1/AD234)</f>
        <v>1.23159381615056</v>
      </c>
      <c r="AF234"/>
      <c r="AG234">
        <v>1</v>
      </c>
      <c r="AH234" t="str">
        <f>VLOOKUP(AG234,WikiFormats!$A$3:$B$999,2,0)</f>
        <v>Story</v>
      </c>
      <c r="AI234" t="s">
        <v>624</v>
      </c>
    </row>
    <row r="235" spans="1:35" s="2" customFormat="1" x14ac:dyDescent="0.55000000000000004">
      <c r="A235">
        <v>233</v>
      </c>
      <c r="B235">
        <v>1</v>
      </c>
      <c r="C235" t="str">
        <f>VLOOKUP(B235,Eras!$A$3:$B$999,2,0)</f>
        <v>Classic</v>
      </c>
      <c r="D235">
        <v>1</v>
      </c>
      <c r="E235" t="str">
        <f>VLOOKUP(D235,EpisodeFormats!$A$3:$B$999,2,0)</f>
        <v>Series</v>
      </c>
      <c r="F235">
        <v>2</v>
      </c>
      <c r="G235" t="str">
        <f>VLOOKUP(F235,Doctors!$A$3:$B$999,2,0)</f>
        <v>Patrick Troughton</v>
      </c>
      <c r="H235">
        <v>6</v>
      </c>
      <c r="I235">
        <v>1</v>
      </c>
      <c r="J235" t="str">
        <f>VLOOKUP(I235,SeasonFormats!$A$3:$B$999,2,0)</f>
        <v>Season</v>
      </c>
      <c r="K235">
        <v>48</v>
      </c>
      <c r="L235">
        <v>5</v>
      </c>
      <c r="M235" t="s">
        <v>399</v>
      </c>
      <c r="N235">
        <v>2</v>
      </c>
      <c r="O235" t="s">
        <v>374</v>
      </c>
      <c r="P235">
        <v>24</v>
      </c>
      <c r="Q235" s="6" t="d">
        <v>1969-02-01</v>
      </c>
      <c r="R235">
        <v>23</v>
      </c>
      <c r="S235"/>
      <c r="T235" s="15" t="s">
        <v>1106</v>
      </c>
      <c r="U235" t="str" cm="1">
        <f t="array" ref="U235">_xlfn.TEXTJOIN(",",TRUE,_xlfn.XLOOKUP(_xlfn.FILTERXML("&lt;t&gt;&lt;s&gt;" &amp; SUBSTITUTE(T235,",","&lt;/s&gt;&lt;s&gt;") &amp; "&lt;/s&gt;&lt;/t&gt;", "//s"),Writers!$A$3:$A$999,Writers!$B$3:$B$999,""))</f>
        <v>Brian Hayles</v>
      </c>
      <c r="V235"/>
      <c r="W235" t="str">
        <f>IF(V235="","",_xlfn.XLOOKUP(V235,Writers!$A$3:$A$999,Writers!$B$3:$B$999,""))</f>
        <v/>
      </c>
      <c r="X235">
        <v>6.8</v>
      </c>
      <c r="Y235"/>
      <c r="Z235"/>
      <c r="AA235">
        <f t="shared" si="9"/>
        <v>8.3699999999999992</v>
      </c>
      <c r="AB235" t="str">
        <f t="shared" si="10"/>
        <v/>
      </c>
      <c r="AC235" t="str">
        <f t="shared" si="11"/>
        <v/>
      </c>
      <c r="AD235">
        <f>VLOOKUP(YEAR(Q235),Populations!$A$3:$B$999,2,0)</f>
        <v>55460600</v>
      </c>
      <c r="AE235">
        <f>(Calculations!B1/AD235)</f>
        <v>1.23159381615056</v>
      </c>
      <c r="AF235"/>
      <c r="AG235">
        <v>1</v>
      </c>
      <c r="AH235" t="str">
        <f>VLOOKUP(AG235,WikiFormats!$A$3:$B$999,2,0)</f>
        <v>Story</v>
      </c>
      <c r="AI235" t="s">
        <v>624</v>
      </c>
    </row>
    <row r="236" spans="1:35" s="2" customFormat="1" x14ac:dyDescent="0.55000000000000004">
      <c r="A236">
        <v>234</v>
      </c>
      <c r="B236">
        <v>1</v>
      </c>
      <c r="C236" t="str">
        <f>VLOOKUP(B236,Eras!$A$3:$B$999,2,0)</f>
        <v>Classic</v>
      </c>
      <c r="D236">
        <v>1</v>
      </c>
      <c r="E236" t="str">
        <f>VLOOKUP(D236,EpisodeFormats!$A$3:$B$999,2,0)</f>
        <v>Series</v>
      </c>
      <c r="F236">
        <v>2</v>
      </c>
      <c r="G236" t="str">
        <f>VLOOKUP(F236,Doctors!$A$3:$B$999,2,0)</f>
        <v>Patrick Troughton</v>
      </c>
      <c r="H236">
        <v>6</v>
      </c>
      <c r="I236">
        <v>1</v>
      </c>
      <c r="J236" t="str">
        <f>VLOOKUP(I236,SeasonFormats!$A$3:$B$999,2,0)</f>
        <v>Season</v>
      </c>
      <c r="K236">
        <v>48</v>
      </c>
      <c r="L236">
        <v>5</v>
      </c>
      <c r="M236" t="s">
        <v>399</v>
      </c>
      <c r="N236">
        <v>3</v>
      </c>
      <c r="O236" t="s">
        <v>375</v>
      </c>
      <c r="P236">
        <v>25</v>
      </c>
      <c r="Q236" s="6" t="d">
        <v>1969-02-08</v>
      </c>
      <c r="R236">
        <v>25</v>
      </c>
      <c r="S236"/>
      <c r="T236" s="15" t="s">
        <v>1106</v>
      </c>
      <c r="U236" t="str" cm="1">
        <f t="array" ref="U236">_xlfn.TEXTJOIN(",",TRUE,_xlfn.XLOOKUP(_xlfn.FILTERXML("&lt;t&gt;&lt;s&gt;" &amp; SUBSTITUTE(T236,",","&lt;/s&gt;&lt;s&gt;") &amp; "&lt;/s&gt;&lt;/t&gt;", "//s"),Writers!$A$3:$A$999,Writers!$B$3:$B$999,""))</f>
        <v>Brian Hayles</v>
      </c>
      <c r="V236"/>
      <c r="W236" t="str">
        <f>IF(V236="","",_xlfn.XLOOKUP(V236,Writers!$A$3:$A$999,Writers!$B$3:$B$999,""))</f>
        <v/>
      </c>
      <c r="X236">
        <v>7.5</v>
      </c>
      <c r="Y236"/>
      <c r="Z236"/>
      <c r="AA236">
        <f t="shared" si="9"/>
        <v>9.24</v>
      </c>
      <c r="AB236" t="str">
        <f t="shared" si="10"/>
        <v/>
      </c>
      <c r="AC236" t="str">
        <f t="shared" si="11"/>
        <v/>
      </c>
      <c r="AD236">
        <f>VLOOKUP(YEAR(Q236),Populations!$A$3:$B$999,2,0)</f>
        <v>55460600</v>
      </c>
      <c r="AE236">
        <f>(Calculations!B1/AD236)</f>
        <v>1.23159381615056</v>
      </c>
      <c r="AF236"/>
      <c r="AG236">
        <v>1</v>
      </c>
      <c r="AH236" t="str">
        <f>VLOOKUP(AG236,WikiFormats!$A$3:$B$999,2,0)</f>
        <v>Story</v>
      </c>
      <c r="AI236" t="s">
        <v>624</v>
      </c>
    </row>
    <row r="237" spans="1:35" s="2" customFormat="1" x14ac:dyDescent="0.55000000000000004">
      <c r="A237">
        <v>235</v>
      </c>
      <c r="B237">
        <v>1</v>
      </c>
      <c r="C237" t="str">
        <f>VLOOKUP(B237,Eras!$A$3:$B$999,2,0)</f>
        <v>Classic</v>
      </c>
      <c r="D237">
        <v>1</v>
      </c>
      <c r="E237" t="str">
        <f>VLOOKUP(D237,EpisodeFormats!$A$3:$B$999,2,0)</f>
        <v>Series</v>
      </c>
      <c r="F237">
        <v>2</v>
      </c>
      <c r="G237" t="str">
        <f>VLOOKUP(F237,Doctors!$A$3:$B$999,2,0)</f>
        <v>Patrick Troughton</v>
      </c>
      <c r="H237">
        <v>6</v>
      </c>
      <c r="I237">
        <v>1</v>
      </c>
      <c r="J237" t="str">
        <f>VLOOKUP(I237,SeasonFormats!$A$3:$B$999,2,0)</f>
        <v>Season</v>
      </c>
      <c r="K237">
        <v>48</v>
      </c>
      <c r="L237">
        <v>5</v>
      </c>
      <c r="M237" t="s">
        <v>399</v>
      </c>
      <c r="N237">
        <v>4</v>
      </c>
      <c r="O237" t="s">
        <v>376</v>
      </c>
      <c r="P237">
        <v>26</v>
      </c>
      <c r="Q237" s="6" t="d">
        <v>1969-02-15</v>
      </c>
      <c r="R237">
        <v>25</v>
      </c>
      <c r="S237"/>
      <c r="T237" s="15" t="s">
        <v>1106</v>
      </c>
      <c r="U237" t="str" cm="1">
        <f t="array" ref="U237">_xlfn.TEXTJOIN(",",TRUE,_xlfn.XLOOKUP(_xlfn.FILTERXML("&lt;t&gt;&lt;s&gt;" &amp; SUBSTITUTE(T237,",","&lt;/s&gt;&lt;s&gt;") &amp; "&lt;/s&gt;&lt;/t&gt;", "//s"),Writers!$A$3:$A$999,Writers!$B$3:$B$999,""))</f>
        <v>Brian Hayles</v>
      </c>
      <c r="V237"/>
      <c r="W237" t="str">
        <f>IF(V237="","",_xlfn.XLOOKUP(V237,Writers!$A$3:$A$999,Writers!$B$3:$B$999,""))</f>
        <v/>
      </c>
      <c r="X237">
        <v>7.1</v>
      </c>
      <c r="Y237"/>
      <c r="Z237"/>
      <c r="AA237">
        <f t="shared" si="9"/>
        <v>8.74</v>
      </c>
      <c r="AB237" t="str">
        <f t="shared" si="10"/>
        <v/>
      </c>
      <c r="AC237" t="str">
        <f t="shared" si="11"/>
        <v/>
      </c>
      <c r="AD237">
        <f>VLOOKUP(YEAR(Q237),Populations!$A$3:$B$999,2,0)</f>
        <v>55460600</v>
      </c>
      <c r="AE237">
        <f>(Calculations!B1/AD237)</f>
        <v>1.23159381615056</v>
      </c>
      <c r="AF237"/>
      <c r="AG237">
        <v>1</v>
      </c>
      <c r="AH237" t="str">
        <f>VLOOKUP(AG237,WikiFormats!$A$3:$B$999,2,0)</f>
        <v>Story</v>
      </c>
      <c r="AI237" t="s">
        <v>624</v>
      </c>
    </row>
    <row r="238" spans="1:35" s="2" customFormat="1" x14ac:dyDescent="0.55000000000000004">
      <c r="A238">
        <v>236</v>
      </c>
      <c r="B238">
        <v>1</v>
      </c>
      <c r="C238" t="str">
        <f>VLOOKUP(B238,Eras!$A$3:$B$999,2,0)</f>
        <v>Classic</v>
      </c>
      <c r="D238">
        <v>1</v>
      </c>
      <c r="E238" t="str">
        <f>VLOOKUP(D238,EpisodeFormats!$A$3:$B$999,2,0)</f>
        <v>Series</v>
      </c>
      <c r="F238">
        <v>2</v>
      </c>
      <c r="G238" t="str">
        <f>VLOOKUP(F238,Doctors!$A$3:$B$999,2,0)</f>
        <v>Patrick Troughton</v>
      </c>
      <c r="H238">
        <v>6</v>
      </c>
      <c r="I238">
        <v>1</v>
      </c>
      <c r="J238" t="str">
        <f>VLOOKUP(I238,SeasonFormats!$A$3:$B$999,2,0)</f>
        <v>Season</v>
      </c>
      <c r="K238">
        <v>48</v>
      </c>
      <c r="L238">
        <v>5</v>
      </c>
      <c r="M238" t="s">
        <v>399</v>
      </c>
      <c r="N238">
        <v>5</v>
      </c>
      <c r="O238" t="s">
        <v>377</v>
      </c>
      <c r="P238">
        <v>27</v>
      </c>
      <c r="Q238" s="6" t="d">
        <v>1969-02-22</v>
      </c>
      <c r="R238">
        <v>25</v>
      </c>
      <c r="S238"/>
      <c r="T238" s="15" t="s">
        <v>1106</v>
      </c>
      <c r="U238" t="str" cm="1">
        <f t="array" ref="U238">_xlfn.TEXTJOIN(",",TRUE,_xlfn.XLOOKUP(_xlfn.FILTERXML("&lt;t&gt;&lt;s&gt;" &amp; SUBSTITUTE(T238,",","&lt;/s&gt;&lt;s&gt;") &amp; "&lt;/s&gt;&lt;/t&gt;", "//s"),Writers!$A$3:$A$999,Writers!$B$3:$B$999,""))</f>
        <v>Brian Hayles</v>
      </c>
      <c r="V238"/>
      <c r="W238" t="str">
        <f>IF(V238="","",_xlfn.XLOOKUP(V238,Writers!$A$3:$A$999,Writers!$B$3:$B$999,""))</f>
        <v/>
      </c>
      <c r="X238">
        <v>7.6</v>
      </c>
      <c r="Y238"/>
      <c r="Z238"/>
      <c r="AA238">
        <f t="shared" si="9"/>
        <v>9.36</v>
      </c>
      <c r="AB238" t="str">
        <f t="shared" si="10"/>
        <v/>
      </c>
      <c r="AC238" t="str">
        <f t="shared" si="11"/>
        <v/>
      </c>
      <c r="AD238">
        <f>VLOOKUP(YEAR(Q238),Populations!$A$3:$B$999,2,0)</f>
        <v>55460600</v>
      </c>
      <c r="AE238">
        <f>(Calculations!B1/AD238)</f>
        <v>1.23159381615056</v>
      </c>
      <c r="AF238"/>
      <c r="AG238">
        <v>1</v>
      </c>
      <c r="AH238" t="str">
        <f>VLOOKUP(AG238,WikiFormats!$A$3:$B$999,2,0)</f>
        <v>Story</v>
      </c>
      <c r="AI238" t="s">
        <v>624</v>
      </c>
    </row>
    <row r="239" spans="1:35" s="2" customFormat="1" x14ac:dyDescent="0.55000000000000004">
      <c r="A239">
        <v>237</v>
      </c>
      <c r="B239">
        <v>1</v>
      </c>
      <c r="C239" t="str">
        <f>VLOOKUP(B239,Eras!$A$3:$B$999,2,0)</f>
        <v>Classic</v>
      </c>
      <c r="D239">
        <v>1</v>
      </c>
      <c r="E239" t="str">
        <f>VLOOKUP(D239,EpisodeFormats!$A$3:$B$999,2,0)</f>
        <v>Series</v>
      </c>
      <c r="F239">
        <v>2</v>
      </c>
      <c r="G239" t="str">
        <f>VLOOKUP(F239,Doctors!$A$3:$B$999,2,0)</f>
        <v>Patrick Troughton</v>
      </c>
      <c r="H239">
        <v>6</v>
      </c>
      <c r="I239">
        <v>1</v>
      </c>
      <c r="J239" t="str">
        <f>VLOOKUP(I239,SeasonFormats!$A$3:$B$999,2,0)</f>
        <v>Season</v>
      </c>
      <c r="K239">
        <v>48</v>
      </c>
      <c r="L239">
        <v>5</v>
      </c>
      <c r="M239" t="s">
        <v>399</v>
      </c>
      <c r="N239">
        <v>6</v>
      </c>
      <c r="O239" t="s">
        <v>378</v>
      </c>
      <c r="P239">
        <v>28</v>
      </c>
      <c r="Q239" s="6" t="d">
        <v>1969-03-01</v>
      </c>
      <c r="R239">
        <v>25</v>
      </c>
      <c r="S239"/>
      <c r="T239" s="15" t="s">
        <v>1106</v>
      </c>
      <c r="U239" t="str" cm="1">
        <f t="array" ref="U239">_xlfn.TEXTJOIN(",",TRUE,_xlfn.XLOOKUP(_xlfn.FILTERXML("&lt;t&gt;&lt;s&gt;" &amp; SUBSTITUTE(T239,",","&lt;/s&gt;&lt;s&gt;") &amp; "&lt;/s&gt;&lt;/t&gt;", "//s"),Writers!$A$3:$A$999,Writers!$B$3:$B$999,""))</f>
        <v>Brian Hayles</v>
      </c>
      <c r="V239"/>
      <c r="W239" t="str">
        <f>IF(V239="","",_xlfn.XLOOKUP(V239,Writers!$A$3:$A$999,Writers!$B$3:$B$999,""))</f>
        <v/>
      </c>
      <c r="X239">
        <v>7.7</v>
      </c>
      <c r="Y239"/>
      <c r="Z239"/>
      <c r="AA239">
        <f t="shared" si="9"/>
        <v>9.48</v>
      </c>
      <c r="AB239" t="str">
        <f t="shared" si="10"/>
        <v/>
      </c>
      <c r="AC239" t="str">
        <f t="shared" si="11"/>
        <v/>
      </c>
      <c r="AD239">
        <f>VLOOKUP(YEAR(Q239),Populations!$A$3:$B$999,2,0)</f>
        <v>55460600</v>
      </c>
      <c r="AE239">
        <f>(Calculations!B1/AD239)</f>
        <v>1.23159381615056</v>
      </c>
      <c r="AF239"/>
      <c r="AG239">
        <v>1</v>
      </c>
      <c r="AH239" t="str">
        <f>VLOOKUP(AG239,WikiFormats!$A$3:$B$999,2,0)</f>
        <v>Story</v>
      </c>
      <c r="AI239" t="s">
        <v>624</v>
      </c>
    </row>
    <row r="240" spans="1:35" s="8" customFormat="1" x14ac:dyDescent="0.55000000000000004">
      <c r="A240" s="3">
        <v>238</v>
      </c>
      <c r="B240" s="3">
        <v>1</v>
      </c>
      <c r="C240" s="3" t="str">
        <f>VLOOKUP(B240,Eras!$A$3:$B$999,2,0)</f>
        <v>Classic</v>
      </c>
      <c r="D240" s="3">
        <v>1</v>
      </c>
      <c r="E240" s="3" t="str">
        <f>VLOOKUP(D240,EpisodeFormats!$A$3:$B$999,2,0)</f>
        <v>Series</v>
      </c>
      <c r="F240" s="3">
        <v>2</v>
      </c>
      <c r="G240" s="3" t="str">
        <f>VLOOKUP(F240,Doctors!$A$3:$B$999,2,0)</f>
        <v>Patrick Troughton</v>
      </c>
      <c r="H240" s="3">
        <v>6</v>
      </c>
      <c r="I240" s="3">
        <v>1</v>
      </c>
      <c r="J240" s="3" t="str">
        <f>VLOOKUP(I240,SeasonFormats!$A$3:$B$999,2,0)</f>
        <v>Season</v>
      </c>
      <c r="K240" s="3">
        <v>49</v>
      </c>
      <c r="L240" s="3">
        <v>6</v>
      </c>
      <c r="M240" s="3" t="s">
        <v>400</v>
      </c>
      <c r="N240" s="3">
        <v>1</v>
      </c>
      <c r="O240" s="3" t="s">
        <v>373</v>
      </c>
      <c r="P240" s="3">
        <v>29</v>
      </c>
      <c r="Q240" s="7" t="d">
        <v>1969-03-08</v>
      </c>
      <c r="R240" s="3">
        <v>-25</v>
      </c>
      <c r="S240" s="3">
        <v>1</v>
      </c>
      <c r="T240" s="4" t="s">
        <v>1122</v>
      </c>
      <c r="U240" s="3" t="str" cm="1">
        <f t="array" ref="U240">_xlfn.TEXTJOIN(",",TRUE,_xlfn.XLOOKUP(_xlfn.FILTERXML("&lt;t&gt;&lt;s&gt;" &amp; SUBSTITUTE(T240,",","&lt;/s&gt;&lt;s&gt;") &amp; "&lt;/s&gt;&lt;/t&gt;", "//s"),Writers!$A$3:$A$999,Writers!$B$3:$B$999,""))</f>
        <v>Robert Holmes</v>
      </c>
      <c r="V240" s="3"/>
      <c r="W240" s="3" t="str">
        <f>IF(V240="","",_xlfn.XLOOKUP(V240,Writers!$A$3:$A$999,Writers!$B$3:$B$999,""))</f>
        <v/>
      </c>
      <c r="X240" s="3">
        <v>5.8</v>
      </c>
      <c r="Y240" s="3"/>
      <c r="Z240" s="3"/>
      <c r="AA240" s="3">
        <f t="shared" si="9"/>
        <v>7.14</v>
      </c>
      <c r="AB240" s="3" t="str">
        <f t="shared" si="10"/>
        <v/>
      </c>
      <c r="AC240" s="3" t="str">
        <f t="shared" si="11"/>
        <v/>
      </c>
      <c r="AD240" s="3">
        <f>VLOOKUP(YEAR(Q240),Populations!$A$3:$B$999,2,0)</f>
        <v>55460600</v>
      </c>
      <c r="AE240" s="3">
        <f>(Calculations!B1/AD240)</f>
        <v>1.23159381615056</v>
      </c>
      <c r="AF240" s="3"/>
      <c r="AG240" s="3">
        <v>1</v>
      </c>
      <c r="AH240" s="3" t="str">
        <f>VLOOKUP(AG240,WikiFormats!$A$3:$B$999,2,0)</f>
        <v>Story</v>
      </c>
      <c r="AI240" s="3" t="s">
        <v>625</v>
      </c>
    </row>
    <row r="241" spans="1:35" s="8" customFormat="1" x14ac:dyDescent="0.55000000000000004">
      <c r="A241" s="3">
        <v>239</v>
      </c>
      <c r="B241" s="3">
        <v>1</v>
      </c>
      <c r="C241" s="3" t="str">
        <f>VLOOKUP(B241,Eras!$A$3:$B$999,2,0)</f>
        <v>Classic</v>
      </c>
      <c r="D241" s="3">
        <v>1</v>
      </c>
      <c r="E241" s="3" t="str">
        <f>VLOOKUP(D241,EpisodeFormats!$A$3:$B$999,2,0)</f>
        <v>Series</v>
      </c>
      <c r="F241" s="3">
        <v>2</v>
      </c>
      <c r="G241" s="3" t="str">
        <f>VLOOKUP(F241,Doctors!$A$3:$B$999,2,0)</f>
        <v>Patrick Troughton</v>
      </c>
      <c r="H241" s="3">
        <v>6</v>
      </c>
      <c r="I241" s="3">
        <v>1</v>
      </c>
      <c r="J241" s="3" t="str">
        <f>VLOOKUP(I241,SeasonFormats!$A$3:$B$999,2,0)</f>
        <v>Season</v>
      </c>
      <c r="K241" s="3">
        <v>49</v>
      </c>
      <c r="L241" s="3">
        <v>6</v>
      </c>
      <c r="M241" s="3" t="s">
        <v>400</v>
      </c>
      <c r="N241" s="3">
        <v>2</v>
      </c>
      <c r="O241" s="3" t="s">
        <v>374</v>
      </c>
      <c r="P241" s="3">
        <v>30</v>
      </c>
      <c r="Q241" s="7" t="d">
        <v>1969-03-15</v>
      </c>
      <c r="R241" s="3">
        <v>25</v>
      </c>
      <c r="S241" s="3"/>
      <c r="T241" s="4" t="s">
        <v>1122</v>
      </c>
      <c r="U241" s="3" t="str" cm="1">
        <f t="array" ref="U241">_xlfn.TEXTJOIN(",",TRUE,_xlfn.XLOOKUP(_xlfn.FILTERXML("&lt;t&gt;&lt;s&gt;" &amp; SUBSTITUTE(T241,",","&lt;/s&gt;&lt;s&gt;") &amp; "&lt;/s&gt;&lt;/t&gt;", "//s"),Writers!$A$3:$A$999,Writers!$B$3:$B$999,""))</f>
        <v>Robert Holmes</v>
      </c>
      <c r="V241" s="3"/>
      <c r="W241" s="3" t="str">
        <f>IF(V241="","",_xlfn.XLOOKUP(V241,Writers!$A$3:$A$999,Writers!$B$3:$B$999,""))</f>
        <v/>
      </c>
      <c r="X241" s="3">
        <v>6.8</v>
      </c>
      <c r="Y241" s="3"/>
      <c r="Z241" s="3"/>
      <c r="AA241" s="3">
        <f t="shared" si="9"/>
        <v>8.3699999999999992</v>
      </c>
      <c r="AB241" s="3" t="str">
        <f t="shared" si="10"/>
        <v/>
      </c>
      <c r="AC241" s="3" t="str">
        <f t="shared" si="11"/>
        <v/>
      </c>
      <c r="AD241" s="3">
        <f>VLOOKUP(YEAR(Q241),Populations!$A$3:$B$999,2,0)</f>
        <v>55460600</v>
      </c>
      <c r="AE241" s="3">
        <f>(Calculations!B1/AD241)</f>
        <v>1.23159381615056</v>
      </c>
      <c r="AF241" s="3"/>
      <c r="AG241" s="3">
        <v>1</v>
      </c>
      <c r="AH241" s="3" t="str">
        <f>VLOOKUP(AG241,WikiFormats!$A$3:$B$999,2,0)</f>
        <v>Story</v>
      </c>
      <c r="AI241" s="3" t="s">
        <v>625</v>
      </c>
    </row>
    <row r="242" spans="1:35" s="8" customFormat="1" x14ac:dyDescent="0.55000000000000004">
      <c r="A242" s="3">
        <v>240</v>
      </c>
      <c r="B242" s="3">
        <v>1</v>
      </c>
      <c r="C242" s="3" t="str">
        <f>VLOOKUP(B242,Eras!$A$3:$B$999,2,0)</f>
        <v>Classic</v>
      </c>
      <c r="D242" s="3">
        <v>1</v>
      </c>
      <c r="E242" s="3" t="str">
        <f>VLOOKUP(D242,EpisodeFormats!$A$3:$B$999,2,0)</f>
        <v>Series</v>
      </c>
      <c r="F242" s="3">
        <v>2</v>
      </c>
      <c r="G242" s="3" t="str">
        <f>VLOOKUP(F242,Doctors!$A$3:$B$999,2,0)</f>
        <v>Patrick Troughton</v>
      </c>
      <c r="H242" s="3">
        <v>6</v>
      </c>
      <c r="I242" s="3">
        <v>1</v>
      </c>
      <c r="J242" s="3" t="str">
        <f>VLOOKUP(I242,SeasonFormats!$A$3:$B$999,2,0)</f>
        <v>Season</v>
      </c>
      <c r="K242" s="3">
        <v>49</v>
      </c>
      <c r="L242" s="3">
        <v>6</v>
      </c>
      <c r="M242" s="3" t="s">
        <v>400</v>
      </c>
      <c r="N242" s="3">
        <v>3</v>
      </c>
      <c r="O242" s="3" t="s">
        <v>375</v>
      </c>
      <c r="P242" s="3">
        <v>31</v>
      </c>
      <c r="Q242" s="7" t="d">
        <v>1969-03-22</v>
      </c>
      <c r="R242" s="3">
        <v>-25</v>
      </c>
      <c r="S242" s="3">
        <v>1</v>
      </c>
      <c r="T242" s="4" t="s">
        <v>1122</v>
      </c>
      <c r="U242" s="3" t="str" cm="1">
        <f t="array" ref="U242">_xlfn.TEXTJOIN(",",TRUE,_xlfn.XLOOKUP(_xlfn.FILTERXML("&lt;t&gt;&lt;s&gt;" &amp; SUBSTITUTE(T242,",","&lt;/s&gt;&lt;s&gt;") &amp; "&lt;/s&gt;&lt;/t&gt;", "//s"),Writers!$A$3:$A$999,Writers!$B$3:$B$999,""))</f>
        <v>Robert Holmes</v>
      </c>
      <c r="V242" s="3"/>
      <c r="W242" s="3" t="str">
        <f>IF(V242="","",_xlfn.XLOOKUP(V242,Writers!$A$3:$A$999,Writers!$B$3:$B$999,""))</f>
        <v/>
      </c>
      <c r="X242" s="3">
        <v>6.4</v>
      </c>
      <c r="Y242" s="3"/>
      <c r="Z242" s="3"/>
      <c r="AA242" s="3">
        <f t="shared" si="9"/>
        <v>7.88</v>
      </c>
      <c r="AB242" s="3" t="str">
        <f t="shared" si="10"/>
        <v/>
      </c>
      <c r="AC242" s="3" t="str">
        <f t="shared" si="11"/>
        <v/>
      </c>
      <c r="AD242" s="3">
        <f>VLOOKUP(YEAR(Q242),Populations!$A$3:$B$999,2,0)</f>
        <v>55460600</v>
      </c>
      <c r="AE242" s="3">
        <f>(Calculations!B1/AD242)</f>
        <v>1.23159381615056</v>
      </c>
      <c r="AF242" s="3"/>
      <c r="AG242" s="3">
        <v>1</v>
      </c>
      <c r="AH242" s="3" t="str">
        <f>VLOOKUP(AG242,WikiFormats!$A$3:$B$999,2,0)</f>
        <v>Story</v>
      </c>
      <c r="AI242" s="3" t="s">
        <v>625</v>
      </c>
    </row>
    <row r="243" spans="1:35" s="8" customFormat="1" x14ac:dyDescent="0.55000000000000004">
      <c r="A243" s="3">
        <v>241</v>
      </c>
      <c r="B243" s="3">
        <v>1</v>
      </c>
      <c r="C243" s="3" t="str">
        <f>VLOOKUP(B243,Eras!$A$3:$B$999,2,0)</f>
        <v>Classic</v>
      </c>
      <c r="D243" s="3">
        <v>1</v>
      </c>
      <c r="E243" s="3" t="str">
        <f>VLOOKUP(D243,EpisodeFormats!$A$3:$B$999,2,0)</f>
        <v>Series</v>
      </c>
      <c r="F243" s="3">
        <v>2</v>
      </c>
      <c r="G243" s="3" t="str">
        <f>VLOOKUP(F243,Doctors!$A$3:$B$999,2,0)</f>
        <v>Patrick Troughton</v>
      </c>
      <c r="H243" s="3">
        <v>6</v>
      </c>
      <c r="I243" s="3">
        <v>1</v>
      </c>
      <c r="J243" s="3" t="str">
        <f>VLOOKUP(I243,SeasonFormats!$A$3:$B$999,2,0)</f>
        <v>Season</v>
      </c>
      <c r="K243" s="3">
        <v>49</v>
      </c>
      <c r="L243" s="3">
        <v>6</v>
      </c>
      <c r="M243" s="3" t="s">
        <v>400</v>
      </c>
      <c r="N243" s="3">
        <v>4</v>
      </c>
      <c r="O243" s="3" t="s">
        <v>376</v>
      </c>
      <c r="P243" s="3">
        <v>32</v>
      </c>
      <c r="Q243" s="7" t="d">
        <v>1969-03-29</v>
      </c>
      <c r="R243" s="3">
        <v>-25</v>
      </c>
      <c r="S243" s="3">
        <v>1</v>
      </c>
      <c r="T243" s="4" t="s">
        <v>1122</v>
      </c>
      <c r="U243" s="3" t="str" cm="1">
        <f t="array" ref="U243">_xlfn.TEXTJOIN(",",TRUE,_xlfn.XLOOKUP(_xlfn.FILTERXML("&lt;t&gt;&lt;s&gt;" &amp; SUBSTITUTE(T243,",","&lt;/s&gt;&lt;s&gt;") &amp; "&lt;/s&gt;&lt;/t&gt;", "//s"),Writers!$A$3:$A$999,Writers!$B$3:$B$999,""))</f>
        <v>Robert Holmes</v>
      </c>
      <c r="V243" s="3"/>
      <c r="W243" s="3" t="str">
        <f>IF(V243="","",_xlfn.XLOOKUP(V243,Writers!$A$3:$A$999,Writers!$B$3:$B$999,""))</f>
        <v/>
      </c>
      <c r="X243" s="3">
        <v>5.8</v>
      </c>
      <c r="Y243" s="3"/>
      <c r="Z243" s="3"/>
      <c r="AA243" s="3">
        <f t="shared" si="9"/>
        <v>7.14</v>
      </c>
      <c r="AB243" s="3" t="str">
        <f t="shared" si="10"/>
        <v/>
      </c>
      <c r="AC243" s="3" t="str">
        <f t="shared" si="11"/>
        <v/>
      </c>
      <c r="AD243" s="3">
        <f>VLOOKUP(YEAR(Q243),Populations!$A$3:$B$999,2,0)</f>
        <v>55460600</v>
      </c>
      <c r="AE243" s="3">
        <f>(Calculations!B1/AD243)</f>
        <v>1.23159381615056</v>
      </c>
      <c r="AF243" s="3"/>
      <c r="AG243" s="3">
        <v>1</v>
      </c>
      <c r="AH243" s="3" t="str">
        <f>VLOOKUP(AG243,WikiFormats!$A$3:$B$999,2,0)</f>
        <v>Story</v>
      </c>
      <c r="AI243" s="3" t="s">
        <v>625</v>
      </c>
    </row>
    <row r="244" spans="1:35" s="8" customFormat="1" x14ac:dyDescent="0.55000000000000004">
      <c r="A244" s="3">
        <v>242</v>
      </c>
      <c r="B244" s="3">
        <v>1</v>
      </c>
      <c r="C244" s="3" t="str">
        <f>VLOOKUP(B244,Eras!$A$3:$B$999,2,0)</f>
        <v>Classic</v>
      </c>
      <c r="D244" s="3">
        <v>1</v>
      </c>
      <c r="E244" s="3" t="str">
        <f>VLOOKUP(D244,EpisodeFormats!$A$3:$B$999,2,0)</f>
        <v>Series</v>
      </c>
      <c r="F244" s="3">
        <v>2</v>
      </c>
      <c r="G244" s="3" t="str">
        <f>VLOOKUP(F244,Doctors!$A$3:$B$999,2,0)</f>
        <v>Patrick Troughton</v>
      </c>
      <c r="H244" s="3">
        <v>6</v>
      </c>
      <c r="I244" s="3">
        <v>1</v>
      </c>
      <c r="J244" s="3" t="str">
        <f>VLOOKUP(I244,SeasonFormats!$A$3:$B$999,2,0)</f>
        <v>Season</v>
      </c>
      <c r="K244" s="3">
        <v>49</v>
      </c>
      <c r="L244" s="3">
        <v>6</v>
      </c>
      <c r="M244" s="3" t="s">
        <v>400</v>
      </c>
      <c r="N244" s="3">
        <v>5</v>
      </c>
      <c r="O244" s="3" t="s">
        <v>377</v>
      </c>
      <c r="P244" s="3">
        <v>33</v>
      </c>
      <c r="Q244" s="7" t="d">
        <v>1969-04-05</v>
      </c>
      <c r="R244" s="3">
        <v>-25</v>
      </c>
      <c r="S244" s="3">
        <v>1</v>
      </c>
      <c r="T244" s="4" t="s">
        <v>1122</v>
      </c>
      <c r="U244" s="3" t="str" cm="1">
        <f t="array" ref="U244">_xlfn.TEXTJOIN(",",TRUE,_xlfn.XLOOKUP(_xlfn.FILTERXML("&lt;t&gt;&lt;s&gt;" &amp; SUBSTITUTE(T244,",","&lt;/s&gt;&lt;s&gt;") &amp; "&lt;/s&gt;&lt;/t&gt;", "//s"),Writers!$A$3:$A$999,Writers!$B$3:$B$999,""))</f>
        <v>Robert Holmes</v>
      </c>
      <c r="V244" s="3"/>
      <c r="W244" s="3" t="str">
        <f>IF(V244="","",_xlfn.XLOOKUP(V244,Writers!$A$3:$A$999,Writers!$B$3:$B$999,""))</f>
        <v/>
      </c>
      <c r="X244" s="3">
        <v>5.5</v>
      </c>
      <c r="Y244" s="3"/>
      <c r="Z244" s="3"/>
      <c r="AA244" s="3">
        <f t="shared" si="9"/>
        <v>6.77</v>
      </c>
      <c r="AB244" s="3" t="str">
        <f t="shared" si="10"/>
        <v/>
      </c>
      <c r="AC244" s="3" t="str">
        <f t="shared" si="11"/>
        <v/>
      </c>
      <c r="AD244" s="3">
        <f>VLOOKUP(YEAR(Q244),Populations!$A$3:$B$999,2,0)</f>
        <v>55460600</v>
      </c>
      <c r="AE244" s="3">
        <f>(Calculations!B1/AD244)</f>
        <v>1.23159381615056</v>
      </c>
      <c r="AF244" s="3"/>
      <c r="AG244" s="3">
        <v>1</v>
      </c>
      <c r="AH244" s="3" t="str">
        <f>VLOOKUP(AG244,WikiFormats!$A$3:$B$999,2,0)</f>
        <v>Story</v>
      </c>
      <c r="AI244" s="3" t="s">
        <v>625</v>
      </c>
    </row>
    <row r="245" spans="1:35" s="8" customFormat="1" x14ac:dyDescent="0.55000000000000004">
      <c r="A245" s="3">
        <v>243</v>
      </c>
      <c r="B245" s="3">
        <v>1</v>
      </c>
      <c r="C245" s="3" t="str">
        <f>VLOOKUP(B245,Eras!$A$3:$B$999,2,0)</f>
        <v>Classic</v>
      </c>
      <c r="D245" s="3">
        <v>1</v>
      </c>
      <c r="E245" s="3" t="str">
        <f>VLOOKUP(D245,EpisodeFormats!$A$3:$B$999,2,0)</f>
        <v>Series</v>
      </c>
      <c r="F245" s="3">
        <v>2</v>
      </c>
      <c r="G245" s="3" t="str">
        <f>VLOOKUP(F245,Doctors!$A$3:$B$999,2,0)</f>
        <v>Patrick Troughton</v>
      </c>
      <c r="H245" s="3">
        <v>6</v>
      </c>
      <c r="I245" s="3">
        <v>1</v>
      </c>
      <c r="J245" s="3" t="str">
        <f>VLOOKUP(I245,SeasonFormats!$A$3:$B$999,2,0)</f>
        <v>Season</v>
      </c>
      <c r="K245" s="3">
        <v>49</v>
      </c>
      <c r="L245" s="3">
        <v>6</v>
      </c>
      <c r="M245" s="3" t="s">
        <v>400</v>
      </c>
      <c r="N245" s="3">
        <v>6</v>
      </c>
      <c r="O245" s="3" t="s">
        <v>378</v>
      </c>
      <c r="P245" s="3">
        <v>34</v>
      </c>
      <c r="Q245" s="7" t="d">
        <v>1969-04-12</v>
      </c>
      <c r="R245" s="3">
        <v>-25</v>
      </c>
      <c r="S245" s="3">
        <v>1</v>
      </c>
      <c r="T245" s="4" t="s">
        <v>1122</v>
      </c>
      <c r="U245" s="3" t="str" cm="1">
        <f t="array" ref="U245">_xlfn.TEXTJOIN(",",TRUE,_xlfn.XLOOKUP(_xlfn.FILTERXML("&lt;t&gt;&lt;s&gt;" &amp; SUBSTITUTE(T245,",","&lt;/s&gt;&lt;s&gt;") &amp; "&lt;/s&gt;&lt;/t&gt;", "//s"),Writers!$A$3:$A$999,Writers!$B$3:$B$999,""))</f>
        <v>Robert Holmes</v>
      </c>
      <c r="V245" s="3"/>
      <c r="W245" s="3" t="str">
        <f>IF(V245="","",_xlfn.XLOOKUP(V245,Writers!$A$3:$A$999,Writers!$B$3:$B$999,""))</f>
        <v/>
      </c>
      <c r="X245" s="3">
        <v>5.3</v>
      </c>
      <c r="Y245" s="3"/>
      <c r="Z245" s="3"/>
      <c r="AA245" s="3">
        <f t="shared" si="9"/>
        <v>6.53</v>
      </c>
      <c r="AB245" s="3" t="str">
        <f t="shared" si="10"/>
        <v/>
      </c>
      <c r="AC245" s="3" t="str">
        <f t="shared" si="11"/>
        <v/>
      </c>
      <c r="AD245" s="3">
        <f>VLOOKUP(YEAR(Q245),Populations!$A$3:$B$999,2,0)</f>
        <v>55460600</v>
      </c>
      <c r="AE245" s="3">
        <f>(Calculations!B1/AD245)</f>
        <v>1.23159381615056</v>
      </c>
      <c r="AF245" s="3"/>
      <c r="AG245" s="3">
        <v>1</v>
      </c>
      <c r="AH245" s="3" t="str">
        <f>VLOOKUP(AG245,WikiFormats!$A$3:$B$999,2,0)</f>
        <v>Story</v>
      </c>
      <c r="AI245" s="3" t="s">
        <v>625</v>
      </c>
    </row>
    <row r="246" spans="1:35" s="2" customFormat="1" x14ac:dyDescent="0.55000000000000004">
      <c r="A246">
        <v>244</v>
      </c>
      <c r="B246">
        <v>1</v>
      </c>
      <c r="C246" t="str">
        <f>VLOOKUP(B246,Eras!$A$3:$B$999,2,0)</f>
        <v>Classic</v>
      </c>
      <c r="D246">
        <v>1</v>
      </c>
      <c r="E246" t="str">
        <f>VLOOKUP(D246,EpisodeFormats!$A$3:$B$999,2,0)</f>
        <v>Series</v>
      </c>
      <c r="F246">
        <v>2</v>
      </c>
      <c r="G246" t="str">
        <f>VLOOKUP(F246,Doctors!$A$3:$B$999,2,0)</f>
        <v>Patrick Troughton</v>
      </c>
      <c r="H246">
        <v>6</v>
      </c>
      <c r="I246">
        <v>1</v>
      </c>
      <c r="J246" t="str">
        <f>VLOOKUP(I246,SeasonFormats!$A$3:$B$999,2,0)</f>
        <v>Season</v>
      </c>
      <c r="K246">
        <v>50</v>
      </c>
      <c r="L246">
        <v>7</v>
      </c>
      <c r="M246" t="s">
        <v>401</v>
      </c>
      <c r="N246">
        <v>1</v>
      </c>
      <c r="O246" t="s">
        <v>373</v>
      </c>
      <c r="P246">
        <v>35</v>
      </c>
      <c r="Q246" s="6" t="d">
        <v>1969-04-19</v>
      </c>
      <c r="R246">
        <v>25</v>
      </c>
      <c r="S246"/>
      <c r="T246" s="15" t="s">
        <v>1124</v>
      </c>
      <c r="U246" t="str" cm="1">
        <f t="array" ref="U246">_xlfn.TEXTJOIN(",",TRUE,_xlfn.XLOOKUP(_xlfn.FILTERXML("&lt;t&gt;&lt;s&gt;" &amp; SUBSTITUTE(T246,",","&lt;/s&gt;&lt;s&gt;") &amp; "&lt;/s&gt;&lt;/t&gt;", "//s"),Writers!$A$3:$A$999,Writers!$B$3:$B$999,""))</f>
        <v>Terrance Dicks,Malcolm Hulke</v>
      </c>
      <c r="V246"/>
      <c r="W246" t="str">
        <f>IF(V246="","",_xlfn.XLOOKUP(V246,Writers!$A$3:$A$999,Writers!$B$3:$B$999,""))</f>
        <v/>
      </c>
      <c r="X246">
        <v>5.5</v>
      </c>
      <c r="Y246"/>
      <c r="Z246"/>
      <c r="AA246">
        <f t="shared" si="9"/>
        <v>6.77</v>
      </c>
      <c r="AB246" t="str">
        <f t="shared" si="10"/>
        <v/>
      </c>
      <c r="AC246" t="str">
        <f t="shared" si="11"/>
        <v/>
      </c>
      <c r="AD246">
        <f>VLOOKUP(YEAR(Q246),Populations!$A$3:$B$999,2,0)</f>
        <v>55460600</v>
      </c>
      <c r="AE246">
        <f>(Calculations!B1/AD246)</f>
        <v>1.23159381615056</v>
      </c>
      <c r="AF246"/>
      <c r="AG246">
        <v>1</v>
      </c>
      <c r="AH246" t="str">
        <f>VLOOKUP(AG246,WikiFormats!$A$3:$B$999,2,0)</f>
        <v>Story</v>
      </c>
      <c r="AI246" t="s">
        <v>626</v>
      </c>
    </row>
    <row r="247" spans="1:35" s="2" customFormat="1" x14ac:dyDescent="0.55000000000000004">
      <c r="A247">
        <v>245</v>
      </c>
      <c r="B247">
        <v>1</v>
      </c>
      <c r="C247" t="str">
        <f>VLOOKUP(B247,Eras!$A$3:$B$999,2,0)</f>
        <v>Classic</v>
      </c>
      <c r="D247">
        <v>1</v>
      </c>
      <c r="E247" t="str">
        <f>VLOOKUP(D247,EpisodeFormats!$A$3:$B$999,2,0)</f>
        <v>Series</v>
      </c>
      <c r="F247">
        <v>2</v>
      </c>
      <c r="G247" t="str">
        <f>VLOOKUP(F247,Doctors!$A$3:$B$999,2,0)</f>
        <v>Patrick Troughton</v>
      </c>
      <c r="H247">
        <v>6</v>
      </c>
      <c r="I247">
        <v>1</v>
      </c>
      <c r="J247" t="str">
        <f>VLOOKUP(I247,SeasonFormats!$A$3:$B$999,2,0)</f>
        <v>Season</v>
      </c>
      <c r="K247">
        <v>50</v>
      </c>
      <c r="L247">
        <v>7</v>
      </c>
      <c r="M247" t="s">
        <v>401</v>
      </c>
      <c r="N247">
        <v>2</v>
      </c>
      <c r="O247" t="s">
        <v>374</v>
      </c>
      <c r="P247">
        <v>36</v>
      </c>
      <c r="Q247" s="6" t="d">
        <v>1969-04-26</v>
      </c>
      <c r="R247">
        <v>25</v>
      </c>
      <c r="S247"/>
      <c r="T247" s="15" t="s">
        <v>1124</v>
      </c>
      <c r="U247" t="str" cm="1">
        <f t="array" ref="U247">_xlfn.TEXTJOIN(",",TRUE,_xlfn.XLOOKUP(_xlfn.FILTERXML("&lt;t&gt;&lt;s&gt;" &amp; SUBSTITUTE(T247,",","&lt;/s&gt;&lt;s&gt;") &amp; "&lt;/s&gt;&lt;/t&gt;", "//s"),Writers!$A$3:$A$999,Writers!$B$3:$B$999,""))</f>
        <v>Terrance Dicks,Malcolm Hulke</v>
      </c>
      <c r="V247"/>
      <c r="W247" t="str">
        <f>IF(V247="","",_xlfn.XLOOKUP(V247,Writers!$A$3:$A$999,Writers!$B$3:$B$999,""))</f>
        <v/>
      </c>
      <c r="X247">
        <v>6.3</v>
      </c>
      <c r="Y247"/>
      <c r="Z247"/>
      <c r="AA247">
        <f t="shared" si="9"/>
        <v>7.76</v>
      </c>
      <c r="AB247" t="str">
        <f t="shared" si="10"/>
        <v/>
      </c>
      <c r="AC247" t="str">
        <f t="shared" si="11"/>
        <v/>
      </c>
      <c r="AD247">
        <f>VLOOKUP(YEAR(Q247),Populations!$A$3:$B$999,2,0)</f>
        <v>55460600</v>
      </c>
      <c r="AE247">
        <f>(Calculations!B1/AD247)</f>
        <v>1.23159381615056</v>
      </c>
      <c r="AF247"/>
      <c r="AG247">
        <v>1</v>
      </c>
      <c r="AH247" t="str">
        <f>VLOOKUP(AG247,WikiFormats!$A$3:$B$999,2,0)</f>
        <v>Story</v>
      </c>
      <c r="AI247" t="s">
        <v>626</v>
      </c>
    </row>
    <row r="248" spans="1:35" s="2" customFormat="1" x14ac:dyDescent="0.55000000000000004">
      <c r="A248">
        <v>246</v>
      </c>
      <c r="B248">
        <v>1</v>
      </c>
      <c r="C248" t="str">
        <f>VLOOKUP(B248,Eras!$A$3:$B$999,2,0)</f>
        <v>Classic</v>
      </c>
      <c r="D248">
        <v>1</v>
      </c>
      <c r="E248" t="str">
        <f>VLOOKUP(D248,EpisodeFormats!$A$3:$B$999,2,0)</f>
        <v>Series</v>
      </c>
      <c r="F248">
        <v>2</v>
      </c>
      <c r="G248" t="str">
        <f>VLOOKUP(F248,Doctors!$A$3:$B$999,2,0)</f>
        <v>Patrick Troughton</v>
      </c>
      <c r="H248">
        <v>6</v>
      </c>
      <c r="I248">
        <v>1</v>
      </c>
      <c r="J248" t="str">
        <f>VLOOKUP(I248,SeasonFormats!$A$3:$B$999,2,0)</f>
        <v>Season</v>
      </c>
      <c r="K248">
        <v>50</v>
      </c>
      <c r="L248">
        <v>7</v>
      </c>
      <c r="M248" t="s">
        <v>401</v>
      </c>
      <c r="N248">
        <v>3</v>
      </c>
      <c r="O248" t="s">
        <v>375</v>
      </c>
      <c r="P248">
        <v>37</v>
      </c>
      <c r="Q248" s="6" t="d">
        <v>1969-05-03</v>
      </c>
      <c r="R248">
        <v>24</v>
      </c>
      <c r="S248"/>
      <c r="T248" s="15" t="s">
        <v>1124</v>
      </c>
      <c r="U248" t="str" cm="1">
        <f t="array" ref="U248">_xlfn.TEXTJOIN(",",TRUE,_xlfn.XLOOKUP(_xlfn.FILTERXML("&lt;t&gt;&lt;s&gt;" &amp; SUBSTITUTE(T248,",","&lt;/s&gt;&lt;s&gt;") &amp; "&lt;/s&gt;&lt;/t&gt;", "//s"),Writers!$A$3:$A$999,Writers!$B$3:$B$999,""))</f>
        <v>Terrance Dicks,Malcolm Hulke</v>
      </c>
      <c r="V248"/>
      <c r="W248" t="str">
        <f>IF(V248="","",_xlfn.XLOOKUP(V248,Writers!$A$3:$A$999,Writers!$B$3:$B$999,""))</f>
        <v/>
      </c>
      <c r="X248">
        <v>5.0999999999999996</v>
      </c>
      <c r="Y248"/>
      <c r="Z248"/>
      <c r="AA248">
        <f t="shared" si="9"/>
        <v>6.28</v>
      </c>
      <c r="AB248" t="str">
        <f t="shared" si="10"/>
        <v/>
      </c>
      <c r="AC248" t="str">
        <f t="shared" si="11"/>
        <v/>
      </c>
      <c r="AD248">
        <f>VLOOKUP(YEAR(Q248),Populations!$A$3:$B$999,2,0)</f>
        <v>55460600</v>
      </c>
      <c r="AE248">
        <f>(Calculations!B1/AD248)</f>
        <v>1.23159381615056</v>
      </c>
      <c r="AF248"/>
      <c r="AG248">
        <v>1</v>
      </c>
      <c r="AH248" t="str">
        <f>VLOOKUP(AG248,WikiFormats!$A$3:$B$999,2,0)</f>
        <v>Story</v>
      </c>
      <c r="AI248" t="s">
        <v>626</v>
      </c>
    </row>
    <row r="249" spans="1:35" s="2" customFormat="1" x14ac:dyDescent="0.55000000000000004">
      <c r="A249">
        <v>247</v>
      </c>
      <c r="B249">
        <v>1</v>
      </c>
      <c r="C249" t="str">
        <f>VLOOKUP(B249,Eras!$A$3:$B$999,2,0)</f>
        <v>Classic</v>
      </c>
      <c r="D249">
        <v>1</v>
      </c>
      <c r="E249" t="str">
        <f>VLOOKUP(D249,EpisodeFormats!$A$3:$B$999,2,0)</f>
        <v>Series</v>
      </c>
      <c r="F249">
        <v>2</v>
      </c>
      <c r="G249" t="str">
        <f>VLOOKUP(F249,Doctors!$A$3:$B$999,2,0)</f>
        <v>Patrick Troughton</v>
      </c>
      <c r="H249">
        <v>6</v>
      </c>
      <c r="I249">
        <v>1</v>
      </c>
      <c r="J249" t="str">
        <f>VLOOKUP(I249,SeasonFormats!$A$3:$B$999,2,0)</f>
        <v>Season</v>
      </c>
      <c r="K249">
        <v>50</v>
      </c>
      <c r="L249">
        <v>7</v>
      </c>
      <c r="M249" t="s">
        <v>401</v>
      </c>
      <c r="N249">
        <v>4</v>
      </c>
      <c r="O249" t="s">
        <v>376</v>
      </c>
      <c r="P249">
        <v>38</v>
      </c>
      <c r="Q249" s="6" t="d">
        <v>1969-05-10</v>
      </c>
      <c r="R249">
        <v>23</v>
      </c>
      <c r="S249"/>
      <c r="T249" s="15" t="s">
        <v>1124</v>
      </c>
      <c r="U249" t="str" cm="1">
        <f t="array" ref="U249">_xlfn.TEXTJOIN(",",TRUE,_xlfn.XLOOKUP(_xlfn.FILTERXML("&lt;t&gt;&lt;s&gt;" &amp; SUBSTITUTE(T249,",","&lt;/s&gt;&lt;s&gt;") &amp; "&lt;/s&gt;&lt;/t&gt;", "//s"),Writers!$A$3:$A$999,Writers!$B$3:$B$999,""))</f>
        <v>Terrance Dicks,Malcolm Hulke</v>
      </c>
      <c r="V249"/>
      <c r="W249" t="str">
        <f>IF(V249="","",_xlfn.XLOOKUP(V249,Writers!$A$3:$A$999,Writers!$B$3:$B$999,""))</f>
        <v/>
      </c>
      <c r="X249">
        <v>5.7</v>
      </c>
      <c r="Y249"/>
      <c r="Z249"/>
      <c r="AA249">
        <f t="shared" si="9"/>
        <v>7.02</v>
      </c>
      <c r="AB249" t="str">
        <f t="shared" si="10"/>
        <v/>
      </c>
      <c r="AC249" t="str">
        <f t="shared" si="11"/>
        <v/>
      </c>
      <c r="AD249">
        <f>VLOOKUP(YEAR(Q249),Populations!$A$3:$B$999,2,0)</f>
        <v>55460600</v>
      </c>
      <c r="AE249">
        <f>(Calculations!B1/AD249)</f>
        <v>1.23159381615056</v>
      </c>
      <c r="AF249"/>
      <c r="AG249">
        <v>1</v>
      </c>
      <c r="AH249" t="str">
        <f>VLOOKUP(AG249,WikiFormats!$A$3:$B$999,2,0)</f>
        <v>Story</v>
      </c>
      <c r="AI249" t="s">
        <v>626</v>
      </c>
    </row>
    <row r="250" spans="1:35" s="2" customFormat="1" x14ac:dyDescent="0.55000000000000004">
      <c r="A250">
        <v>248</v>
      </c>
      <c r="B250">
        <v>1</v>
      </c>
      <c r="C250" t="str">
        <f>VLOOKUP(B250,Eras!$A$3:$B$999,2,0)</f>
        <v>Classic</v>
      </c>
      <c r="D250">
        <v>1</v>
      </c>
      <c r="E250" t="str">
        <f>VLOOKUP(D250,EpisodeFormats!$A$3:$B$999,2,0)</f>
        <v>Series</v>
      </c>
      <c r="F250">
        <v>2</v>
      </c>
      <c r="G250" t="str">
        <f>VLOOKUP(F250,Doctors!$A$3:$B$999,2,0)</f>
        <v>Patrick Troughton</v>
      </c>
      <c r="H250">
        <v>6</v>
      </c>
      <c r="I250">
        <v>1</v>
      </c>
      <c r="J250" t="str">
        <f>VLOOKUP(I250,SeasonFormats!$A$3:$B$999,2,0)</f>
        <v>Season</v>
      </c>
      <c r="K250">
        <v>50</v>
      </c>
      <c r="L250">
        <v>7</v>
      </c>
      <c r="M250" t="s">
        <v>401</v>
      </c>
      <c r="N250">
        <v>5</v>
      </c>
      <c r="O250" t="s">
        <v>377</v>
      </c>
      <c r="P250">
        <v>39</v>
      </c>
      <c r="Q250" s="6" t="d">
        <v>1969-05-17</v>
      </c>
      <c r="R250">
        <v>25</v>
      </c>
      <c r="S250"/>
      <c r="T250" s="15" t="s">
        <v>1124</v>
      </c>
      <c r="U250" t="str" cm="1">
        <f t="array" ref="U250">_xlfn.TEXTJOIN(",",TRUE,_xlfn.XLOOKUP(_xlfn.FILTERXML("&lt;t&gt;&lt;s&gt;" &amp; SUBSTITUTE(T250,",","&lt;/s&gt;&lt;s&gt;") &amp; "&lt;/s&gt;&lt;/t&gt;", "//s"),Writers!$A$3:$A$999,Writers!$B$3:$B$999,""))</f>
        <v>Terrance Dicks,Malcolm Hulke</v>
      </c>
      <c r="V250"/>
      <c r="W250" t="str">
        <f>IF(V250="","",_xlfn.XLOOKUP(V250,Writers!$A$3:$A$999,Writers!$B$3:$B$999,""))</f>
        <v/>
      </c>
      <c r="X250">
        <v>5.0999999999999996</v>
      </c>
      <c r="Y250"/>
      <c r="Z250"/>
      <c r="AA250">
        <f t="shared" si="9"/>
        <v>6.28</v>
      </c>
      <c r="AB250" t="str">
        <f t="shared" si="10"/>
        <v/>
      </c>
      <c r="AC250" t="str">
        <f t="shared" si="11"/>
        <v/>
      </c>
      <c r="AD250">
        <f>VLOOKUP(YEAR(Q250),Populations!$A$3:$B$999,2,0)</f>
        <v>55460600</v>
      </c>
      <c r="AE250">
        <f>(Calculations!B1/AD250)</f>
        <v>1.23159381615056</v>
      </c>
      <c r="AF250"/>
      <c r="AG250">
        <v>1</v>
      </c>
      <c r="AH250" t="str">
        <f>VLOOKUP(AG250,WikiFormats!$A$3:$B$999,2,0)</f>
        <v>Story</v>
      </c>
      <c r="AI250" t="s">
        <v>626</v>
      </c>
    </row>
    <row r="251" spans="1:35" s="2" customFormat="1" x14ac:dyDescent="0.55000000000000004">
      <c r="A251">
        <v>249</v>
      </c>
      <c r="B251">
        <v>1</v>
      </c>
      <c r="C251" t="str">
        <f>VLOOKUP(B251,Eras!$A$3:$B$999,2,0)</f>
        <v>Classic</v>
      </c>
      <c r="D251">
        <v>1</v>
      </c>
      <c r="E251" t="str">
        <f>VLOOKUP(D251,EpisodeFormats!$A$3:$B$999,2,0)</f>
        <v>Series</v>
      </c>
      <c r="F251">
        <v>2</v>
      </c>
      <c r="G251" t="str">
        <f>VLOOKUP(F251,Doctors!$A$3:$B$999,2,0)</f>
        <v>Patrick Troughton</v>
      </c>
      <c r="H251">
        <v>6</v>
      </c>
      <c r="I251">
        <v>1</v>
      </c>
      <c r="J251" t="str">
        <f>VLOOKUP(I251,SeasonFormats!$A$3:$B$999,2,0)</f>
        <v>Season</v>
      </c>
      <c r="K251">
        <v>50</v>
      </c>
      <c r="L251">
        <v>7</v>
      </c>
      <c r="M251" t="s">
        <v>401</v>
      </c>
      <c r="N251">
        <v>6</v>
      </c>
      <c r="O251" t="s">
        <v>378</v>
      </c>
      <c r="P251">
        <v>40</v>
      </c>
      <c r="Q251" s="6" t="d">
        <v>1969-05-24</v>
      </c>
      <c r="R251">
        <v>23</v>
      </c>
      <c r="S251"/>
      <c r="T251" s="15" t="s">
        <v>1124</v>
      </c>
      <c r="U251" t="str" cm="1">
        <f t="array" ref="U251">_xlfn.TEXTJOIN(",",TRUE,_xlfn.XLOOKUP(_xlfn.FILTERXML("&lt;t&gt;&lt;s&gt;" &amp; SUBSTITUTE(T251,",","&lt;/s&gt;&lt;s&gt;") &amp; "&lt;/s&gt;&lt;/t&gt;", "//s"),Writers!$A$3:$A$999,Writers!$B$3:$B$999,""))</f>
        <v>Terrance Dicks,Malcolm Hulke</v>
      </c>
      <c r="V251"/>
      <c r="W251" t="str">
        <f>IF(V251="","",_xlfn.XLOOKUP(V251,Writers!$A$3:$A$999,Writers!$B$3:$B$999,""))</f>
        <v/>
      </c>
      <c r="X251">
        <v>4.2</v>
      </c>
      <c r="Y251"/>
      <c r="Z251"/>
      <c r="AA251">
        <f t="shared" si="9"/>
        <v>5.17</v>
      </c>
      <c r="AB251" t="str">
        <f t="shared" si="10"/>
        <v/>
      </c>
      <c r="AC251" t="str">
        <f t="shared" si="11"/>
        <v/>
      </c>
      <c r="AD251">
        <f>VLOOKUP(YEAR(Q251),Populations!$A$3:$B$999,2,0)</f>
        <v>55460600</v>
      </c>
      <c r="AE251">
        <f>(Calculations!B1/AD251)</f>
        <v>1.23159381615056</v>
      </c>
      <c r="AF251"/>
      <c r="AG251">
        <v>1</v>
      </c>
      <c r="AH251" t="str">
        <f>VLOOKUP(AG251,WikiFormats!$A$3:$B$999,2,0)</f>
        <v>Story</v>
      </c>
      <c r="AI251" t="s">
        <v>626</v>
      </c>
    </row>
    <row r="252" spans="1:35" s="2" customFormat="1" x14ac:dyDescent="0.55000000000000004">
      <c r="A252">
        <v>250</v>
      </c>
      <c r="B252">
        <v>1</v>
      </c>
      <c r="C252" t="str">
        <f>VLOOKUP(B252,Eras!$A$3:$B$999,2,0)</f>
        <v>Classic</v>
      </c>
      <c r="D252">
        <v>1</v>
      </c>
      <c r="E252" t="str">
        <f>VLOOKUP(D252,EpisodeFormats!$A$3:$B$999,2,0)</f>
        <v>Series</v>
      </c>
      <c r="F252">
        <v>2</v>
      </c>
      <c r="G252" t="str">
        <f>VLOOKUP(F252,Doctors!$A$3:$B$999,2,0)</f>
        <v>Patrick Troughton</v>
      </c>
      <c r="H252">
        <v>6</v>
      </c>
      <c r="I252">
        <v>1</v>
      </c>
      <c r="J252" t="str">
        <f>VLOOKUP(I252,SeasonFormats!$A$3:$B$999,2,0)</f>
        <v>Season</v>
      </c>
      <c r="K252">
        <v>50</v>
      </c>
      <c r="L252">
        <v>7</v>
      </c>
      <c r="M252" t="s">
        <v>401</v>
      </c>
      <c r="N252">
        <v>7</v>
      </c>
      <c r="O252" t="s">
        <v>402</v>
      </c>
      <c r="P252">
        <v>41</v>
      </c>
      <c r="Q252" s="6" t="d">
        <v>1969-05-31</v>
      </c>
      <c r="R252">
        <v>23</v>
      </c>
      <c r="S252"/>
      <c r="T252" s="15" t="s">
        <v>1124</v>
      </c>
      <c r="U252" t="str" cm="1">
        <f t="array" ref="U252">_xlfn.TEXTJOIN(",",TRUE,_xlfn.XLOOKUP(_xlfn.FILTERXML("&lt;t&gt;&lt;s&gt;" &amp; SUBSTITUTE(T252,",","&lt;/s&gt;&lt;s&gt;") &amp; "&lt;/s&gt;&lt;/t&gt;", "//s"),Writers!$A$3:$A$999,Writers!$B$3:$B$999,""))</f>
        <v>Terrance Dicks,Malcolm Hulke</v>
      </c>
      <c r="V252"/>
      <c r="W252" t="str">
        <f>IF(V252="","",_xlfn.XLOOKUP(V252,Writers!$A$3:$A$999,Writers!$B$3:$B$999,""))</f>
        <v/>
      </c>
      <c r="X252">
        <v>4.9000000000000004</v>
      </c>
      <c r="Y252"/>
      <c r="Z252"/>
      <c r="AA252">
        <f t="shared" si="9"/>
        <v>6.03</v>
      </c>
      <c r="AB252" t="str">
        <f t="shared" si="10"/>
        <v/>
      </c>
      <c r="AC252" t="str">
        <f t="shared" si="11"/>
        <v/>
      </c>
      <c r="AD252">
        <f>VLOOKUP(YEAR(Q252),Populations!$A$3:$B$999,2,0)</f>
        <v>55460600</v>
      </c>
      <c r="AE252">
        <f>(Calculations!B1/AD252)</f>
        <v>1.23159381615056</v>
      </c>
      <c r="AF252"/>
      <c r="AG252">
        <v>1</v>
      </c>
      <c r="AH252" t="str">
        <f>VLOOKUP(AG252,WikiFormats!$A$3:$B$999,2,0)</f>
        <v>Story</v>
      </c>
      <c r="AI252" t="s">
        <v>626</v>
      </c>
    </row>
    <row r="253" spans="1:35" s="2" customFormat="1" x14ac:dyDescent="0.55000000000000004">
      <c r="A253">
        <v>251</v>
      </c>
      <c r="B253">
        <v>1</v>
      </c>
      <c r="C253" t="str">
        <f>VLOOKUP(B253,Eras!$A$3:$B$999,2,0)</f>
        <v>Classic</v>
      </c>
      <c r="D253">
        <v>1</v>
      </c>
      <c r="E253" t="str">
        <f>VLOOKUP(D253,EpisodeFormats!$A$3:$B$999,2,0)</f>
        <v>Series</v>
      </c>
      <c r="F253">
        <v>2</v>
      </c>
      <c r="G253" t="str">
        <f>VLOOKUP(F253,Doctors!$A$3:$B$999,2,0)</f>
        <v>Patrick Troughton</v>
      </c>
      <c r="H253">
        <v>6</v>
      </c>
      <c r="I253">
        <v>1</v>
      </c>
      <c r="J253" t="str">
        <f>VLOOKUP(I253,SeasonFormats!$A$3:$B$999,2,0)</f>
        <v>Season</v>
      </c>
      <c r="K253">
        <v>50</v>
      </c>
      <c r="L253">
        <v>7</v>
      </c>
      <c r="M253" t="s">
        <v>401</v>
      </c>
      <c r="N253">
        <v>8</v>
      </c>
      <c r="O253" t="s">
        <v>403</v>
      </c>
      <c r="P253">
        <v>42</v>
      </c>
      <c r="Q253" s="6" t="d">
        <v>1969-06-07</v>
      </c>
      <c r="R253">
        <v>25</v>
      </c>
      <c r="S253"/>
      <c r="T253" s="15" t="s">
        <v>1124</v>
      </c>
      <c r="U253" t="str" cm="1">
        <f t="array" ref="U253">_xlfn.TEXTJOIN(",",TRUE,_xlfn.XLOOKUP(_xlfn.FILTERXML("&lt;t&gt;&lt;s&gt;" &amp; SUBSTITUTE(T253,",","&lt;/s&gt;&lt;s&gt;") &amp; "&lt;/s&gt;&lt;/t&gt;", "//s"),Writers!$A$3:$A$999,Writers!$B$3:$B$999,""))</f>
        <v>Terrance Dicks,Malcolm Hulke</v>
      </c>
      <c r="V253"/>
      <c r="W253" t="str">
        <f>IF(V253="","",_xlfn.XLOOKUP(V253,Writers!$A$3:$A$999,Writers!$B$3:$B$999,""))</f>
        <v/>
      </c>
      <c r="X253">
        <v>3.5</v>
      </c>
      <c r="Y253"/>
      <c r="Z253"/>
      <c r="AA253">
        <f t="shared" si="9"/>
        <v>4.3099999999999996</v>
      </c>
      <c r="AB253" t="str">
        <f t="shared" si="10"/>
        <v/>
      </c>
      <c r="AC253" t="str">
        <f t="shared" si="11"/>
        <v/>
      </c>
      <c r="AD253">
        <f>VLOOKUP(YEAR(Q253),Populations!$A$3:$B$999,2,0)</f>
        <v>55460600</v>
      </c>
      <c r="AE253">
        <f>(Calculations!B1/AD253)</f>
        <v>1.23159381615056</v>
      </c>
      <c r="AF253"/>
      <c r="AG253">
        <v>1</v>
      </c>
      <c r="AH253" t="str">
        <f>VLOOKUP(AG253,WikiFormats!$A$3:$B$999,2,0)</f>
        <v>Story</v>
      </c>
      <c r="AI253" t="s">
        <v>626</v>
      </c>
    </row>
    <row r="254" spans="1:35" s="2" customFormat="1" x14ac:dyDescent="0.55000000000000004">
      <c r="A254">
        <v>252</v>
      </c>
      <c r="B254">
        <v>1</v>
      </c>
      <c r="C254" t="str">
        <f>VLOOKUP(B254,Eras!$A$3:$B$999,2,0)</f>
        <v>Classic</v>
      </c>
      <c r="D254">
        <v>1</v>
      </c>
      <c r="E254" t="str">
        <f>VLOOKUP(D254,EpisodeFormats!$A$3:$B$999,2,0)</f>
        <v>Series</v>
      </c>
      <c r="F254">
        <v>2</v>
      </c>
      <c r="G254" t="str">
        <f>VLOOKUP(F254,Doctors!$A$3:$B$999,2,0)</f>
        <v>Patrick Troughton</v>
      </c>
      <c r="H254">
        <v>6</v>
      </c>
      <c r="I254">
        <v>1</v>
      </c>
      <c r="J254" t="str">
        <f>VLOOKUP(I254,SeasonFormats!$A$3:$B$999,2,0)</f>
        <v>Season</v>
      </c>
      <c r="K254">
        <v>50</v>
      </c>
      <c r="L254">
        <v>7</v>
      </c>
      <c r="M254" t="s">
        <v>401</v>
      </c>
      <c r="N254">
        <v>9</v>
      </c>
      <c r="O254" t="s">
        <v>404</v>
      </c>
      <c r="P254">
        <v>43</v>
      </c>
      <c r="Q254" s="6" t="d">
        <v>1969-06-14</v>
      </c>
      <c r="R254">
        <v>25</v>
      </c>
      <c r="S254"/>
      <c r="T254" s="15" t="s">
        <v>1124</v>
      </c>
      <c r="U254" t="str" cm="1">
        <f t="array" ref="U254">_xlfn.TEXTJOIN(",",TRUE,_xlfn.XLOOKUP(_xlfn.FILTERXML("&lt;t&gt;&lt;s&gt;" &amp; SUBSTITUTE(T254,",","&lt;/s&gt;&lt;s&gt;") &amp; "&lt;/s&gt;&lt;/t&gt;", "//s"),Writers!$A$3:$A$999,Writers!$B$3:$B$999,""))</f>
        <v>Terrance Dicks,Malcolm Hulke</v>
      </c>
      <c r="V254"/>
      <c r="W254" t="str">
        <f>IF(V254="","",_xlfn.XLOOKUP(V254,Writers!$A$3:$A$999,Writers!$B$3:$B$999,""))</f>
        <v/>
      </c>
      <c r="X254">
        <v>4.0999999999999996</v>
      </c>
      <c r="Y254"/>
      <c r="Z254"/>
      <c r="AA254">
        <f t="shared" si="9"/>
        <v>5.05</v>
      </c>
      <c r="AB254" t="str">
        <f t="shared" si="10"/>
        <v/>
      </c>
      <c r="AC254" t="str">
        <f t="shared" si="11"/>
        <v/>
      </c>
      <c r="AD254">
        <f>VLOOKUP(YEAR(Q254),Populations!$A$3:$B$999,2,0)</f>
        <v>55460600</v>
      </c>
      <c r="AE254">
        <f>(Calculations!B1/AD254)</f>
        <v>1.23159381615056</v>
      </c>
      <c r="AF254"/>
      <c r="AG254">
        <v>1</v>
      </c>
      <c r="AH254" t="str">
        <f>VLOOKUP(AG254,WikiFormats!$A$3:$B$999,2,0)</f>
        <v>Story</v>
      </c>
      <c r="AI254" t="s">
        <v>626</v>
      </c>
    </row>
    <row r="255" spans="1:35" s="2" customFormat="1" x14ac:dyDescent="0.55000000000000004">
      <c r="A255">
        <v>253</v>
      </c>
      <c r="B255">
        <v>1</v>
      </c>
      <c r="C255" t="str">
        <f>VLOOKUP(B255,Eras!$A$3:$B$999,2,0)</f>
        <v>Classic</v>
      </c>
      <c r="D255">
        <v>1</v>
      </c>
      <c r="E255" t="str">
        <f>VLOOKUP(D255,EpisodeFormats!$A$3:$B$999,2,0)</f>
        <v>Series</v>
      </c>
      <c r="F255">
        <v>2</v>
      </c>
      <c r="G255" t="str">
        <f>VLOOKUP(F255,Doctors!$A$3:$B$999,2,0)</f>
        <v>Patrick Troughton</v>
      </c>
      <c r="H255">
        <v>6</v>
      </c>
      <c r="I255">
        <v>1</v>
      </c>
      <c r="J255" t="str">
        <f>VLOOKUP(I255,SeasonFormats!$A$3:$B$999,2,0)</f>
        <v>Season</v>
      </c>
      <c r="K255">
        <v>50</v>
      </c>
      <c r="L255">
        <v>7</v>
      </c>
      <c r="M255" t="s">
        <v>401</v>
      </c>
      <c r="N255">
        <v>10</v>
      </c>
      <c r="O255" t="s">
        <v>405</v>
      </c>
      <c r="P255">
        <v>44</v>
      </c>
      <c r="Q255" s="6" t="d">
        <v>1969-06-21</v>
      </c>
      <c r="R255">
        <v>24</v>
      </c>
      <c r="S255"/>
      <c r="T255" s="15" t="s">
        <v>1124</v>
      </c>
      <c r="U255" t="str" cm="1">
        <f t="array" ref="U255">_xlfn.TEXTJOIN(",",TRUE,_xlfn.XLOOKUP(_xlfn.FILTERXML("&lt;t&gt;&lt;s&gt;" &amp; SUBSTITUTE(T255,",","&lt;/s&gt;&lt;s&gt;") &amp; "&lt;/s&gt;&lt;/t&gt;", "//s"),Writers!$A$3:$A$999,Writers!$B$3:$B$999,""))</f>
        <v>Terrance Dicks,Malcolm Hulke</v>
      </c>
      <c r="V255"/>
      <c r="W255" t="str">
        <f>IF(V255="","",_xlfn.XLOOKUP(V255,Writers!$A$3:$A$999,Writers!$B$3:$B$999,""))</f>
        <v/>
      </c>
      <c r="X255">
        <v>5</v>
      </c>
      <c r="Y255"/>
      <c r="Z255"/>
      <c r="AA255">
        <f t="shared" si="9"/>
        <v>6.16</v>
      </c>
      <c r="AB255" t="str">
        <f t="shared" si="10"/>
        <v/>
      </c>
      <c r="AC255" t="str">
        <f t="shared" si="11"/>
        <v/>
      </c>
      <c r="AD255">
        <f>VLOOKUP(YEAR(Q255),Populations!$A$3:$B$999,2,0)</f>
        <v>55460600</v>
      </c>
      <c r="AE255">
        <f>(Calculations!B1/AD255)</f>
        <v>1.23159381615056</v>
      </c>
      <c r="AF255"/>
      <c r="AG255">
        <v>1</v>
      </c>
      <c r="AH255" t="str">
        <f>VLOOKUP(AG255,WikiFormats!$A$3:$B$999,2,0)</f>
        <v>Story</v>
      </c>
      <c r="AI255" t="s">
        <v>626</v>
      </c>
    </row>
    <row r="256" spans="1:35" s="8" customFormat="1" x14ac:dyDescent="0.55000000000000004">
      <c r="A256" s="3">
        <v>254</v>
      </c>
      <c r="B256" s="3">
        <v>1</v>
      </c>
      <c r="C256" s="3" t="str">
        <f>VLOOKUP(B256,Eras!$A$3:$B$999,2,0)</f>
        <v>Classic</v>
      </c>
      <c r="D256" s="3">
        <v>1</v>
      </c>
      <c r="E256" s="3" t="str">
        <f>VLOOKUP(D256,EpisodeFormats!$A$3:$B$999,2,0)</f>
        <v>Series</v>
      </c>
      <c r="F256" s="3">
        <v>3</v>
      </c>
      <c r="G256" s="3" t="str">
        <f>VLOOKUP(F256,Doctors!$A$3:$B$999,2,0)</f>
        <v>Jon Pertwee</v>
      </c>
      <c r="H256" s="3">
        <v>7</v>
      </c>
      <c r="I256" s="3">
        <v>1</v>
      </c>
      <c r="J256" s="3" t="str">
        <f>VLOOKUP(I256,SeasonFormats!$A$3:$B$999,2,0)</f>
        <v>Season</v>
      </c>
      <c r="K256" s="3">
        <v>51</v>
      </c>
      <c r="L256" s="3">
        <v>1</v>
      </c>
      <c r="M256" s="3" t="s">
        <v>408</v>
      </c>
      <c r="N256" s="3">
        <v>1</v>
      </c>
      <c r="O256" s="3" t="s">
        <v>360</v>
      </c>
      <c r="P256" s="3">
        <v>1</v>
      </c>
      <c r="Q256" s="7" t="d">
        <v>1970-01-03</v>
      </c>
      <c r="R256" s="3">
        <v>24</v>
      </c>
      <c r="S256" s="3"/>
      <c r="T256" s="4" t="s">
        <v>1122</v>
      </c>
      <c r="U256" s="3" t="str" cm="1">
        <f t="array" ref="U256">_xlfn.TEXTJOIN(",",TRUE,_xlfn.XLOOKUP(_xlfn.FILTERXML("&lt;t&gt;&lt;s&gt;" &amp; SUBSTITUTE(T256,",","&lt;/s&gt;&lt;s&gt;") &amp; "&lt;/s&gt;&lt;/t&gt;", "//s"),Writers!$A$3:$A$999,Writers!$B$3:$B$999,""))</f>
        <v>Robert Holmes</v>
      </c>
      <c r="V256" s="3"/>
      <c r="W256" s="3" t="str">
        <f>IF(V256="","",_xlfn.XLOOKUP(V256,Writers!$A$3:$A$999,Writers!$B$3:$B$999,""))</f>
        <v/>
      </c>
      <c r="X256" s="3">
        <v>8.4</v>
      </c>
      <c r="Y256" s="3"/>
      <c r="Z256" s="3"/>
      <c r="AA256" s="3">
        <f t="shared" si="9"/>
        <v>10.31</v>
      </c>
      <c r="AB256" s="3" t="str">
        <f t="shared" si="10"/>
        <v/>
      </c>
      <c r="AC256" s="3" t="str">
        <f t="shared" si="11"/>
        <v/>
      </c>
      <c r="AD256" s="3">
        <f>VLOOKUP(YEAR(Q256),Populations!$A$3:$B$999,2,0)</f>
        <v>55632200</v>
      </c>
      <c r="AE256" s="3">
        <f>(Calculations!B1/AD256)</f>
        <v>1.2277949101419701</v>
      </c>
      <c r="AF256" s="3"/>
      <c r="AG256" s="3">
        <v>1</v>
      </c>
      <c r="AH256" s="3" t="str">
        <f>VLOOKUP(AG256,WikiFormats!$A$3:$B$999,2,0)</f>
        <v>Story</v>
      </c>
      <c r="AI256" s="3" t="s">
        <v>627</v>
      </c>
    </row>
    <row r="257" spans="1:35" s="8" customFormat="1" x14ac:dyDescent="0.55000000000000004">
      <c r="A257" s="3">
        <v>255</v>
      </c>
      <c r="B257" s="3">
        <v>1</v>
      </c>
      <c r="C257" s="3" t="str">
        <f>VLOOKUP(B257,Eras!$A$3:$B$999,2,0)</f>
        <v>Classic</v>
      </c>
      <c r="D257" s="3">
        <v>1</v>
      </c>
      <c r="E257" s="3" t="str">
        <f>VLOOKUP(D257,EpisodeFormats!$A$3:$B$999,2,0)</f>
        <v>Series</v>
      </c>
      <c r="F257" s="3">
        <v>3</v>
      </c>
      <c r="G257" s="3" t="str">
        <f>VLOOKUP(F257,Doctors!$A$3:$B$999,2,0)</f>
        <v>Jon Pertwee</v>
      </c>
      <c r="H257" s="3">
        <v>7</v>
      </c>
      <c r="I257" s="3">
        <v>1</v>
      </c>
      <c r="J257" s="3" t="str">
        <f>VLOOKUP(I257,SeasonFormats!$A$3:$B$999,2,0)</f>
        <v>Season</v>
      </c>
      <c r="K257" s="3">
        <v>51</v>
      </c>
      <c r="L257" s="3">
        <v>1</v>
      </c>
      <c r="M257" s="3" t="s">
        <v>408</v>
      </c>
      <c r="N257" s="3">
        <v>2</v>
      </c>
      <c r="O257" s="3" t="s">
        <v>361</v>
      </c>
      <c r="P257" s="3">
        <v>2</v>
      </c>
      <c r="Q257" s="7" t="d">
        <v>1970-01-10</v>
      </c>
      <c r="R257" s="3">
        <v>24</v>
      </c>
      <c r="S257" s="3"/>
      <c r="T257" s="4" t="s">
        <v>1122</v>
      </c>
      <c r="U257" s="3" t="str" cm="1">
        <f t="array" ref="U257">_xlfn.TEXTJOIN(",",TRUE,_xlfn.XLOOKUP(_xlfn.FILTERXML("&lt;t&gt;&lt;s&gt;" &amp; SUBSTITUTE(T257,",","&lt;/s&gt;&lt;s&gt;") &amp; "&lt;/s&gt;&lt;/t&gt;", "//s"),Writers!$A$3:$A$999,Writers!$B$3:$B$999,""))</f>
        <v>Robert Holmes</v>
      </c>
      <c r="V257" s="3"/>
      <c r="W257" s="3" t="str">
        <f>IF(V257="","",_xlfn.XLOOKUP(V257,Writers!$A$3:$A$999,Writers!$B$3:$B$999,""))</f>
        <v/>
      </c>
      <c r="X257" s="3">
        <v>8.1</v>
      </c>
      <c r="Y257" s="3"/>
      <c r="Z257" s="3"/>
      <c r="AA257" s="3">
        <f t="shared" si="9"/>
        <v>9.9499999999999993</v>
      </c>
      <c r="AB257" s="3" t="str">
        <f t="shared" si="10"/>
        <v/>
      </c>
      <c r="AC257" s="3" t="str">
        <f t="shared" si="11"/>
        <v/>
      </c>
      <c r="AD257" s="3">
        <f>VLOOKUP(YEAR(Q257),Populations!$A$3:$B$999,2,0)</f>
        <v>55632200</v>
      </c>
      <c r="AE257" s="3">
        <f>(Calculations!B1/AD257)</f>
        <v>1.2277949101419701</v>
      </c>
      <c r="AF257" s="3"/>
      <c r="AG257" s="3">
        <v>1</v>
      </c>
      <c r="AH257" s="3" t="str">
        <f>VLOOKUP(AG257,WikiFormats!$A$3:$B$999,2,0)</f>
        <v>Story</v>
      </c>
      <c r="AI257" s="3" t="s">
        <v>627</v>
      </c>
    </row>
    <row r="258" spans="1:35" s="8" customFormat="1" x14ac:dyDescent="0.55000000000000004">
      <c r="A258" s="3">
        <v>256</v>
      </c>
      <c r="B258" s="3">
        <v>1</v>
      </c>
      <c r="C258" s="3" t="str">
        <f>VLOOKUP(B258,Eras!$A$3:$B$999,2,0)</f>
        <v>Classic</v>
      </c>
      <c r="D258" s="3">
        <v>1</v>
      </c>
      <c r="E258" s="3" t="str">
        <f>VLOOKUP(D258,EpisodeFormats!$A$3:$B$999,2,0)</f>
        <v>Series</v>
      </c>
      <c r="F258" s="3">
        <v>3</v>
      </c>
      <c r="G258" s="3" t="str">
        <f>VLOOKUP(F258,Doctors!$A$3:$B$999,2,0)</f>
        <v>Jon Pertwee</v>
      </c>
      <c r="H258" s="3">
        <v>7</v>
      </c>
      <c r="I258" s="3">
        <v>1</v>
      </c>
      <c r="J258" s="3" t="str">
        <f>VLOOKUP(I258,SeasonFormats!$A$3:$B$999,2,0)</f>
        <v>Season</v>
      </c>
      <c r="K258" s="3">
        <v>51</v>
      </c>
      <c r="L258" s="3">
        <v>1</v>
      </c>
      <c r="M258" s="3" t="s">
        <v>408</v>
      </c>
      <c r="N258" s="3">
        <v>3</v>
      </c>
      <c r="O258" s="3" t="s">
        <v>362</v>
      </c>
      <c r="P258" s="3">
        <v>3</v>
      </c>
      <c r="Q258" s="7" t="d">
        <v>1970-01-17</v>
      </c>
      <c r="R258" s="3">
        <v>24</v>
      </c>
      <c r="S258" s="3"/>
      <c r="T258" s="4" t="s">
        <v>1122</v>
      </c>
      <c r="U258" s="3" t="str" cm="1">
        <f t="array" ref="U258">_xlfn.TEXTJOIN(",",TRUE,_xlfn.XLOOKUP(_xlfn.FILTERXML("&lt;t&gt;&lt;s&gt;" &amp; SUBSTITUTE(T258,",","&lt;/s&gt;&lt;s&gt;") &amp; "&lt;/s&gt;&lt;/t&gt;", "//s"),Writers!$A$3:$A$999,Writers!$B$3:$B$999,""))</f>
        <v>Robert Holmes</v>
      </c>
      <c r="V258" s="3"/>
      <c r="W258" s="3" t="str">
        <f>IF(V258="","",_xlfn.XLOOKUP(V258,Writers!$A$3:$A$999,Writers!$B$3:$B$999,""))</f>
        <v/>
      </c>
      <c r="X258" s="3">
        <v>8.3000000000000007</v>
      </c>
      <c r="Y258" s="3"/>
      <c r="Z258" s="3"/>
      <c r="AA258" s="3">
        <f t="shared" si="9"/>
        <v>10.19</v>
      </c>
      <c r="AB258" s="3" t="str">
        <f t="shared" si="10"/>
        <v/>
      </c>
      <c r="AC258" s="3" t="str">
        <f t="shared" si="11"/>
        <v/>
      </c>
      <c r="AD258" s="3">
        <f>VLOOKUP(YEAR(Q258),Populations!$A$3:$B$999,2,0)</f>
        <v>55632200</v>
      </c>
      <c r="AE258" s="3">
        <f>(Calculations!B1/AD258)</f>
        <v>1.2277949101419701</v>
      </c>
      <c r="AF258" s="3"/>
      <c r="AG258" s="3">
        <v>1</v>
      </c>
      <c r="AH258" s="3" t="str">
        <f>VLOOKUP(AG258,WikiFormats!$A$3:$B$999,2,0)</f>
        <v>Story</v>
      </c>
      <c r="AI258" s="3" t="s">
        <v>627</v>
      </c>
    </row>
    <row r="259" spans="1:35" s="8" customFormat="1" x14ac:dyDescent="0.55000000000000004">
      <c r="A259" s="3">
        <v>257</v>
      </c>
      <c r="B259" s="3">
        <v>1</v>
      </c>
      <c r="C259" s="3" t="str">
        <f>VLOOKUP(B259,Eras!$A$3:$B$999,2,0)</f>
        <v>Classic</v>
      </c>
      <c r="D259" s="3">
        <v>1</v>
      </c>
      <c r="E259" s="3" t="str">
        <f>VLOOKUP(D259,EpisodeFormats!$A$3:$B$999,2,0)</f>
        <v>Series</v>
      </c>
      <c r="F259" s="3">
        <v>3</v>
      </c>
      <c r="G259" s="3" t="str">
        <f>VLOOKUP(F259,Doctors!$A$3:$B$999,2,0)</f>
        <v>Jon Pertwee</v>
      </c>
      <c r="H259" s="3">
        <v>7</v>
      </c>
      <c r="I259" s="3">
        <v>1</v>
      </c>
      <c r="J259" s="3" t="str">
        <f>VLOOKUP(I259,SeasonFormats!$A$3:$B$999,2,0)</f>
        <v>Season</v>
      </c>
      <c r="K259" s="3">
        <v>51</v>
      </c>
      <c r="L259" s="3">
        <v>1</v>
      </c>
      <c r="M259" s="3" t="s">
        <v>408</v>
      </c>
      <c r="N259" s="3">
        <v>4</v>
      </c>
      <c r="O259" s="3" t="s">
        <v>363</v>
      </c>
      <c r="P259" s="3">
        <v>4</v>
      </c>
      <c r="Q259" s="7" t="d">
        <v>1970-01-24</v>
      </c>
      <c r="R259" s="3">
        <v>25</v>
      </c>
      <c r="S259" s="3"/>
      <c r="T259" s="4" t="s">
        <v>1122</v>
      </c>
      <c r="U259" s="3" t="str" cm="1">
        <f t="array" ref="U259">_xlfn.TEXTJOIN(",",TRUE,_xlfn.XLOOKUP(_xlfn.FILTERXML("&lt;t&gt;&lt;s&gt;" &amp; SUBSTITUTE(T259,",","&lt;/s&gt;&lt;s&gt;") &amp; "&lt;/s&gt;&lt;/t&gt;", "//s"),Writers!$A$3:$A$999,Writers!$B$3:$B$999,""))</f>
        <v>Robert Holmes</v>
      </c>
      <c r="V259" s="3"/>
      <c r="W259" s="3" t="str">
        <f>IF(V259="","",_xlfn.XLOOKUP(V259,Writers!$A$3:$A$999,Writers!$B$3:$B$999,""))</f>
        <v/>
      </c>
      <c r="X259" s="3">
        <v>8.1</v>
      </c>
      <c r="Y259" s="3"/>
      <c r="Z259" s="3"/>
      <c r="AA259" s="3">
        <f t="shared" si="9"/>
        <v>9.9499999999999993</v>
      </c>
      <c r="AB259" s="3" t="str">
        <f t="shared" si="10"/>
        <v/>
      </c>
      <c r="AC259" s="3" t="str">
        <f t="shared" si="11"/>
        <v/>
      </c>
      <c r="AD259" s="3">
        <f>VLOOKUP(YEAR(Q259),Populations!$A$3:$B$999,2,0)</f>
        <v>55632200</v>
      </c>
      <c r="AE259" s="3">
        <f>(Calculations!B1/AD259)</f>
        <v>1.2277949101419701</v>
      </c>
      <c r="AF259" s="3"/>
      <c r="AG259" s="3">
        <v>1</v>
      </c>
      <c r="AH259" s="3" t="str">
        <f>VLOOKUP(AG259,WikiFormats!$A$3:$B$999,2,0)</f>
        <v>Story</v>
      </c>
      <c r="AI259" s="3" t="s">
        <v>627</v>
      </c>
    </row>
    <row r="260" spans="1:35" s="2" customFormat="1" x14ac:dyDescent="0.55000000000000004">
      <c r="A260">
        <v>258</v>
      </c>
      <c r="B260">
        <v>1</v>
      </c>
      <c r="C260" t="str">
        <f>VLOOKUP(B260,Eras!$A$3:$B$999,2,0)</f>
        <v>Classic</v>
      </c>
      <c r="D260">
        <v>1</v>
      </c>
      <c r="E260" t="str">
        <f>VLOOKUP(D260,EpisodeFormats!$A$3:$B$999,2,0)</f>
        <v>Series</v>
      </c>
      <c r="F260">
        <v>3</v>
      </c>
      <c r="G260" t="str">
        <f>VLOOKUP(F260,Doctors!$A$3:$B$999,2,0)</f>
        <v>Jon Pertwee</v>
      </c>
      <c r="H260">
        <v>7</v>
      </c>
      <c r="I260">
        <v>1</v>
      </c>
      <c r="J260" t="str">
        <f>VLOOKUP(I260,SeasonFormats!$A$3:$B$999,2,0)</f>
        <v>Season</v>
      </c>
      <c r="K260">
        <v>52</v>
      </c>
      <c r="L260">
        <v>2</v>
      </c>
      <c r="M260" t="s">
        <v>409</v>
      </c>
      <c r="N260">
        <v>1</v>
      </c>
      <c r="O260" t="s">
        <v>360</v>
      </c>
      <c r="P260">
        <v>5</v>
      </c>
      <c r="Q260" s="6" t="d">
        <v>1970-01-31</v>
      </c>
      <c r="R260">
        <v>24</v>
      </c>
      <c r="S260"/>
      <c r="T260" s="15" t="s">
        <v>1123</v>
      </c>
      <c r="U260" t="str" cm="1">
        <f t="array" ref="U260">_xlfn.TEXTJOIN(",",TRUE,_xlfn.XLOOKUP(_xlfn.FILTERXML("&lt;t&gt;&lt;s&gt;" &amp; SUBSTITUTE(T260,",","&lt;/s&gt;&lt;s&gt;") &amp; "&lt;/s&gt;&lt;/t&gt;", "//s"),Writers!$A$3:$A$999,Writers!$B$3:$B$999,""))</f>
        <v>Malcolm Hulke</v>
      </c>
      <c r="V260"/>
      <c r="W260" t="str">
        <f>IF(V260="","",_xlfn.XLOOKUP(V260,Writers!$A$3:$A$999,Writers!$B$3:$B$999,""))</f>
        <v/>
      </c>
      <c r="X260">
        <v>8.8000000000000007</v>
      </c>
      <c r="Y260"/>
      <c r="Z260"/>
      <c r="AA260">
        <f t="shared" ref="AA260:AA323" si="12">IF(ISBLANK(X260),"",ROUND(X260*AE260,2))</f>
        <v>10.8</v>
      </c>
      <c r="AB260" t="str">
        <f t="shared" ref="AB260:AB323" si="13">IF(ISBLANK(Y260),"",ROUND(Y260*AE260,2))</f>
        <v/>
      </c>
      <c r="AC260" t="str">
        <f t="shared" ref="AC260:AC323" si="14">IF(ISBLANK(Z260),"",ROUND(Z260*AE260,2))</f>
        <v/>
      </c>
      <c r="AD260">
        <f>VLOOKUP(YEAR(Q260),Populations!$A$3:$B$999,2,0)</f>
        <v>55632200</v>
      </c>
      <c r="AE260">
        <f>(Calculations!B1/AD260)</f>
        <v>1.2277949101419701</v>
      </c>
      <c r="AF260"/>
      <c r="AG260">
        <v>1</v>
      </c>
      <c r="AH260" t="str">
        <f>VLOOKUP(AG260,WikiFormats!$A$3:$B$999,2,0)</f>
        <v>Story</v>
      </c>
      <c r="AI260" t="s">
        <v>628</v>
      </c>
    </row>
    <row r="261" spans="1:35" s="2" customFormat="1" x14ac:dyDescent="0.55000000000000004">
      <c r="A261">
        <v>259</v>
      </c>
      <c r="B261">
        <v>1</v>
      </c>
      <c r="C261" t="str">
        <f>VLOOKUP(B261,Eras!$A$3:$B$999,2,0)</f>
        <v>Classic</v>
      </c>
      <c r="D261">
        <v>1</v>
      </c>
      <c r="E261" t="str">
        <f>VLOOKUP(D261,EpisodeFormats!$A$3:$B$999,2,0)</f>
        <v>Series</v>
      </c>
      <c r="F261">
        <v>3</v>
      </c>
      <c r="G261" t="str">
        <f>VLOOKUP(F261,Doctors!$A$3:$B$999,2,0)</f>
        <v>Jon Pertwee</v>
      </c>
      <c r="H261">
        <v>7</v>
      </c>
      <c r="I261">
        <v>1</v>
      </c>
      <c r="J261" t="str">
        <f>VLOOKUP(I261,SeasonFormats!$A$3:$B$999,2,0)</f>
        <v>Season</v>
      </c>
      <c r="K261">
        <v>52</v>
      </c>
      <c r="L261">
        <v>2</v>
      </c>
      <c r="M261" t="s">
        <v>409</v>
      </c>
      <c r="N261">
        <v>2</v>
      </c>
      <c r="O261" t="s">
        <v>361</v>
      </c>
      <c r="P261">
        <v>6</v>
      </c>
      <c r="Q261" s="6" t="d">
        <v>1970-02-07</v>
      </c>
      <c r="R261">
        <v>23</v>
      </c>
      <c r="S261"/>
      <c r="T261" s="15" t="s">
        <v>1123</v>
      </c>
      <c r="U261" t="str" cm="1">
        <f t="array" ref="U261">_xlfn.TEXTJOIN(",",TRUE,_xlfn.XLOOKUP(_xlfn.FILTERXML("&lt;t&gt;&lt;s&gt;" &amp; SUBSTITUTE(T261,",","&lt;/s&gt;&lt;s&gt;") &amp; "&lt;/s&gt;&lt;/t&gt;", "//s"),Writers!$A$3:$A$999,Writers!$B$3:$B$999,""))</f>
        <v>Malcolm Hulke</v>
      </c>
      <c r="V261"/>
      <c r="W261" t="str">
        <f>IF(V261="","",_xlfn.XLOOKUP(V261,Writers!$A$3:$A$999,Writers!$B$3:$B$999,""))</f>
        <v/>
      </c>
      <c r="X261">
        <v>7.3</v>
      </c>
      <c r="Y261"/>
      <c r="Z261"/>
      <c r="AA261">
        <f t="shared" si="12"/>
        <v>8.9600000000000009</v>
      </c>
      <c r="AB261" t="str">
        <f t="shared" si="13"/>
        <v/>
      </c>
      <c r="AC261" t="str">
        <f t="shared" si="14"/>
        <v/>
      </c>
      <c r="AD261">
        <f>VLOOKUP(YEAR(Q261),Populations!$A$3:$B$999,2,0)</f>
        <v>55632200</v>
      </c>
      <c r="AE261">
        <f>(Calculations!B1/AD261)</f>
        <v>1.2277949101419701</v>
      </c>
      <c r="AF261"/>
      <c r="AG261">
        <v>1</v>
      </c>
      <c r="AH261" t="str">
        <f>VLOOKUP(AG261,WikiFormats!$A$3:$B$999,2,0)</f>
        <v>Story</v>
      </c>
      <c r="AI261" t="s">
        <v>628</v>
      </c>
    </row>
    <row r="262" spans="1:35" s="2" customFormat="1" x14ac:dyDescent="0.55000000000000004">
      <c r="A262">
        <v>260</v>
      </c>
      <c r="B262">
        <v>1</v>
      </c>
      <c r="C262" t="str">
        <f>VLOOKUP(B262,Eras!$A$3:$B$999,2,0)</f>
        <v>Classic</v>
      </c>
      <c r="D262">
        <v>1</v>
      </c>
      <c r="E262" t="str">
        <f>VLOOKUP(D262,EpisodeFormats!$A$3:$B$999,2,0)</f>
        <v>Series</v>
      </c>
      <c r="F262">
        <v>3</v>
      </c>
      <c r="G262" t="str">
        <f>VLOOKUP(F262,Doctors!$A$3:$B$999,2,0)</f>
        <v>Jon Pertwee</v>
      </c>
      <c r="H262">
        <v>7</v>
      </c>
      <c r="I262">
        <v>1</v>
      </c>
      <c r="J262" t="str">
        <f>VLOOKUP(I262,SeasonFormats!$A$3:$B$999,2,0)</f>
        <v>Season</v>
      </c>
      <c r="K262">
        <v>52</v>
      </c>
      <c r="L262">
        <v>2</v>
      </c>
      <c r="M262" t="s">
        <v>409</v>
      </c>
      <c r="N262">
        <v>3</v>
      </c>
      <c r="O262" t="s">
        <v>362</v>
      </c>
      <c r="P262">
        <v>7</v>
      </c>
      <c r="Q262" s="6" t="d">
        <v>1970-02-14</v>
      </c>
      <c r="R262">
        <v>23</v>
      </c>
      <c r="S262"/>
      <c r="T262" s="15" t="s">
        <v>1123</v>
      </c>
      <c r="U262" t="str" cm="1">
        <f t="array" ref="U262">_xlfn.TEXTJOIN(",",TRUE,_xlfn.XLOOKUP(_xlfn.FILTERXML("&lt;t&gt;&lt;s&gt;" &amp; SUBSTITUTE(T262,",","&lt;/s&gt;&lt;s&gt;") &amp; "&lt;/s&gt;&lt;/t&gt;", "//s"),Writers!$A$3:$A$999,Writers!$B$3:$B$999,""))</f>
        <v>Malcolm Hulke</v>
      </c>
      <c r="V262"/>
      <c r="W262" t="str">
        <f>IF(V262="","",_xlfn.XLOOKUP(V262,Writers!$A$3:$A$999,Writers!$B$3:$B$999,""))</f>
        <v/>
      </c>
      <c r="X262">
        <v>7.5</v>
      </c>
      <c r="Y262"/>
      <c r="Z262"/>
      <c r="AA262">
        <f t="shared" si="12"/>
        <v>9.2100000000000009</v>
      </c>
      <c r="AB262" t="str">
        <f t="shared" si="13"/>
        <v/>
      </c>
      <c r="AC262" t="str">
        <f t="shared" si="14"/>
        <v/>
      </c>
      <c r="AD262">
        <f>VLOOKUP(YEAR(Q262),Populations!$A$3:$B$999,2,0)</f>
        <v>55632200</v>
      </c>
      <c r="AE262">
        <f>(Calculations!B1/AD262)</f>
        <v>1.2277949101419701</v>
      </c>
      <c r="AF262"/>
      <c r="AG262">
        <v>1</v>
      </c>
      <c r="AH262" t="str">
        <f>VLOOKUP(AG262,WikiFormats!$A$3:$B$999,2,0)</f>
        <v>Story</v>
      </c>
      <c r="AI262" t="s">
        <v>628</v>
      </c>
    </row>
    <row r="263" spans="1:35" s="2" customFormat="1" x14ac:dyDescent="0.55000000000000004">
      <c r="A263">
        <v>261</v>
      </c>
      <c r="B263">
        <v>1</v>
      </c>
      <c r="C263" t="str">
        <f>VLOOKUP(B263,Eras!$A$3:$B$999,2,0)</f>
        <v>Classic</v>
      </c>
      <c r="D263">
        <v>1</v>
      </c>
      <c r="E263" t="str">
        <f>VLOOKUP(D263,EpisodeFormats!$A$3:$B$999,2,0)</f>
        <v>Series</v>
      </c>
      <c r="F263">
        <v>3</v>
      </c>
      <c r="G263" t="str">
        <f>VLOOKUP(F263,Doctors!$A$3:$B$999,2,0)</f>
        <v>Jon Pertwee</v>
      </c>
      <c r="H263">
        <v>7</v>
      </c>
      <c r="I263">
        <v>1</v>
      </c>
      <c r="J263" t="str">
        <f>VLOOKUP(I263,SeasonFormats!$A$3:$B$999,2,0)</f>
        <v>Season</v>
      </c>
      <c r="K263">
        <v>52</v>
      </c>
      <c r="L263">
        <v>2</v>
      </c>
      <c r="M263" t="s">
        <v>409</v>
      </c>
      <c r="N263">
        <v>4</v>
      </c>
      <c r="O263" t="s">
        <v>363</v>
      </c>
      <c r="P263">
        <v>8</v>
      </c>
      <c r="Q263" s="6" t="d">
        <v>1970-02-21</v>
      </c>
      <c r="R263">
        <v>25</v>
      </c>
      <c r="S263"/>
      <c r="T263" s="15" t="s">
        <v>1123</v>
      </c>
      <c r="U263" t="str" cm="1">
        <f t="array" ref="U263">_xlfn.TEXTJOIN(",",TRUE,_xlfn.XLOOKUP(_xlfn.FILTERXML("&lt;t&gt;&lt;s&gt;" &amp; SUBSTITUTE(T263,",","&lt;/s&gt;&lt;s&gt;") &amp; "&lt;/s&gt;&lt;/t&gt;", "//s"),Writers!$A$3:$A$999,Writers!$B$3:$B$999,""))</f>
        <v>Malcolm Hulke</v>
      </c>
      <c r="V263"/>
      <c r="W263" t="str">
        <f>IF(V263="","",_xlfn.XLOOKUP(V263,Writers!$A$3:$A$999,Writers!$B$3:$B$999,""))</f>
        <v/>
      </c>
      <c r="X263">
        <v>8.1999999999999993</v>
      </c>
      <c r="Y263"/>
      <c r="Z263"/>
      <c r="AA263">
        <f t="shared" si="12"/>
        <v>10.07</v>
      </c>
      <c r="AB263" t="str">
        <f t="shared" si="13"/>
        <v/>
      </c>
      <c r="AC263" t="str">
        <f t="shared" si="14"/>
        <v/>
      </c>
      <c r="AD263">
        <f>VLOOKUP(YEAR(Q263),Populations!$A$3:$B$999,2,0)</f>
        <v>55632200</v>
      </c>
      <c r="AE263">
        <f>(Calculations!B1/AD263)</f>
        <v>1.2277949101419701</v>
      </c>
      <c r="AF263"/>
      <c r="AG263">
        <v>1</v>
      </c>
      <c r="AH263" t="str">
        <f>VLOOKUP(AG263,WikiFormats!$A$3:$B$999,2,0)</f>
        <v>Story</v>
      </c>
      <c r="AI263" t="s">
        <v>628</v>
      </c>
    </row>
    <row r="264" spans="1:35" s="2" customFormat="1" x14ac:dyDescent="0.55000000000000004">
      <c r="A264">
        <v>262</v>
      </c>
      <c r="B264">
        <v>1</v>
      </c>
      <c r="C264" t="str">
        <f>VLOOKUP(B264,Eras!$A$3:$B$999,2,0)</f>
        <v>Classic</v>
      </c>
      <c r="D264">
        <v>1</v>
      </c>
      <c r="E264" t="str">
        <f>VLOOKUP(D264,EpisodeFormats!$A$3:$B$999,2,0)</f>
        <v>Series</v>
      </c>
      <c r="F264">
        <v>3</v>
      </c>
      <c r="G264" t="str">
        <f>VLOOKUP(F264,Doctors!$A$3:$B$999,2,0)</f>
        <v>Jon Pertwee</v>
      </c>
      <c r="H264">
        <v>7</v>
      </c>
      <c r="I264">
        <v>1</v>
      </c>
      <c r="J264" t="str">
        <f>VLOOKUP(I264,SeasonFormats!$A$3:$B$999,2,0)</f>
        <v>Season</v>
      </c>
      <c r="K264">
        <v>52</v>
      </c>
      <c r="L264">
        <v>2</v>
      </c>
      <c r="M264" t="s">
        <v>409</v>
      </c>
      <c r="N264">
        <v>5</v>
      </c>
      <c r="O264" t="s">
        <v>379</v>
      </c>
      <c r="P264">
        <v>9</v>
      </c>
      <c r="Q264" s="6" t="d">
        <v>1970-02-28</v>
      </c>
      <c r="R264">
        <v>24</v>
      </c>
      <c r="S264"/>
      <c r="T264" s="15" t="s">
        <v>1123</v>
      </c>
      <c r="U264" t="str" cm="1">
        <f t="array" ref="U264">_xlfn.TEXTJOIN(",",TRUE,_xlfn.XLOOKUP(_xlfn.FILTERXML("&lt;t&gt;&lt;s&gt;" &amp; SUBSTITUTE(T264,",","&lt;/s&gt;&lt;s&gt;") &amp; "&lt;/s&gt;&lt;/t&gt;", "//s"),Writers!$A$3:$A$999,Writers!$B$3:$B$999,""))</f>
        <v>Malcolm Hulke</v>
      </c>
      <c r="V264"/>
      <c r="W264" t="str">
        <f>IF(V264="","",_xlfn.XLOOKUP(V264,Writers!$A$3:$A$999,Writers!$B$3:$B$999,""))</f>
        <v/>
      </c>
      <c r="X264">
        <v>7.5</v>
      </c>
      <c r="Y264"/>
      <c r="Z264"/>
      <c r="AA264">
        <f t="shared" si="12"/>
        <v>9.2100000000000009</v>
      </c>
      <c r="AB264" t="str">
        <f t="shared" si="13"/>
        <v/>
      </c>
      <c r="AC264" t="str">
        <f t="shared" si="14"/>
        <v/>
      </c>
      <c r="AD264">
        <f>VLOOKUP(YEAR(Q264),Populations!$A$3:$B$999,2,0)</f>
        <v>55632200</v>
      </c>
      <c r="AE264">
        <f>(Calculations!B1/AD264)</f>
        <v>1.2277949101419701</v>
      </c>
      <c r="AF264"/>
      <c r="AG264">
        <v>1</v>
      </c>
      <c r="AH264" t="str">
        <f>VLOOKUP(AG264,WikiFormats!$A$3:$B$999,2,0)</f>
        <v>Story</v>
      </c>
      <c r="AI264" t="s">
        <v>628</v>
      </c>
    </row>
    <row r="265" spans="1:35" s="2" customFormat="1" x14ac:dyDescent="0.55000000000000004">
      <c r="A265">
        <v>263</v>
      </c>
      <c r="B265">
        <v>1</v>
      </c>
      <c r="C265" t="str">
        <f>VLOOKUP(B265,Eras!$A$3:$B$999,2,0)</f>
        <v>Classic</v>
      </c>
      <c r="D265">
        <v>1</v>
      </c>
      <c r="E265" t="str">
        <f>VLOOKUP(D265,EpisodeFormats!$A$3:$B$999,2,0)</f>
        <v>Series</v>
      </c>
      <c r="F265">
        <v>3</v>
      </c>
      <c r="G265" t="str">
        <f>VLOOKUP(F265,Doctors!$A$3:$B$999,2,0)</f>
        <v>Jon Pertwee</v>
      </c>
      <c r="H265">
        <v>7</v>
      </c>
      <c r="I265">
        <v>1</v>
      </c>
      <c r="J265" t="str">
        <f>VLOOKUP(I265,SeasonFormats!$A$3:$B$999,2,0)</f>
        <v>Season</v>
      </c>
      <c r="K265">
        <v>52</v>
      </c>
      <c r="L265">
        <v>2</v>
      </c>
      <c r="M265" t="s">
        <v>409</v>
      </c>
      <c r="N265">
        <v>6</v>
      </c>
      <c r="O265" t="s">
        <v>380</v>
      </c>
      <c r="P265">
        <v>10</v>
      </c>
      <c r="Q265" s="6" t="d">
        <v>1970-03-07</v>
      </c>
      <c r="R265">
        <v>24</v>
      </c>
      <c r="S265"/>
      <c r="T265" s="15" t="s">
        <v>1123</v>
      </c>
      <c r="U265" t="str" cm="1">
        <f t="array" ref="U265">_xlfn.TEXTJOIN(",",TRUE,_xlfn.XLOOKUP(_xlfn.FILTERXML("&lt;t&gt;&lt;s&gt;" &amp; SUBSTITUTE(T265,",","&lt;/s&gt;&lt;s&gt;") &amp; "&lt;/s&gt;&lt;/t&gt;", "//s"),Writers!$A$3:$A$999,Writers!$B$3:$B$999,""))</f>
        <v>Malcolm Hulke</v>
      </c>
      <c r="V265"/>
      <c r="W265" t="str">
        <f>IF(V265="","",_xlfn.XLOOKUP(V265,Writers!$A$3:$A$999,Writers!$B$3:$B$999,""))</f>
        <v/>
      </c>
      <c r="X265">
        <v>7.2</v>
      </c>
      <c r="Y265"/>
      <c r="Z265"/>
      <c r="AA265">
        <f t="shared" si="12"/>
        <v>8.84</v>
      </c>
      <c r="AB265" t="str">
        <f t="shared" si="13"/>
        <v/>
      </c>
      <c r="AC265" t="str">
        <f t="shared" si="14"/>
        <v/>
      </c>
      <c r="AD265">
        <f>VLOOKUP(YEAR(Q265),Populations!$A$3:$B$999,2,0)</f>
        <v>55632200</v>
      </c>
      <c r="AE265">
        <f>(Calculations!B1/AD265)</f>
        <v>1.2277949101419701</v>
      </c>
      <c r="AF265"/>
      <c r="AG265">
        <v>1</v>
      </c>
      <c r="AH265" t="str">
        <f>VLOOKUP(AG265,WikiFormats!$A$3:$B$999,2,0)</f>
        <v>Story</v>
      </c>
      <c r="AI265" t="s">
        <v>628</v>
      </c>
    </row>
    <row r="266" spans="1:35" s="2" customFormat="1" x14ac:dyDescent="0.55000000000000004">
      <c r="A266">
        <v>264</v>
      </c>
      <c r="B266">
        <v>1</v>
      </c>
      <c r="C266" t="str">
        <f>VLOOKUP(B266,Eras!$A$3:$B$999,2,0)</f>
        <v>Classic</v>
      </c>
      <c r="D266">
        <v>1</v>
      </c>
      <c r="E266" t="str">
        <f>VLOOKUP(D266,EpisodeFormats!$A$3:$B$999,2,0)</f>
        <v>Series</v>
      </c>
      <c r="F266">
        <v>3</v>
      </c>
      <c r="G266" t="str">
        <f>VLOOKUP(F266,Doctors!$A$3:$B$999,2,0)</f>
        <v>Jon Pertwee</v>
      </c>
      <c r="H266">
        <v>7</v>
      </c>
      <c r="I266">
        <v>1</v>
      </c>
      <c r="J266" t="str">
        <f>VLOOKUP(I266,SeasonFormats!$A$3:$B$999,2,0)</f>
        <v>Season</v>
      </c>
      <c r="K266">
        <v>52</v>
      </c>
      <c r="L266">
        <v>2</v>
      </c>
      <c r="M266" t="s">
        <v>409</v>
      </c>
      <c r="N266">
        <v>7</v>
      </c>
      <c r="O266" t="s">
        <v>381</v>
      </c>
      <c r="P266">
        <v>11</v>
      </c>
      <c r="Q266" s="6" t="d">
        <v>1970-03-14</v>
      </c>
      <c r="R266">
        <v>23</v>
      </c>
      <c r="S266"/>
      <c r="T266" s="15" t="s">
        <v>1123</v>
      </c>
      <c r="U266" t="str" cm="1">
        <f t="array" ref="U266">_xlfn.TEXTJOIN(",",TRUE,_xlfn.XLOOKUP(_xlfn.FILTERXML("&lt;t&gt;&lt;s&gt;" &amp; SUBSTITUTE(T266,",","&lt;/s&gt;&lt;s&gt;") &amp; "&lt;/s&gt;&lt;/t&gt;", "//s"),Writers!$A$3:$A$999,Writers!$B$3:$B$999,""))</f>
        <v>Malcolm Hulke</v>
      </c>
      <c r="V266"/>
      <c r="W266" t="str">
        <f>IF(V266="","",_xlfn.XLOOKUP(V266,Writers!$A$3:$A$999,Writers!$B$3:$B$999,""))</f>
        <v/>
      </c>
      <c r="X266">
        <v>7.5</v>
      </c>
      <c r="Y266"/>
      <c r="Z266"/>
      <c r="AA266">
        <f t="shared" si="12"/>
        <v>9.2100000000000009</v>
      </c>
      <c r="AB266" t="str">
        <f t="shared" si="13"/>
        <v/>
      </c>
      <c r="AC266" t="str">
        <f t="shared" si="14"/>
        <v/>
      </c>
      <c r="AD266">
        <f>VLOOKUP(YEAR(Q266),Populations!$A$3:$B$999,2,0)</f>
        <v>55632200</v>
      </c>
      <c r="AE266">
        <f>(Calculations!B1/AD266)</f>
        <v>1.2277949101419701</v>
      </c>
      <c r="AF266"/>
      <c r="AG266">
        <v>1</v>
      </c>
      <c r="AH266" t="str">
        <f>VLOOKUP(AG266,WikiFormats!$A$3:$B$999,2,0)</f>
        <v>Story</v>
      </c>
      <c r="AI266" t="s">
        <v>628</v>
      </c>
    </row>
    <row r="267" spans="1:35" s="8" customFormat="1" x14ac:dyDescent="0.55000000000000004">
      <c r="A267" s="3">
        <v>265</v>
      </c>
      <c r="B267" s="3">
        <v>1</v>
      </c>
      <c r="C267" s="3" t="str">
        <f>VLOOKUP(B267,Eras!$A$3:$B$999,2,0)</f>
        <v>Classic</v>
      </c>
      <c r="D267" s="3">
        <v>1</v>
      </c>
      <c r="E267" s="3" t="str">
        <f>VLOOKUP(D267,EpisodeFormats!$A$3:$B$999,2,0)</f>
        <v>Series</v>
      </c>
      <c r="F267" s="3">
        <v>3</v>
      </c>
      <c r="G267" s="3" t="str">
        <f>VLOOKUP(F267,Doctors!$A$3:$B$999,2,0)</f>
        <v>Jon Pertwee</v>
      </c>
      <c r="H267" s="3">
        <v>7</v>
      </c>
      <c r="I267" s="3">
        <v>1</v>
      </c>
      <c r="J267" s="3" t="str">
        <f>VLOOKUP(I267,SeasonFormats!$A$3:$B$999,2,0)</f>
        <v>Season</v>
      </c>
      <c r="K267" s="3">
        <v>53</v>
      </c>
      <c r="L267" s="3">
        <v>3</v>
      </c>
      <c r="M267" s="3" t="s">
        <v>410</v>
      </c>
      <c r="N267" s="3">
        <v>1</v>
      </c>
      <c r="O267" s="3" t="s">
        <v>360</v>
      </c>
      <c r="P267" s="3">
        <v>12</v>
      </c>
      <c r="Q267" s="7" t="d">
        <v>1970-03-21</v>
      </c>
      <c r="R267" s="3">
        <v>25</v>
      </c>
      <c r="S267" s="3"/>
      <c r="T267" s="4" t="s">
        <v>1175</v>
      </c>
      <c r="U267" s="3" t="str" cm="1">
        <f t="array" ref="U267">_xlfn.TEXTJOIN(",",TRUE,_xlfn.XLOOKUP(_xlfn.FILTERXML("&lt;t&gt;&lt;s&gt;" &amp; SUBSTITUTE(T267,",","&lt;/s&gt;&lt;s&gt;") &amp; "&lt;/s&gt;&lt;/t&gt;", "//s"),Writers!$A$3:$A$999,Writers!$B$3:$B$999,""))</f>
        <v>David Whitaker</v>
      </c>
      <c r="V267" s="3"/>
      <c r="W267" s="3" t="str">
        <f>IF(V267="","",_xlfn.XLOOKUP(V267,Writers!$A$3:$A$999,Writers!$B$3:$B$999,""))</f>
        <v/>
      </c>
      <c r="X267" s="3">
        <v>7.1</v>
      </c>
      <c r="Y267" s="3"/>
      <c r="Z267" s="3"/>
      <c r="AA267" s="3">
        <f t="shared" si="12"/>
        <v>8.7200000000000006</v>
      </c>
      <c r="AB267" s="3" t="str">
        <f t="shared" si="13"/>
        <v/>
      </c>
      <c r="AC267" s="3" t="str">
        <f t="shared" si="14"/>
        <v/>
      </c>
      <c r="AD267" s="3">
        <f>VLOOKUP(YEAR(Q267),Populations!$A$3:$B$999,2,0)</f>
        <v>55632200</v>
      </c>
      <c r="AE267" s="3">
        <f>(Calculations!B1/AD267)</f>
        <v>1.2277949101419701</v>
      </c>
      <c r="AF267" s="3"/>
      <c r="AG267" s="3">
        <v>1</v>
      </c>
      <c r="AH267" s="3" t="str">
        <f>VLOOKUP(AG267,WikiFormats!$A$3:$B$999,2,0)</f>
        <v>Story</v>
      </c>
      <c r="AI267" s="3" t="s">
        <v>629</v>
      </c>
    </row>
    <row r="268" spans="1:35" s="8" customFormat="1" x14ac:dyDescent="0.55000000000000004">
      <c r="A268" s="3">
        <v>266</v>
      </c>
      <c r="B268" s="3">
        <v>1</v>
      </c>
      <c r="C268" s="3" t="str">
        <f>VLOOKUP(B268,Eras!$A$3:$B$999,2,0)</f>
        <v>Classic</v>
      </c>
      <c r="D268" s="3">
        <v>1</v>
      </c>
      <c r="E268" s="3" t="str">
        <f>VLOOKUP(D268,EpisodeFormats!$A$3:$B$999,2,0)</f>
        <v>Series</v>
      </c>
      <c r="F268" s="3">
        <v>3</v>
      </c>
      <c r="G268" s="3" t="str">
        <f>VLOOKUP(F268,Doctors!$A$3:$B$999,2,0)</f>
        <v>Jon Pertwee</v>
      </c>
      <c r="H268" s="3">
        <v>7</v>
      </c>
      <c r="I268" s="3">
        <v>1</v>
      </c>
      <c r="J268" s="3" t="str">
        <f>VLOOKUP(I268,SeasonFormats!$A$3:$B$999,2,0)</f>
        <v>Season</v>
      </c>
      <c r="K268" s="3">
        <v>53</v>
      </c>
      <c r="L268" s="3">
        <v>3</v>
      </c>
      <c r="M268" s="3" t="s">
        <v>410</v>
      </c>
      <c r="N268" s="3">
        <v>2</v>
      </c>
      <c r="O268" s="3" t="s">
        <v>361</v>
      </c>
      <c r="P268" s="3">
        <v>13</v>
      </c>
      <c r="Q268" s="7" t="d">
        <v>1970-03-28</v>
      </c>
      <c r="R268" s="3">
        <v>25</v>
      </c>
      <c r="S268" s="3"/>
      <c r="T268" s="4" t="s">
        <v>1175</v>
      </c>
      <c r="U268" s="3" t="str" cm="1">
        <f t="array" ref="U268">_xlfn.TEXTJOIN(",",TRUE,_xlfn.XLOOKUP(_xlfn.FILTERXML("&lt;t&gt;&lt;s&gt;" &amp; SUBSTITUTE(T268,",","&lt;/s&gt;&lt;s&gt;") &amp; "&lt;/s&gt;&lt;/t&gt;", "//s"),Writers!$A$3:$A$999,Writers!$B$3:$B$999,""))</f>
        <v>David Whitaker</v>
      </c>
      <c r="V268" s="3"/>
      <c r="W268" s="3" t="str">
        <f>IF(V268="","",_xlfn.XLOOKUP(V268,Writers!$A$3:$A$999,Writers!$B$3:$B$999,""))</f>
        <v/>
      </c>
      <c r="X268" s="3">
        <v>7.6</v>
      </c>
      <c r="Y268" s="3"/>
      <c r="Z268" s="3"/>
      <c r="AA268" s="3">
        <f t="shared" si="12"/>
        <v>9.33</v>
      </c>
      <c r="AB268" s="3" t="str">
        <f t="shared" si="13"/>
        <v/>
      </c>
      <c r="AC268" s="3" t="str">
        <f t="shared" si="14"/>
        <v/>
      </c>
      <c r="AD268" s="3">
        <f>VLOOKUP(YEAR(Q268),Populations!$A$3:$B$999,2,0)</f>
        <v>55632200</v>
      </c>
      <c r="AE268" s="3">
        <f>(Calculations!B1/AD268)</f>
        <v>1.2277949101419701</v>
      </c>
      <c r="AF268" s="3"/>
      <c r="AG268" s="3">
        <v>1</v>
      </c>
      <c r="AH268" s="3" t="str">
        <f>VLOOKUP(AG268,WikiFormats!$A$3:$B$999,2,0)</f>
        <v>Story</v>
      </c>
      <c r="AI268" s="3" t="s">
        <v>629</v>
      </c>
    </row>
    <row r="269" spans="1:35" s="8" customFormat="1" x14ac:dyDescent="0.55000000000000004">
      <c r="A269" s="3">
        <v>267</v>
      </c>
      <c r="B269" s="3">
        <v>1</v>
      </c>
      <c r="C269" s="3" t="str">
        <f>VLOOKUP(B269,Eras!$A$3:$B$999,2,0)</f>
        <v>Classic</v>
      </c>
      <c r="D269" s="3">
        <v>1</v>
      </c>
      <c r="E269" s="3" t="str">
        <f>VLOOKUP(D269,EpisodeFormats!$A$3:$B$999,2,0)</f>
        <v>Series</v>
      </c>
      <c r="F269" s="3">
        <v>3</v>
      </c>
      <c r="G269" s="3" t="str">
        <f>VLOOKUP(F269,Doctors!$A$3:$B$999,2,0)</f>
        <v>Jon Pertwee</v>
      </c>
      <c r="H269" s="3">
        <v>7</v>
      </c>
      <c r="I269" s="3">
        <v>1</v>
      </c>
      <c r="J269" s="3" t="str">
        <f>VLOOKUP(I269,SeasonFormats!$A$3:$B$999,2,0)</f>
        <v>Season</v>
      </c>
      <c r="K269" s="3">
        <v>53</v>
      </c>
      <c r="L269" s="3">
        <v>3</v>
      </c>
      <c r="M269" s="3" t="s">
        <v>410</v>
      </c>
      <c r="N269" s="3">
        <v>3</v>
      </c>
      <c r="O269" s="3" t="s">
        <v>362</v>
      </c>
      <c r="P269" s="3">
        <v>14</v>
      </c>
      <c r="Q269" s="7" t="d">
        <v>1970-04-04</v>
      </c>
      <c r="R269" s="3">
        <v>25</v>
      </c>
      <c r="S269" s="3"/>
      <c r="T269" s="4" t="s">
        <v>1175</v>
      </c>
      <c r="U269" s="3" t="str" cm="1">
        <f t="array" ref="U269">_xlfn.TEXTJOIN(",",TRUE,_xlfn.XLOOKUP(_xlfn.FILTERXML("&lt;t&gt;&lt;s&gt;" &amp; SUBSTITUTE(T269,",","&lt;/s&gt;&lt;s&gt;") &amp; "&lt;/s&gt;&lt;/t&gt;", "//s"),Writers!$A$3:$A$999,Writers!$B$3:$B$999,""))</f>
        <v>David Whitaker</v>
      </c>
      <c r="V269" s="3"/>
      <c r="W269" s="3" t="str">
        <f>IF(V269="","",_xlfn.XLOOKUP(V269,Writers!$A$3:$A$999,Writers!$B$3:$B$999,""))</f>
        <v/>
      </c>
      <c r="X269" s="3">
        <v>8</v>
      </c>
      <c r="Y269" s="3"/>
      <c r="Z269" s="3"/>
      <c r="AA269" s="3">
        <f t="shared" si="12"/>
        <v>9.82</v>
      </c>
      <c r="AB269" s="3" t="str">
        <f t="shared" si="13"/>
        <v/>
      </c>
      <c r="AC269" s="3" t="str">
        <f t="shared" si="14"/>
        <v/>
      </c>
      <c r="AD269" s="3">
        <f>VLOOKUP(YEAR(Q269),Populations!$A$3:$B$999,2,0)</f>
        <v>55632200</v>
      </c>
      <c r="AE269" s="3">
        <f>(Calculations!B1/AD269)</f>
        <v>1.2277949101419701</v>
      </c>
      <c r="AF269" s="3"/>
      <c r="AG269" s="3">
        <v>1</v>
      </c>
      <c r="AH269" s="3" t="str">
        <f>VLOOKUP(AG269,WikiFormats!$A$3:$B$999,2,0)</f>
        <v>Story</v>
      </c>
      <c r="AI269" s="3" t="s">
        <v>629</v>
      </c>
    </row>
    <row r="270" spans="1:35" s="8" customFormat="1" x14ac:dyDescent="0.55000000000000004">
      <c r="A270" s="3">
        <v>268</v>
      </c>
      <c r="B270" s="3">
        <v>1</v>
      </c>
      <c r="C270" s="3" t="str">
        <f>VLOOKUP(B270,Eras!$A$3:$B$999,2,0)</f>
        <v>Classic</v>
      </c>
      <c r="D270" s="3">
        <v>1</v>
      </c>
      <c r="E270" s="3" t="str">
        <f>VLOOKUP(D270,EpisodeFormats!$A$3:$B$999,2,0)</f>
        <v>Series</v>
      </c>
      <c r="F270" s="3">
        <v>3</v>
      </c>
      <c r="G270" s="3" t="str">
        <f>VLOOKUP(F270,Doctors!$A$3:$B$999,2,0)</f>
        <v>Jon Pertwee</v>
      </c>
      <c r="H270" s="3">
        <v>7</v>
      </c>
      <c r="I270" s="3">
        <v>1</v>
      </c>
      <c r="J270" s="3" t="str">
        <f>VLOOKUP(I270,SeasonFormats!$A$3:$B$999,2,0)</f>
        <v>Season</v>
      </c>
      <c r="K270" s="3">
        <v>53</v>
      </c>
      <c r="L270" s="3">
        <v>3</v>
      </c>
      <c r="M270" s="3" t="s">
        <v>410</v>
      </c>
      <c r="N270" s="3">
        <v>4</v>
      </c>
      <c r="O270" s="3" t="s">
        <v>363</v>
      </c>
      <c r="P270" s="3">
        <v>15</v>
      </c>
      <c r="Q270" s="7" t="d">
        <v>1970-04-11</v>
      </c>
      <c r="R270" s="3">
        <v>25</v>
      </c>
      <c r="S270" s="3"/>
      <c r="T270" s="4" t="s">
        <v>1175</v>
      </c>
      <c r="U270" s="3" t="str" cm="1">
        <f t="array" ref="U270">_xlfn.TEXTJOIN(",",TRUE,_xlfn.XLOOKUP(_xlfn.FILTERXML("&lt;t&gt;&lt;s&gt;" &amp; SUBSTITUTE(T270,",","&lt;/s&gt;&lt;s&gt;") &amp; "&lt;/s&gt;&lt;/t&gt;", "//s"),Writers!$A$3:$A$999,Writers!$B$3:$B$999,""))</f>
        <v>David Whitaker</v>
      </c>
      <c r="V270" s="3"/>
      <c r="W270" s="3" t="str">
        <f>IF(V270="","",_xlfn.XLOOKUP(V270,Writers!$A$3:$A$999,Writers!$B$3:$B$999,""))</f>
        <v/>
      </c>
      <c r="X270" s="3">
        <v>9.3000000000000007</v>
      </c>
      <c r="Y270" s="3"/>
      <c r="Z270" s="3"/>
      <c r="AA270" s="3">
        <f t="shared" si="12"/>
        <v>11.42</v>
      </c>
      <c r="AB270" s="3" t="str">
        <f t="shared" si="13"/>
        <v/>
      </c>
      <c r="AC270" s="3" t="str">
        <f t="shared" si="14"/>
        <v/>
      </c>
      <c r="AD270" s="3">
        <f>VLOOKUP(YEAR(Q270),Populations!$A$3:$B$999,2,0)</f>
        <v>55632200</v>
      </c>
      <c r="AE270" s="3">
        <f>(Calculations!B1/AD270)</f>
        <v>1.2277949101419701</v>
      </c>
      <c r="AF270" s="3"/>
      <c r="AG270" s="3">
        <v>1</v>
      </c>
      <c r="AH270" s="3" t="str">
        <f>VLOOKUP(AG270,WikiFormats!$A$3:$B$999,2,0)</f>
        <v>Story</v>
      </c>
      <c r="AI270" s="3" t="s">
        <v>629</v>
      </c>
    </row>
    <row r="271" spans="1:35" s="8" customFormat="1" x14ac:dyDescent="0.55000000000000004">
      <c r="A271" s="3">
        <v>269</v>
      </c>
      <c r="B271" s="3">
        <v>1</v>
      </c>
      <c r="C271" s="3" t="str">
        <f>VLOOKUP(B271,Eras!$A$3:$B$999,2,0)</f>
        <v>Classic</v>
      </c>
      <c r="D271" s="3">
        <v>1</v>
      </c>
      <c r="E271" s="3" t="str">
        <f>VLOOKUP(D271,EpisodeFormats!$A$3:$B$999,2,0)</f>
        <v>Series</v>
      </c>
      <c r="F271" s="3">
        <v>3</v>
      </c>
      <c r="G271" s="3" t="str">
        <f>VLOOKUP(F271,Doctors!$A$3:$B$999,2,0)</f>
        <v>Jon Pertwee</v>
      </c>
      <c r="H271" s="3">
        <v>7</v>
      </c>
      <c r="I271" s="3">
        <v>1</v>
      </c>
      <c r="J271" s="3" t="str">
        <f>VLOOKUP(I271,SeasonFormats!$A$3:$B$999,2,0)</f>
        <v>Season</v>
      </c>
      <c r="K271" s="3">
        <v>53</v>
      </c>
      <c r="L271" s="3">
        <v>3</v>
      </c>
      <c r="M271" s="3" t="s">
        <v>410</v>
      </c>
      <c r="N271" s="3">
        <v>5</v>
      </c>
      <c r="O271" s="3" t="s">
        <v>379</v>
      </c>
      <c r="P271" s="3">
        <v>16</v>
      </c>
      <c r="Q271" s="7" t="d">
        <v>1970-04-18</v>
      </c>
      <c r="R271" s="3">
        <v>24</v>
      </c>
      <c r="S271" s="3"/>
      <c r="T271" s="4" t="s">
        <v>1175</v>
      </c>
      <c r="U271" s="3" t="str" cm="1">
        <f t="array" ref="U271">_xlfn.TEXTJOIN(",",TRUE,_xlfn.XLOOKUP(_xlfn.FILTERXML("&lt;t&gt;&lt;s&gt;" &amp; SUBSTITUTE(T271,",","&lt;/s&gt;&lt;s&gt;") &amp; "&lt;/s&gt;&lt;/t&gt;", "//s"),Writers!$A$3:$A$999,Writers!$B$3:$B$999,""))</f>
        <v>David Whitaker</v>
      </c>
      <c r="V271" s="3"/>
      <c r="W271" s="3" t="str">
        <f>IF(V271="","",_xlfn.XLOOKUP(V271,Writers!$A$3:$A$999,Writers!$B$3:$B$999,""))</f>
        <v/>
      </c>
      <c r="X271" s="3">
        <v>7.1</v>
      </c>
      <c r="Y271" s="3"/>
      <c r="Z271" s="3"/>
      <c r="AA271" s="3">
        <f t="shared" si="12"/>
        <v>8.7200000000000006</v>
      </c>
      <c r="AB271" s="3" t="str">
        <f t="shared" si="13"/>
        <v/>
      </c>
      <c r="AC271" s="3" t="str">
        <f t="shared" si="14"/>
        <v/>
      </c>
      <c r="AD271" s="3">
        <f>VLOOKUP(YEAR(Q271),Populations!$A$3:$B$999,2,0)</f>
        <v>55632200</v>
      </c>
      <c r="AE271" s="3">
        <f>(Calculations!B1/AD271)</f>
        <v>1.2277949101419701</v>
      </c>
      <c r="AF271" s="3"/>
      <c r="AG271" s="3">
        <v>1</v>
      </c>
      <c r="AH271" s="3" t="str">
        <f>VLOOKUP(AG271,WikiFormats!$A$3:$B$999,2,0)</f>
        <v>Story</v>
      </c>
      <c r="AI271" s="3" t="s">
        <v>629</v>
      </c>
    </row>
    <row r="272" spans="1:35" s="8" customFormat="1" x14ac:dyDescent="0.55000000000000004">
      <c r="A272" s="3">
        <v>270</v>
      </c>
      <c r="B272" s="3">
        <v>1</v>
      </c>
      <c r="C272" s="3" t="str">
        <f>VLOOKUP(B272,Eras!$A$3:$B$999,2,0)</f>
        <v>Classic</v>
      </c>
      <c r="D272" s="3">
        <v>1</v>
      </c>
      <c r="E272" s="3" t="str">
        <f>VLOOKUP(D272,EpisodeFormats!$A$3:$B$999,2,0)</f>
        <v>Series</v>
      </c>
      <c r="F272" s="3">
        <v>3</v>
      </c>
      <c r="G272" s="3" t="str">
        <f>VLOOKUP(F272,Doctors!$A$3:$B$999,2,0)</f>
        <v>Jon Pertwee</v>
      </c>
      <c r="H272" s="3">
        <v>7</v>
      </c>
      <c r="I272" s="3">
        <v>1</v>
      </c>
      <c r="J272" s="3" t="str">
        <f>VLOOKUP(I272,SeasonFormats!$A$3:$B$999,2,0)</f>
        <v>Season</v>
      </c>
      <c r="K272" s="3">
        <v>53</v>
      </c>
      <c r="L272" s="3">
        <v>3</v>
      </c>
      <c r="M272" s="3" t="s">
        <v>410</v>
      </c>
      <c r="N272" s="3">
        <v>6</v>
      </c>
      <c r="O272" s="3" t="s">
        <v>380</v>
      </c>
      <c r="P272" s="3">
        <v>17</v>
      </c>
      <c r="Q272" s="7" t="d">
        <v>1970-04-25</v>
      </c>
      <c r="R272" s="3">
        <v>25</v>
      </c>
      <c r="S272" s="3"/>
      <c r="T272" s="4" t="s">
        <v>1175</v>
      </c>
      <c r="U272" s="3" t="str" cm="1">
        <f t="array" ref="U272">_xlfn.TEXTJOIN(",",TRUE,_xlfn.XLOOKUP(_xlfn.FILTERXML("&lt;t&gt;&lt;s&gt;" &amp; SUBSTITUTE(T272,",","&lt;/s&gt;&lt;s&gt;") &amp; "&lt;/s&gt;&lt;/t&gt;", "//s"),Writers!$A$3:$A$999,Writers!$B$3:$B$999,""))</f>
        <v>David Whitaker</v>
      </c>
      <c r="V272" s="3"/>
      <c r="W272" s="3" t="str">
        <f>IF(V272="","",_xlfn.XLOOKUP(V272,Writers!$A$3:$A$999,Writers!$B$3:$B$999,""))</f>
        <v/>
      </c>
      <c r="X272" s="3">
        <v>6.9</v>
      </c>
      <c r="Y272" s="3"/>
      <c r="Z272" s="3"/>
      <c r="AA272" s="3">
        <f t="shared" si="12"/>
        <v>8.4700000000000006</v>
      </c>
      <c r="AB272" s="3" t="str">
        <f t="shared" si="13"/>
        <v/>
      </c>
      <c r="AC272" s="3" t="str">
        <f t="shared" si="14"/>
        <v/>
      </c>
      <c r="AD272" s="3">
        <f>VLOOKUP(YEAR(Q272),Populations!$A$3:$B$999,2,0)</f>
        <v>55632200</v>
      </c>
      <c r="AE272" s="3">
        <f>(Calculations!B1/AD272)</f>
        <v>1.2277949101419701</v>
      </c>
      <c r="AF272" s="3"/>
      <c r="AG272" s="3">
        <v>1</v>
      </c>
      <c r="AH272" s="3" t="str">
        <f>VLOOKUP(AG272,WikiFormats!$A$3:$B$999,2,0)</f>
        <v>Story</v>
      </c>
      <c r="AI272" s="3" t="s">
        <v>629</v>
      </c>
    </row>
    <row r="273" spans="1:35" s="8" customFormat="1" x14ac:dyDescent="0.55000000000000004">
      <c r="A273" s="3">
        <v>271</v>
      </c>
      <c r="B273" s="3">
        <v>1</v>
      </c>
      <c r="C273" s="3" t="str">
        <f>VLOOKUP(B273,Eras!$A$3:$B$999,2,0)</f>
        <v>Classic</v>
      </c>
      <c r="D273" s="3">
        <v>1</v>
      </c>
      <c r="E273" s="3" t="str">
        <f>VLOOKUP(D273,EpisodeFormats!$A$3:$B$999,2,0)</f>
        <v>Series</v>
      </c>
      <c r="F273" s="3">
        <v>3</v>
      </c>
      <c r="G273" s="3" t="str">
        <f>VLOOKUP(F273,Doctors!$A$3:$B$999,2,0)</f>
        <v>Jon Pertwee</v>
      </c>
      <c r="H273" s="3">
        <v>7</v>
      </c>
      <c r="I273" s="3">
        <v>1</v>
      </c>
      <c r="J273" s="3" t="str">
        <f>VLOOKUP(I273,SeasonFormats!$A$3:$B$999,2,0)</f>
        <v>Season</v>
      </c>
      <c r="K273" s="3">
        <v>53</v>
      </c>
      <c r="L273" s="3">
        <v>3</v>
      </c>
      <c r="M273" s="3" t="s">
        <v>410</v>
      </c>
      <c r="N273" s="3">
        <v>7</v>
      </c>
      <c r="O273" s="3" t="s">
        <v>381</v>
      </c>
      <c r="P273" s="3">
        <v>18</v>
      </c>
      <c r="Q273" s="7" t="d">
        <v>1970-05-02</v>
      </c>
      <c r="R273" s="3">
        <v>25</v>
      </c>
      <c r="S273" s="3"/>
      <c r="T273" s="4" t="s">
        <v>1175</v>
      </c>
      <c r="U273" s="3" t="str" cm="1">
        <f t="array" ref="U273">_xlfn.TEXTJOIN(",",TRUE,_xlfn.XLOOKUP(_xlfn.FILTERXML("&lt;t&gt;&lt;s&gt;" &amp; SUBSTITUTE(T273,",","&lt;/s&gt;&lt;s&gt;") &amp; "&lt;/s&gt;&lt;/t&gt;", "//s"),Writers!$A$3:$A$999,Writers!$B$3:$B$999,""))</f>
        <v>David Whitaker</v>
      </c>
      <c r="V273" s="3"/>
      <c r="W273" s="3" t="str">
        <f>IF(V273="","",_xlfn.XLOOKUP(V273,Writers!$A$3:$A$999,Writers!$B$3:$B$999,""))</f>
        <v/>
      </c>
      <c r="X273" s="3">
        <v>6.4</v>
      </c>
      <c r="Y273" s="3"/>
      <c r="Z273" s="3"/>
      <c r="AA273" s="3">
        <f t="shared" si="12"/>
        <v>7.86</v>
      </c>
      <c r="AB273" s="3" t="str">
        <f t="shared" si="13"/>
        <v/>
      </c>
      <c r="AC273" s="3" t="str">
        <f t="shared" si="14"/>
        <v/>
      </c>
      <c r="AD273" s="3">
        <f>VLOOKUP(YEAR(Q273),Populations!$A$3:$B$999,2,0)</f>
        <v>55632200</v>
      </c>
      <c r="AE273" s="3">
        <f>(Calculations!B1/AD273)</f>
        <v>1.2277949101419701</v>
      </c>
      <c r="AF273" s="3" t="s">
        <v>522</v>
      </c>
      <c r="AG273" s="3">
        <v>1</v>
      </c>
      <c r="AH273" s="3" t="str">
        <f>VLOOKUP(AG273,WikiFormats!$A$3:$B$999,2,0)</f>
        <v>Story</v>
      </c>
      <c r="AI273" s="3" t="s">
        <v>629</v>
      </c>
    </row>
    <row r="274" spans="1:35" s="2" customFormat="1" x14ac:dyDescent="0.55000000000000004">
      <c r="A274">
        <v>272</v>
      </c>
      <c r="B274">
        <v>1</v>
      </c>
      <c r="C274" t="str">
        <f>VLOOKUP(B274,Eras!$A$3:$B$999,2,0)</f>
        <v>Classic</v>
      </c>
      <c r="D274">
        <v>1</v>
      </c>
      <c r="E274" t="str">
        <f>VLOOKUP(D274,EpisodeFormats!$A$3:$B$999,2,0)</f>
        <v>Series</v>
      </c>
      <c r="F274">
        <v>3</v>
      </c>
      <c r="G274" t="str">
        <f>VLOOKUP(F274,Doctors!$A$3:$B$999,2,0)</f>
        <v>Jon Pertwee</v>
      </c>
      <c r="H274">
        <v>7</v>
      </c>
      <c r="I274">
        <v>1</v>
      </c>
      <c r="J274" t="str">
        <f>VLOOKUP(I274,SeasonFormats!$A$3:$B$999,2,0)</f>
        <v>Season</v>
      </c>
      <c r="K274">
        <v>54</v>
      </c>
      <c r="L274">
        <v>4</v>
      </c>
      <c r="M274" t="s">
        <v>289</v>
      </c>
      <c r="N274">
        <v>1</v>
      </c>
      <c r="O274" t="s">
        <v>360</v>
      </c>
      <c r="P274">
        <v>19</v>
      </c>
      <c r="Q274" s="6" t="d">
        <v>1970-05-09</v>
      </c>
      <c r="R274">
        <v>23</v>
      </c>
      <c r="S274"/>
      <c r="T274" s="15" t="s">
        <v>1129</v>
      </c>
      <c r="U274" t="str" cm="1">
        <f t="array" ref="U274">_xlfn.TEXTJOIN(",",TRUE,_xlfn.XLOOKUP(_xlfn.FILTERXML("&lt;t&gt;&lt;s&gt;" &amp; SUBSTITUTE(T274,",","&lt;/s&gt;&lt;s&gt;") &amp; "&lt;/s&gt;&lt;/t&gt;", "//s"),Writers!$A$3:$A$999,Writers!$B$3:$B$999,""))</f>
        <v>Don Houghton</v>
      </c>
      <c r="V274"/>
      <c r="W274" t="str">
        <f>IF(V274="","",_xlfn.XLOOKUP(V274,Writers!$A$3:$A$999,Writers!$B$3:$B$999,""))</f>
        <v/>
      </c>
      <c r="X274">
        <v>5.7</v>
      </c>
      <c r="Y274"/>
      <c r="Z274"/>
      <c r="AA274">
        <f t="shared" si="12"/>
        <v>7</v>
      </c>
      <c r="AB274" t="str">
        <f t="shared" si="13"/>
        <v/>
      </c>
      <c r="AC274" t="str">
        <f t="shared" si="14"/>
        <v/>
      </c>
      <c r="AD274">
        <f>VLOOKUP(YEAR(Q274),Populations!$A$3:$B$999,2,0)</f>
        <v>55632200</v>
      </c>
      <c r="AE274">
        <f>(Calculations!B1/AD274)</f>
        <v>1.2277949101419701</v>
      </c>
      <c r="AF274"/>
      <c r="AG274">
        <v>1</v>
      </c>
      <c r="AH274" t="str">
        <f>VLOOKUP(AG274,WikiFormats!$A$3:$B$999,2,0)</f>
        <v>Story</v>
      </c>
      <c r="AI274" t="s">
        <v>630</v>
      </c>
    </row>
    <row r="275" spans="1:35" s="2" customFormat="1" x14ac:dyDescent="0.55000000000000004">
      <c r="A275">
        <v>273</v>
      </c>
      <c r="B275">
        <v>1</v>
      </c>
      <c r="C275" t="str">
        <f>VLOOKUP(B275,Eras!$A$3:$B$999,2,0)</f>
        <v>Classic</v>
      </c>
      <c r="D275">
        <v>1</v>
      </c>
      <c r="E275" t="str">
        <f>VLOOKUP(D275,EpisodeFormats!$A$3:$B$999,2,0)</f>
        <v>Series</v>
      </c>
      <c r="F275">
        <v>3</v>
      </c>
      <c r="G275" t="str">
        <f>VLOOKUP(F275,Doctors!$A$3:$B$999,2,0)</f>
        <v>Jon Pertwee</v>
      </c>
      <c r="H275">
        <v>7</v>
      </c>
      <c r="I275">
        <v>1</v>
      </c>
      <c r="J275" t="str">
        <f>VLOOKUP(I275,SeasonFormats!$A$3:$B$999,2,0)</f>
        <v>Season</v>
      </c>
      <c r="K275">
        <v>54</v>
      </c>
      <c r="L275">
        <v>4</v>
      </c>
      <c r="M275" t="s">
        <v>289</v>
      </c>
      <c r="N275">
        <v>2</v>
      </c>
      <c r="O275" t="s">
        <v>361</v>
      </c>
      <c r="P275">
        <v>20</v>
      </c>
      <c r="Q275" s="6" t="d">
        <v>1970-05-16</v>
      </c>
      <c r="R275">
        <v>22</v>
      </c>
      <c r="S275"/>
      <c r="T275" s="15" t="s">
        <v>1129</v>
      </c>
      <c r="U275" t="str" cm="1">
        <f t="array" ref="U275">_xlfn.TEXTJOIN(",",TRUE,_xlfn.XLOOKUP(_xlfn.FILTERXML("&lt;t&gt;&lt;s&gt;" &amp; SUBSTITUTE(T275,",","&lt;/s&gt;&lt;s&gt;") &amp; "&lt;/s&gt;&lt;/t&gt;", "//s"),Writers!$A$3:$A$999,Writers!$B$3:$B$999,""))</f>
        <v>Don Houghton</v>
      </c>
      <c r="V275"/>
      <c r="W275" t="str">
        <f>IF(V275="","",_xlfn.XLOOKUP(V275,Writers!$A$3:$A$999,Writers!$B$3:$B$999,""))</f>
        <v/>
      </c>
      <c r="X275">
        <v>5.9</v>
      </c>
      <c r="Y275"/>
      <c r="Z275"/>
      <c r="AA275">
        <f t="shared" si="12"/>
        <v>7.24</v>
      </c>
      <c r="AB275" t="str">
        <f t="shared" si="13"/>
        <v/>
      </c>
      <c r="AC275" t="str">
        <f t="shared" si="14"/>
        <v/>
      </c>
      <c r="AD275">
        <f>VLOOKUP(YEAR(Q275),Populations!$A$3:$B$999,2,0)</f>
        <v>55632200</v>
      </c>
      <c r="AE275">
        <f>(Calculations!B1/AD275)</f>
        <v>1.2277949101419701</v>
      </c>
      <c r="AF275"/>
      <c r="AG275">
        <v>1</v>
      </c>
      <c r="AH275" t="str">
        <f>VLOOKUP(AG275,WikiFormats!$A$3:$B$999,2,0)</f>
        <v>Story</v>
      </c>
      <c r="AI275" t="s">
        <v>630</v>
      </c>
    </row>
    <row r="276" spans="1:35" s="2" customFormat="1" x14ac:dyDescent="0.55000000000000004">
      <c r="A276">
        <v>274</v>
      </c>
      <c r="B276">
        <v>1</v>
      </c>
      <c r="C276" t="str">
        <f>VLOOKUP(B276,Eras!$A$3:$B$999,2,0)</f>
        <v>Classic</v>
      </c>
      <c r="D276">
        <v>1</v>
      </c>
      <c r="E276" t="str">
        <f>VLOOKUP(D276,EpisodeFormats!$A$3:$B$999,2,0)</f>
        <v>Series</v>
      </c>
      <c r="F276">
        <v>3</v>
      </c>
      <c r="G276" t="str">
        <f>VLOOKUP(F276,Doctors!$A$3:$B$999,2,0)</f>
        <v>Jon Pertwee</v>
      </c>
      <c r="H276">
        <v>7</v>
      </c>
      <c r="I276">
        <v>1</v>
      </c>
      <c r="J276" t="str">
        <f>VLOOKUP(I276,SeasonFormats!$A$3:$B$999,2,0)</f>
        <v>Season</v>
      </c>
      <c r="K276">
        <v>54</v>
      </c>
      <c r="L276">
        <v>4</v>
      </c>
      <c r="M276" t="s">
        <v>289</v>
      </c>
      <c r="N276">
        <v>3</v>
      </c>
      <c r="O276" t="s">
        <v>362</v>
      </c>
      <c r="P276">
        <v>21</v>
      </c>
      <c r="Q276" s="6" t="d">
        <v>1970-05-23</v>
      </c>
      <c r="R276">
        <v>25</v>
      </c>
      <c r="S276"/>
      <c r="T276" s="15" t="s">
        <v>1129</v>
      </c>
      <c r="U276" t="str" cm="1">
        <f t="array" ref="U276">_xlfn.TEXTJOIN(",",TRUE,_xlfn.XLOOKUP(_xlfn.FILTERXML("&lt;t&gt;&lt;s&gt;" &amp; SUBSTITUTE(T276,",","&lt;/s&gt;&lt;s&gt;") &amp; "&lt;/s&gt;&lt;/t&gt;", "//s"),Writers!$A$3:$A$999,Writers!$B$3:$B$999,""))</f>
        <v>Don Houghton</v>
      </c>
      <c r="V276"/>
      <c r="W276" t="str">
        <f>IF(V276="","",_xlfn.XLOOKUP(V276,Writers!$A$3:$A$999,Writers!$B$3:$B$999,""))</f>
        <v/>
      </c>
      <c r="X276">
        <v>4.8</v>
      </c>
      <c r="Y276"/>
      <c r="Z276"/>
      <c r="AA276">
        <f t="shared" si="12"/>
        <v>5.89</v>
      </c>
      <c r="AB276" t="str">
        <f t="shared" si="13"/>
        <v/>
      </c>
      <c r="AC276" t="str">
        <f t="shared" si="14"/>
        <v/>
      </c>
      <c r="AD276">
        <f>VLOOKUP(YEAR(Q276),Populations!$A$3:$B$999,2,0)</f>
        <v>55632200</v>
      </c>
      <c r="AE276">
        <f>(Calculations!B1/AD276)</f>
        <v>1.2277949101419701</v>
      </c>
      <c r="AF276"/>
      <c r="AG276">
        <v>1</v>
      </c>
      <c r="AH276" t="str">
        <f>VLOOKUP(AG276,WikiFormats!$A$3:$B$999,2,0)</f>
        <v>Story</v>
      </c>
      <c r="AI276" t="s">
        <v>630</v>
      </c>
    </row>
    <row r="277" spans="1:35" s="2" customFormat="1" x14ac:dyDescent="0.55000000000000004">
      <c r="A277">
        <v>275</v>
      </c>
      <c r="B277">
        <v>1</v>
      </c>
      <c r="C277" t="str">
        <f>VLOOKUP(B277,Eras!$A$3:$B$999,2,0)</f>
        <v>Classic</v>
      </c>
      <c r="D277">
        <v>1</v>
      </c>
      <c r="E277" t="str">
        <f>VLOOKUP(D277,EpisodeFormats!$A$3:$B$999,2,0)</f>
        <v>Series</v>
      </c>
      <c r="F277">
        <v>3</v>
      </c>
      <c r="G277" t="str">
        <f>VLOOKUP(F277,Doctors!$A$3:$B$999,2,0)</f>
        <v>Jon Pertwee</v>
      </c>
      <c r="H277">
        <v>7</v>
      </c>
      <c r="I277">
        <v>1</v>
      </c>
      <c r="J277" t="str">
        <f>VLOOKUP(I277,SeasonFormats!$A$3:$B$999,2,0)</f>
        <v>Season</v>
      </c>
      <c r="K277">
        <v>54</v>
      </c>
      <c r="L277">
        <v>4</v>
      </c>
      <c r="M277" t="s">
        <v>289</v>
      </c>
      <c r="N277">
        <v>4</v>
      </c>
      <c r="O277" t="s">
        <v>363</v>
      </c>
      <c r="P277">
        <v>22</v>
      </c>
      <c r="Q277" s="6" t="d">
        <v>1970-05-30</v>
      </c>
      <c r="R277">
        <v>25</v>
      </c>
      <c r="S277"/>
      <c r="T277" s="15" t="s">
        <v>1129</v>
      </c>
      <c r="U277" t="str" cm="1">
        <f t="array" ref="U277">_xlfn.TEXTJOIN(",",TRUE,_xlfn.XLOOKUP(_xlfn.FILTERXML("&lt;t&gt;&lt;s&gt;" &amp; SUBSTITUTE(T277,",","&lt;/s&gt;&lt;s&gt;") &amp; "&lt;/s&gt;&lt;/t&gt;", "//s"),Writers!$A$3:$A$999,Writers!$B$3:$B$999,""))</f>
        <v>Don Houghton</v>
      </c>
      <c r="V277"/>
      <c r="W277" t="str">
        <f>IF(V277="","",_xlfn.XLOOKUP(V277,Writers!$A$3:$A$999,Writers!$B$3:$B$999,""))</f>
        <v/>
      </c>
      <c r="X277">
        <v>6</v>
      </c>
      <c r="Y277"/>
      <c r="Z277"/>
      <c r="AA277">
        <f t="shared" si="12"/>
        <v>7.37</v>
      </c>
      <c r="AB277" t="str">
        <f t="shared" si="13"/>
        <v/>
      </c>
      <c r="AC277" t="str">
        <f t="shared" si="14"/>
        <v/>
      </c>
      <c r="AD277">
        <f>VLOOKUP(YEAR(Q277),Populations!$A$3:$B$999,2,0)</f>
        <v>55632200</v>
      </c>
      <c r="AE277">
        <f>(Calculations!B1/AD277)</f>
        <v>1.2277949101419701</v>
      </c>
      <c r="AF277"/>
      <c r="AG277">
        <v>1</v>
      </c>
      <c r="AH277" t="str">
        <f>VLOOKUP(AG277,WikiFormats!$A$3:$B$999,2,0)</f>
        <v>Story</v>
      </c>
      <c r="AI277" t="s">
        <v>630</v>
      </c>
    </row>
    <row r="278" spans="1:35" s="2" customFormat="1" x14ac:dyDescent="0.55000000000000004">
      <c r="A278">
        <v>276</v>
      </c>
      <c r="B278">
        <v>1</v>
      </c>
      <c r="C278" t="str">
        <f>VLOOKUP(B278,Eras!$A$3:$B$999,2,0)</f>
        <v>Classic</v>
      </c>
      <c r="D278">
        <v>1</v>
      </c>
      <c r="E278" t="str">
        <f>VLOOKUP(D278,EpisodeFormats!$A$3:$B$999,2,0)</f>
        <v>Series</v>
      </c>
      <c r="F278">
        <v>3</v>
      </c>
      <c r="G278" t="str">
        <f>VLOOKUP(F278,Doctors!$A$3:$B$999,2,0)</f>
        <v>Jon Pertwee</v>
      </c>
      <c r="H278">
        <v>7</v>
      </c>
      <c r="I278">
        <v>1</v>
      </c>
      <c r="J278" t="str">
        <f>VLOOKUP(I278,SeasonFormats!$A$3:$B$999,2,0)</f>
        <v>Season</v>
      </c>
      <c r="K278">
        <v>54</v>
      </c>
      <c r="L278">
        <v>4</v>
      </c>
      <c r="M278" t="s">
        <v>289</v>
      </c>
      <c r="N278">
        <v>5</v>
      </c>
      <c r="O278" t="s">
        <v>379</v>
      </c>
      <c r="P278">
        <v>23</v>
      </c>
      <c r="Q278" s="6" t="d">
        <v>1970-06-06</v>
      </c>
      <c r="R278">
        <v>24</v>
      </c>
      <c r="S278"/>
      <c r="T278" s="15" t="s">
        <v>1129</v>
      </c>
      <c r="U278" t="str" cm="1">
        <f t="array" ref="U278">_xlfn.TEXTJOIN(",",TRUE,_xlfn.XLOOKUP(_xlfn.FILTERXML("&lt;t&gt;&lt;s&gt;" &amp; SUBSTITUTE(T278,",","&lt;/s&gt;&lt;s&gt;") &amp; "&lt;/s&gt;&lt;/t&gt;", "//s"),Writers!$A$3:$A$999,Writers!$B$3:$B$999,""))</f>
        <v>Don Houghton</v>
      </c>
      <c r="V278"/>
      <c r="W278" t="str">
        <f>IF(V278="","",_xlfn.XLOOKUP(V278,Writers!$A$3:$A$999,Writers!$B$3:$B$999,""))</f>
        <v/>
      </c>
      <c r="X278">
        <v>5.4</v>
      </c>
      <c r="Y278"/>
      <c r="Z278"/>
      <c r="AA278">
        <f t="shared" si="12"/>
        <v>6.63</v>
      </c>
      <c r="AB278" t="str">
        <f t="shared" si="13"/>
        <v/>
      </c>
      <c r="AC278" t="str">
        <f t="shared" si="14"/>
        <v/>
      </c>
      <c r="AD278">
        <f>VLOOKUP(YEAR(Q278),Populations!$A$3:$B$999,2,0)</f>
        <v>55632200</v>
      </c>
      <c r="AE278">
        <f>(Calculations!B1/AD278)</f>
        <v>1.2277949101419701</v>
      </c>
      <c r="AF278"/>
      <c r="AG278">
        <v>1</v>
      </c>
      <c r="AH278" t="str">
        <f>VLOOKUP(AG278,WikiFormats!$A$3:$B$999,2,0)</f>
        <v>Story</v>
      </c>
      <c r="AI278" t="s">
        <v>630</v>
      </c>
    </row>
    <row r="279" spans="1:35" s="2" customFormat="1" x14ac:dyDescent="0.55000000000000004">
      <c r="A279">
        <v>277</v>
      </c>
      <c r="B279">
        <v>1</v>
      </c>
      <c r="C279" t="str">
        <f>VLOOKUP(B279,Eras!$A$3:$B$999,2,0)</f>
        <v>Classic</v>
      </c>
      <c r="D279">
        <v>1</v>
      </c>
      <c r="E279" t="str">
        <f>VLOOKUP(D279,EpisodeFormats!$A$3:$B$999,2,0)</f>
        <v>Series</v>
      </c>
      <c r="F279">
        <v>3</v>
      </c>
      <c r="G279" t="str">
        <f>VLOOKUP(F279,Doctors!$A$3:$B$999,2,0)</f>
        <v>Jon Pertwee</v>
      </c>
      <c r="H279">
        <v>7</v>
      </c>
      <c r="I279">
        <v>1</v>
      </c>
      <c r="J279" t="str">
        <f>VLOOKUP(I279,SeasonFormats!$A$3:$B$999,2,0)</f>
        <v>Season</v>
      </c>
      <c r="K279">
        <v>54</v>
      </c>
      <c r="L279">
        <v>4</v>
      </c>
      <c r="M279" t="s">
        <v>289</v>
      </c>
      <c r="N279">
        <v>6</v>
      </c>
      <c r="O279" t="s">
        <v>380</v>
      </c>
      <c r="P279">
        <v>24</v>
      </c>
      <c r="Q279" s="6" t="d">
        <v>1970-06-13</v>
      </c>
      <c r="R279">
        <v>24</v>
      </c>
      <c r="S279"/>
      <c r="T279" s="15" t="s">
        <v>1129</v>
      </c>
      <c r="U279" t="str" cm="1">
        <f t="array" ref="U279">_xlfn.TEXTJOIN(",",TRUE,_xlfn.XLOOKUP(_xlfn.FILTERXML("&lt;t&gt;&lt;s&gt;" &amp; SUBSTITUTE(T279,",","&lt;/s&gt;&lt;s&gt;") &amp; "&lt;/s&gt;&lt;/t&gt;", "//s"),Writers!$A$3:$A$999,Writers!$B$3:$B$999,""))</f>
        <v>Don Houghton</v>
      </c>
      <c r="V279"/>
      <c r="W279" t="str">
        <f>IF(V279="","",_xlfn.XLOOKUP(V279,Writers!$A$3:$A$999,Writers!$B$3:$B$999,""))</f>
        <v/>
      </c>
      <c r="X279">
        <v>6.7</v>
      </c>
      <c r="Y279"/>
      <c r="Z279"/>
      <c r="AA279">
        <f t="shared" si="12"/>
        <v>8.23</v>
      </c>
      <c r="AB279" t="str">
        <f t="shared" si="13"/>
        <v/>
      </c>
      <c r="AC279" t="str">
        <f t="shared" si="14"/>
        <v/>
      </c>
      <c r="AD279">
        <f>VLOOKUP(YEAR(Q279),Populations!$A$3:$B$999,2,0)</f>
        <v>55632200</v>
      </c>
      <c r="AE279">
        <f>(Calculations!B1/AD279)</f>
        <v>1.2277949101419701</v>
      </c>
      <c r="AF279"/>
      <c r="AG279">
        <v>1</v>
      </c>
      <c r="AH279" t="str">
        <f>VLOOKUP(AG279,WikiFormats!$A$3:$B$999,2,0)</f>
        <v>Story</v>
      </c>
      <c r="AI279" t="s">
        <v>630</v>
      </c>
    </row>
    <row r="280" spans="1:35" s="2" customFormat="1" x14ac:dyDescent="0.55000000000000004">
      <c r="A280">
        <v>278</v>
      </c>
      <c r="B280">
        <v>1</v>
      </c>
      <c r="C280" t="str">
        <f>VLOOKUP(B280,Eras!$A$3:$B$999,2,0)</f>
        <v>Classic</v>
      </c>
      <c r="D280">
        <v>1</v>
      </c>
      <c r="E280" t="str">
        <f>VLOOKUP(D280,EpisodeFormats!$A$3:$B$999,2,0)</f>
        <v>Series</v>
      </c>
      <c r="F280">
        <v>3</v>
      </c>
      <c r="G280" t="str">
        <f>VLOOKUP(F280,Doctors!$A$3:$B$999,2,0)</f>
        <v>Jon Pertwee</v>
      </c>
      <c r="H280">
        <v>7</v>
      </c>
      <c r="I280">
        <v>1</v>
      </c>
      <c r="J280" t="str">
        <f>VLOOKUP(I280,SeasonFormats!$A$3:$B$999,2,0)</f>
        <v>Season</v>
      </c>
      <c r="K280">
        <v>54</v>
      </c>
      <c r="L280">
        <v>4</v>
      </c>
      <c r="M280" t="s">
        <v>289</v>
      </c>
      <c r="N280">
        <v>7</v>
      </c>
      <c r="O280" t="s">
        <v>381</v>
      </c>
      <c r="P280">
        <v>25</v>
      </c>
      <c r="Q280" s="6" t="d">
        <v>1970-06-20</v>
      </c>
      <c r="R280">
        <v>25</v>
      </c>
      <c r="S280"/>
      <c r="T280" s="15" t="s">
        <v>1129</v>
      </c>
      <c r="U280" t="str" cm="1">
        <f t="array" ref="U280">_xlfn.TEXTJOIN(",",TRUE,_xlfn.XLOOKUP(_xlfn.FILTERXML("&lt;t&gt;&lt;s&gt;" &amp; SUBSTITUTE(T280,",","&lt;/s&gt;&lt;s&gt;") &amp; "&lt;/s&gt;&lt;/t&gt;", "//s"),Writers!$A$3:$A$999,Writers!$B$3:$B$999,""))</f>
        <v>Don Houghton</v>
      </c>
      <c r="V280"/>
      <c r="W280" t="str">
        <f>IF(V280="","",_xlfn.XLOOKUP(V280,Writers!$A$3:$A$999,Writers!$B$3:$B$999,""))</f>
        <v/>
      </c>
      <c r="X280">
        <v>5.5</v>
      </c>
      <c r="Y280"/>
      <c r="Z280"/>
      <c r="AA280">
        <f t="shared" si="12"/>
        <v>6.75</v>
      </c>
      <c r="AB280" t="str">
        <f t="shared" si="13"/>
        <v/>
      </c>
      <c r="AC280" t="str">
        <f t="shared" si="14"/>
        <v/>
      </c>
      <c r="AD280">
        <f>VLOOKUP(YEAR(Q280),Populations!$A$3:$B$999,2,0)</f>
        <v>55632200</v>
      </c>
      <c r="AE280">
        <f>(Calculations!B1/AD280)</f>
        <v>1.2277949101419701</v>
      </c>
      <c r="AF280"/>
      <c r="AG280">
        <v>1</v>
      </c>
      <c r="AH280" t="str">
        <f>VLOOKUP(AG280,WikiFormats!$A$3:$B$999,2,0)</f>
        <v>Story</v>
      </c>
      <c r="AI280" t="s">
        <v>630</v>
      </c>
    </row>
    <row r="281" spans="1:35" s="8" customFormat="1" x14ac:dyDescent="0.55000000000000004">
      <c r="A281" s="3">
        <v>279</v>
      </c>
      <c r="B281" s="3">
        <v>1</v>
      </c>
      <c r="C281" s="3" t="str">
        <f>VLOOKUP(B281,Eras!$A$3:$B$999,2,0)</f>
        <v>Classic</v>
      </c>
      <c r="D281" s="3">
        <v>1</v>
      </c>
      <c r="E281" s="3" t="str">
        <f>VLOOKUP(D281,EpisodeFormats!$A$3:$B$999,2,0)</f>
        <v>Series</v>
      </c>
      <c r="F281" s="3">
        <v>3</v>
      </c>
      <c r="G281" s="3" t="str">
        <f>VLOOKUP(F281,Doctors!$A$3:$B$999,2,0)</f>
        <v>Jon Pertwee</v>
      </c>
      <c r="H281" s="3">
        <v>8</v>
      </c>
      <c r="I281" s="3">
        <v>1</v>
      </c>
      <c r="J281" s="3" t="str">
        <f>VLOOKUP(I281,SeasonFormats!$A$3:$B$999,2,0)</f>
        <v>Season</v>
      </c>
      <c r="K281" s="3">
        <v>55</v>
      </c>
      <c r="L281" s="3">
        <v>1</v>
      </c>
      <c r="M281" s="3" t="s">
        <v>411</v>
      </c>
      <c r="N281" s="3">
        <v>1</v>
      </c>
      <c r="O281" s="3" t="s">
        <v>373</v>
      </c>
      <c r="P281" s="3">
        <v>1</v>
      </c>
      <c r="Q281" s="7" t="d">
        <v>1971-01-02</v>
      </c>
      <c r="R281" s="3">
        <v>25</v>
      </c>
      <c r="S281" s="3"/>
      <c r="T281" s="4" t="s">
        <v>1122</v>
      </c>
      <c r="U281" s="3" t="str" cm="1">
        <f t="array" ref="U281">_xlfn.TEXTJOIN(",",TRUE,_xlfn.XLOOKUP(_xlfn.FILTERXML("&lt;t&gt;&lt;s&gt;" &amp; SUBSTITUTE(T281,",","&lt;/s&gt;&lt;s&gt;") &amp; "&lt;/s&gt;&lt;/t&gt;", "//s"),Writers!$A$3:$A$999,Writers!$B$3:$B$999,""))</f>
        <v>Robert Holmes</v>
      </c>
      <c r="V281" s="3"/>
      <c r="W281" s="3" t="str">
        <f>IF(V281="","",_xlfn.XLOOKUP(V281,Writers!$A$3:$A$999,Writers!$B$3:$B$999,""))</f>
        <v/>
      </c>
      <c r="X281" s="3">
        <v>7.3</v>
      </c>
      <c r="Y281" s="3"/>
      <c r="Z281" s="3"/>
      <c r="AA281" s="3">
        <f t="shared" si="12"/>
        <v>8.92</v>
      </c>
      <c r="AB281" s="3" t="str">
        <f t="shared" si="13"/>
        <v/>
      </c>
      <c r="AC281" s="3" t="str">
        <f t="shared" si="14"/>
        <v/>
      </c>
      <c r="AD281" s="3">
        <f>VLOOKUP(YEAR(Q281),Populations!$A$3:$B$999,2,0)</f>
        <v>55928000</v>
      </c>
      <c r="AE281" s="3">
        <f>(Calculations!B1/AD281)</f>
        <v>1.2213011729366301</v>
      </c>
      <c r="AF281" s="3"/>
      <c r="AG281" s="3">
        <v>1</v>
      </c>
      <c r="AH281" s="3" t="str">
        <f>VLOOKUP(AG281,WikiFormats!$A$3:$B$999,2,0)</f>
        <v>Story</v>
      </c>
      <c r="AI281" s="3" t="s">
        <v>631</v>
      </c>
    </row>
    <row r="282" spans="1:35" s="8" customFormat="1" x14ac:dyDescent="0.55000000000000004">
      <c r="A282" s="3">
        <v>280</v>
      </c>
      <c r="B282" s="3">
        <v>1</v>
      </c>
      <c r="C282" s="3" t="str">
        <f>VLOOKUP(B282,Eras!$A$3:$B$999,2,0)</f>
        <v>Classic</v>
      </c>
      <c r="D282" s="3">
        <v>1</v>
      </c>
      <c r="E282" s="3" t="str">
        <f>VLOOKUP(D282,EpisodeFormats!$A$3:$B$999,2,0)</f>
        <v>Series</v>
      </c>
      <c r="F282" s="3">
        <v>3</v>
      </c>
      <c r="G282" s="3" t="str">
        <f>VLOOKUP(F282,Doctors!$A$3:$B$999,2,0)</f>
        <v>Jon Pertwee</v>
      </c>
      <c r="H282" s="3">
        <v>8</v>
      </c>
      <c r="I282" s="3">
        <v>1</v>
      </c>
      <c r="J282" s="3" t="str">
        <f>VLOOKUP(I282,SeasonFormats!$A$3:$B$999,2,0)</f>
        <v>Season</v>
      </c>
      <c r="K282" s="3">
        <v>55</v>
      </c>
      <c r="L282" s="3">
        <v>1</v>
      </c>
      <c r="M282" s="3" t="s">
        <v>411</v>
      </c>
      <c r="N282" s="3">
        <v>2</v>
      </c>
      <c r="O282" s="3" t="s">
        <v>374</v>
      </c>
      <c r="P282" s="3">
        <v>2</v>
      </c>
      <c r="Q282" s="7" t="d">
        <v>1971-01-09</v>
      </c>
      <c r="R282" s="3">
        <v>25</v>
      </c>
      <c r="S282" s="3"/>
      <c r="T282" s="4" t="s">
        <v>1122</v>
      </c>
      <c r="U282" s="3" t="str" cm="1">
        <f t="array" ref="U282">_xlfn.TEXTJOIN(",",TRUE,_xlfn.XLOOKUP(_xlfn.FILTERXML("&lt;t&gt;&lt;s&gt;" &amp; SUBSTITUTE(T282,",","&lt;/s&gt;&lt;s&gt;") &amp; "&lt;/s&gt;&lt;/t&gt;", "//s"),Writers!$A$3:$A$999,Writers!$B$3:$B$999,""))</f>
        <v>Robert Holmes</v>
      </c>
      <c r="V282" s="3"/>
      <c r="W282" s="3" t="str">
        <f>IF(V282="","",_xlfn.XLOOKUP(V282,Writers!$A$3:$A$999,Writers!$B$3:$B$999,""))</f>
        <v/>
      </c>
      <c r="X282" s="3">
        <v>8</v>
      </c>
      <c r="Y282" s="3"/>
      <c r="Z282" s="3"/>
      <c r="AA282" s="3">
        <f t="shared" si="12"/>
        <v>9.77</v>
      </c>
      <c r="AB282" s="3" t="str">
        <f t="shared" si="13"/>
        <v/>
      </c>
      <c r="AC282" s="3" t="str">
        <f t="shared" si="14"/>
        <v/>
      </c>
      <c r="AD282" s="3">
        <f>VLOOKUP(YEAR(Q282),Populations!$A$3:$B$999,2,0)</f>
        <v>55928000</v>
      </c>
      <c r="AE282" s="3">
        <f>(Calculations!B1/AD282)</f>
        <v>1.2213011729366301</v>
      </c>
      <c r="AF282" s="3"/>
      <c r="AG282" s="3">
        <v>1</v>
      </c>
      <c r="AH282" s="3" t="str">
        <f>VLOOKUP(AG282,WikiFormats!$A$3:$B$999,2,0)</f>
        <v>Story</v>
      </c>
      <c r="AI282" s="3" t="s">
        <v>631</v>
      </c>
    </row>
    <row r="283" spans="1:35" s="8" customFormat="1" x14ac:dyDescent="0.55000000000000004">
      <c r="A283" s="3">
        <v>281</v>
      </c>
      <c r="B283" s="3">
        <v>1</v>
      </c>
      <c r="C283" s="3" t="str">
        <f>VLOOKUP(B283,Eras!$A$3:$B$999,2,0)</f>
        <v>Classic</v>
      </c>
      <c r="D283" s="3">
        <v>1</v>
      </c>
      <c r="E283" s="3" t="str">
        <f>VLOOKUP(D283,EpisodeFormats!$A$3:$B$999,2,0)</f>
        <v>Series</v>
      </c>
      <c r="F283" s="3">
        <v>3</v>
      </c>
      <c r="G283" s="3" t="str">
        <f>VLOOKUP(F283,Doctors!$A$3:$B$999,2,0)</f>
        <v>Jon Pertwee</v>
      </c>
      <c r="H283" s="3">
        <v>8</v>
      </c>
      <c r="I283" s="3">
        <v>1</v>
      </c>
      <c r="J283" s="3" t="str">
        <f>VLOOKUP(I283,SeasonFormats!$A$3:$B$999,2,0)</f>
        <v>Season</v>
      </c>
      <c r="K283" s="3">
        <v>55</v>
      </c>
      <c r="L283" s="3">
        <v>1</v>
      </c>
      <c r="M283" s="3" t="s">
        <v>411</v>
      </c>
      <c r="N283" s="3">
        <v>3</v>
      </c>
      <c r="O283" s="3" t="s">
        <v>375</v>
      </c>
      <c r="P283" s="3">
        <v>3</v>
      </c>
      <c r="Q283" s="7" t="d">
        <v>1971-01-16</v>
      </c>
      <c r="R283" s="3">
        <v>24</v>
      </c>
      <c r="S283" s="3"/>
      <c r="T283" s="4" t="s">
        <v>1122</v>
      </c>
      <c r="U283" s="3" t="str" cm="1">
        <f t="array" ref="U283">_xlfn.TEXTJOIN(",",TRUE,_xlfn.XLOOKUP(_xlfn.FILTERXML("&lt;t&gt;&lt;s&gt;" &amp; SUBSTITUTE(T283,",","&lt;/s&gt;&lt;s&gt;") &amp; "&lt;/s&gt;&lt;/t&gt;", "//s"),Writers!$A$3:$A$999,Writers!$B$3:$B$999,""))</f>
        <v>Robert Holmes</v>
      </c>
      <c r="V283" s="3"/>
      <c r="W283" s="3" t="str">
        <f>IF(V283="","",_xlfn.XLOOKUP(V283,Writers!$A$3:$A$999,Writers!$B$3:$B$999,""))</f>
        <v/>
      </c>
      <c r="X283" s="3">
        <v>8.1</v>
      </c>
      <c r="Y283" s="3"/>
      <c r="Z283" s="3"/>
      <c r="AA283" s="3">
        <f t="shared" si="12"/>
        <v>9.89</v>
      </c>
      <c r="AB283" s="3" t="str">
        <f t="shared" si="13"/>
        <v/>
      </c>
      <c r="AC283" s="3" t="str">
        <f t="shared" si="14"/>
        <v/>
      </c>
      <c r="AD283" s="3">
        <f>VLOOKUP(YEAR(Q283),Populations!$A$3:$B$999,2,0)</f>
        <v>55928000</v>
      </c>
      <c r="AE283" s="3">
        <f>(Calculations!B1/AD283)</f>
        <v>1.2213011729366301</v>
      </c>
      <c r="AF283" s="3"/>
      <c r="AG283" s="3">
        <v>1</v>
      </c>
      <c r="AH283" s="3" t="str">
        <f>VLOOKUP(AG283,WikiFormats!$A$3:$B$999,2,0)</f>
        <v>Story</v>
      </c>
      <c r="AI283" s="3" t="s">
        <v>631</v>
      </c>
    </row>
    <row r="284" spans="1:35" s="8" customFormat="1" x14ac:dyDescent="0.55000000000000004">
      <c r="A284" s="3">
        <v>282</v>
      </c>
      <c r="B284" s="3">
        <v>1</v>
      </c>
      <c r="C284" s="3" t="str">
        <f>VLOOKUP(B284,Eras!$A$3:$B$999,2,0)</f>
        <v>Classic</v>
      </c>
      <c r="D284" s="3">
        <v>1</v>
      </c>
      <c r="E284" s="3" t="str">
        <f>VLOOKUP(D284,EpisodeFormats!$A$3:$B$999,2,0)</f>
        <v>Series</v>
      </c>
      <c r="F284" s="3">
        <v>3</v>
      </c>
      <c r="G284" s="3" t="str">
        <f>VLOOKUP(F284,Doctors!$A$3:$B$999,2,0)</f>
        <v>Jon Pertwee</v>
      </c>
      <c r="H284" s="3">
        <v>8</v>
      </c>
      <c r="I284" s="3">
        <v>1</v>
      </c>
      <c r="J284" s="3" t="str">
        <f>VLOOKUP(I284,SeasonFormats!$A$3:$B$999,2,0)</f>
        <v>Season</v>
      </c>
      <c r="K284" s="3">
        <v>55</v>
      </c>
      <c r="L284" s="3">
        <v>1</v>
      </c>
      <c r="M284" s="3" t="s">
        <v>411</v>
      </c>
      <c r="N284" s="3">
        <v>4</v>
      </c>
      <c r="O284" s="3" t="s">
        <v>376</v>
      </c>
      <c r="P284" s="3">
        <v>4</v>
      </c>
      <c r="Q284" s="7" t="d">
        <v>1971-01-23</v>
      </c>
      <c r="R284" s="3">
        <v>22</v>
      </c>
      <c r="S284" s="3"/>
      <c r="T284" s="4" t="s">
        <v>1122</v>
      </c>
      <c r="U284" s="3" t="str" cm="1">
        <f t="array" ref="U284">_xlfn.TEXTJOIN(",",TRUE,_xlfn.XLOOKUP(_xlfn.FILTERXML("&lt;t&gt;&lt;s&gt;" &amp; SUBSTITUTE(T284,",","&lt;/s&gt;&lt;s&gt;") &amp; "&lt;/s&gt;&lt;/t&gt;", "//s"),Writers!$A$3:$A$999,Writers!$B$3:$B$999,""))</f>
        <v>Robert Holmes</v>
      </c>
      <c r="V284" s="3"/>
      <c r="W284" s="3" t="str">
        <f>IF(V284="","",_xlfn.XLOOKUP(V284,Writers!$A$3:$A$999,Writers!$B$3:$B$999,""))</f>
        <v/>
      </c>
      <c r="X284" s="3">
        <v>8.4</v>
      </c>
      <c r="Y284" s="3"/>
      <c r="Z284" s="3"/>
      <c r="AA284" s="3">
        <f t="shared" si="12"/>
        <v>10.26</v>
      </c>
      <c r="AB284" s="3" t="str">
        <f t="shared" si="13"/>
        <v/>
      </c>
      <c r="AC284" s="3" t="str">
        <f t="shared" si="14"/>
        <v/>
      </c>
      <c r="AD284" s="3">
        <f>VLOOKUP(YEAR(Q284),Populations!$A$3:$B$999,2,0)</f>
        <v>55928000</v>
      </c>
      <c r="AE284" s="3">
        <f>(Calculations!B1/AD284)</f>
        <v>1.2213011729366301</v>
      </c>
      <c r="AF284" s="3"/>
      <c r="AG284" s="3">
        <v>1</v>
      </c>
      <c r="AH284" s="3" t="str">
        <f>VLOOKUP(AG284,WikiFormats!$A$3:$B$999,2,0)</f>
        <v>Story</v>
      </c>
      <c r="AI284" s="3" t="s">
        <v>631</v>
      </c>
    </row>
    <row r="285" spans="1:35" s="2" customFormat="1" x14ac:dyDescent="0.55000000000000004">
      <c r="A285">
        <v>283</v>
      </c>
      <c r="B285">
        <v>1</v>
      </c>
      <c r="C285" t="str">
        <f>VLOOKUP(B285,Eras!$A$3:$B$999,2,0)</f>
        <v>Classic</v>
      </c>
      <c r="D285">
        <v>1</v>
      </c>
      <c r="E285" t="str">
        <f>VLOOKUP(D285,EpisodeFormats!$A$3:$B$999,2,0)</f>
        <v>Series</v>
      </c>
      <c r="F285">
        <v>3</v>
      </c>
      <c r="G285" t="str">
        <f>VLOOKUP(F285,Doctors!$A$3:$B$999,2,0)</f>
        <v>Jon Pertwee</v>
      </c>
      <c r="H285">
        <v>8</v>
      </c>
      <c r="I285">
        <v>1</v>
      </c>
      <c r="J285" t="str">
        <f>VLOOKUP(I285,SeasonFormats!$A$3:$B$999,2,0)</f>
        <v>Season</v>
      </c>
      <c r="K285">
        <v>56</v>
      </c>
      <c r="L285">
        <v>2</v>
      </c>
      <c r="M285" t="s">
        <v>412</v>
      </c>
      <c r="N285">
        <v>1</v>
      </c>
      <c r="O285" t="s">
        <v>373</v>
      </c>
      <c r="P285">
        <v>5</v>
      </c>
      <c r="Q285" s="6" t="d">
        <v>1971-01-30</v>
      </c>
      <c r="R285">
        <v>25</v>
      </c>
      <c r="S285"/>
      <c r="T285" s="15" t="s">
        <v>1129</v>
      </c>
      <c r="U285" t="str" cm="1">
        <f t="array" ref="U285">_xlfn.TEXTJOIN(",",TRUE,_xlfn.XLOOKUP(_xlfn.FILTERXML("&lt;t&gt;&lt;s&gt;" &amp; SUBSTITUTE(T285,",","&lt;/s&gt;&lt;s&gt;") &amp; "&lt;/s&gt;&lt;/t&gt;", "//s"),Writers!$A$3:$A$999,Writers!$B$3:$B$999,""))</f>
        <v>Don Houghton</v>
      </c>
      <c r="V285"/>
      <c r="W285" t="str">
        <f>IF(V285="","",_xlfn.XLOOKUP(V285,Writers!$A$3:$A$999,Writers!$B$3:$B$999,""))</f>
        <v/>
      </c>
      <c r="X285">
        <v>6.1</v>
      </c>
      <c r="Y285"/>
      <c r="Z285"/>
      <c r="AA285">
        <f t="shared" si="12"/>
        <v>7.45</v>
      </c>
      <c r="AB285" t="str">
        <f t="shared" si="13"/>
        <v/>
      </c>
      <c r="AC285" t="str">
        <f t="shared" si="14"/>
        <v/>
      </c>
      <c r="AD285">
        <f>VLOOKUP(YEAR(Q285),Populations!$A$3:$B$999,2,0)</f>
        <v>55928000</v>
      </c>
      <c r="AE285">
        <f>(Calculations!B1/AD285)</f>
        <v>1.2213011729366301</v>
      </c>
      <c r="AF285"/>
      <c r="AG285">
        <v>1</v>
      </c>
      <c r="AH285" t="str">
        <f>VLOOKUP(AG285,WikiFormats!$A$3:$B$999,2,0)</f>
        <v>Story</v>
      </c>
      <c r="AI285" t="s">
        <v>632</v>
      </c>
    </row>
    <row r="286" spans="1:35" s="2" customFormat="1" x14ac:dyDescent="0.55000000000000004">
      <c r="A286">
        <v>284</v>
      </c>
      <c r="B286">
        <v>1</v>
      </c>
      <c r="C286" t="str">
        <f>VLOOKUP(B286,Eras!$A$3:$B$999,2,0)</f>
        <v>Classic</v>
      </c>
      <c r="D286">
        <v>1</v>
      </c>
      <c r="E286" t="str">
        <f>VLOOKUP(D286,EpisodeFormats!$A$3:$B$999,2,0)</f>
        <v>Series</v>
      </c>
      <c r="F286">
        <v>3</v>
      </c>
      <c r="G286" t="str">
        <f>VLOOKUP(F286,Doctors!$A$3:$B$999,2,0)</f>
        <v>Jon Pertwee</v>
      </c>
      <c r="H286">
        <v>8</v>
      </c>
      <c r="I286">
        <v>1</v>
      </c>
      <c r="J286" t="str">
        <f>VLOOKUP(I286,SeasonFormats!$A$3:$B$999,2,0)</f>
        <v>Season</v>
      </c>
      <c r="K286">
        <v>56</v>
      </c>
      <c r="L286">
        <v>2</v>
      </c>
      <c r="M286" t="s">
        <v>412</v>
      </c>
      <c r="N286">
        <v>2</v>
      </c>
      <c r="O286" t="s">
        <v>374</v>
      </c>
      <c r="P286">
        <v>6</v>
      </c>
      <c r="Q286" s="6" t="d">
        <v>1971-02-06</v>
      </c>
      <c r="R286">
        <v>25</v>
      </c>
      <c r="S286"/>
      <c r="T286" s="15" t="s">
        <v>1129</v>
      </c>
      <c r="U286" t="str" cm="1">
        <f t="array" ref="U286">_xlfn.TEXTJOIN(",",TRUE,_xlfn.XLOOKUP(_xlfn.FILTERXML("&lt;t&gt;&lt;s&gt;" &amp; SUBSTITUTE(T286,",","&lt;/s&gt;&lt;s&gt;") &amp; "&lt;/s&gt;&lt;/t&gt;", "//s"),Writers!$A$3:$A$999,Writers!$B$3:$B$999,""))</f>
        <v>Don Houghton</v>
      </c>
      <c r="V286"/>
      <c r="W286" t="str">
        <f>IF(V286="","",_xlfn.XLOOKUP(V286,Writers!$A$3:$A$999,Writers!$B$3:$B$999,""))</f>
        <v/>
      </c>
      <c r="X286">
        <v>8.8000000000000007</v>
      </c>
      <c r="Y286"/>
      <c r="Z286"/>
      <c r="AA286">
        <f t="shared" si="12"/>
        <v>10.75</v>
      </c>
      <c r="AB286" t="str">
        <f t="shared" si="13"/>
        <v/>
      </c>
      <c r="AC286" t="str">
        <f t="shared" si="14"/>
        <v/>
      </c>
      <c r="AD286">
        <f>VLOOKUP(YEAR(Q286),Populations!$A$3:$B$999,2,0)</f>
        <v>55928000</v>
      </c>
      <c r="AE286">
        <f>(Calculations!B1/AD286)</f>
        <v>1.2213011729366301</v>
      </c>
      <c r="AF286"/>
      <c r="AG286">
        <v>1</v>
      </c>
      <c r="AH286" t="str">
        <f>VLOOKUP(AG286,WikiFormats!$A$3:$B$999,2,0)</f>
        <v>Story</v>
      </c>
      <c r="AI286" t="s">
        <v>632</v>
      </c>
    </row>
    <row r="287" spans="1:35" s="2" customFormat="1" x14ac:dyDescent="0.55000000000000004">
      <c r="A287">
        <v>285</v>
      </c>
      <c r="B287">
        <v>1</v>
      </c>
      <c r="C287" t="str">
        <f>VLOOKUP(B287,Eras!$A$3:$B$999,2,0)</f>
        <v>Classic</v>
      </c>
      <c r="D287">
        <v>1</v>
      </c>
      <c r="E287" t="str">
        <f>VLOOKUP(D287,EpisodeFormats!$A$3:$B$999,2,0)</f>
        <v>Series</v>
      </c>
      <c r="F287">
        <v>3</v>
      </c>
      <c r="G287" t="str">
        <f>VLOOKUP(F287,Doctors!$A$3:$B$999,2,0)</f>
        <v>Jon Pertwee</v>
      </c>
      <c r="H287">
        <v>8</v>
      </c>
      <c r="I287">
        <v>1</v>
      </c>
      <c r="J287" t="str">
        <f>VLOOKUP(I287,SeasonFormats!$A$3:$B$999,2,0)</f>
        <v>Season</v>
      </c>
      <c r="K287">
        <v>56</v>
      </c>
      <c r="L287">
        <v>2</v>
      </c>
      <c r="M287" t="s">
        <v>412</v>
      </c>
      <c r="N287">
        <v>3</v>
      </c>
      <c r="O287" t="s">
        <v>375</v>
      </c>
      <c r="P287">
        <v>7</v>
      </c>
      <c r="Q287" s="6" t="d">
        <v>1971-02-13</v>
      </c>
      <c r="R287">
        <v>25</v>
      </c>
      <c r="S287"/>
      <c r="T287" s="15" t="s">
        <v>1129</v>
      </c>
      <c r="U287" t="str" cm="1">
        <f t="array" ref="U287">_xlfn.TEXTJOIN(",",TRUE,_xlfn.XLOOKUP(_xlfn.FILTERXML("&lt;t&gt;&lt;s&gt;" &amp; SUBSTITUTE(T287,",","&lt;/s&gt;&lt;s&gt;") &amp; "&lt;/s&gt;&lt;/t&gt;", "//s"),Writers!$A$3:$A$999,Writers!$B$3:$B$999,""))</f>
        <v>Don Houghton</v>
      </c>
      <c r="V287"/>
      <c r="W287" t="str">
        <f>IF(V287="","",_xlfn.XLOOKUP(V287,Writers!$A$3:$A$999,Writers!$B$3:$B$999,""))</f>
        <v/>
      </c>
      <c r="X287">
        <v>7.5</v>
      </c>
      <c r="Y287"/>
      <c r="Z287"/>
      <c r="AA287">
        <f t="shared" si="12"/>
        <v>9.16</v>
      </c>
      <c r="AB287" t="str">
        <f t="shared" si="13"/>
        <v/>
      </c>
      <c r="AC287" t="str">
        <f t="shared" si="14"/>
        <v/>
      </c>
      <c r="AD287">
        <f>VLOOKUP(YEAR(Q287),Populations!$A$3:$B$999,2,0)</f>
        <v>55928000</v>
      </c>
      <c r="AE287">
        <f>(Calculations!B1/AD287)</f>
        <v>1.2213011729366301</v>
      </c>
      <c r="AF287"/>
      <c r="AG287">
        <v>1</v>
      </c>
      <c r="AH287" t="str">
        <f>VLOOKUP(AG287,WikiFormats!$A$3:$B$999,2,0)</f>
        <v>Story</v>
      </c>
      <c r="AI287" t="s">
        <v>632</v>
      </c>
    </row>
    <row r="288" spans="1:35" s="2" customFormat="1" x14ac:dyDescent="0.55000000000000004">
      <c r="A288">
        <v>286</v>
      </c>
      <c r="B288">
        <v>1</v>
      </c>
      <c r="C288" t="str">
        <f>VLOOKUP(B288,Eras!$A$3:$B$999,2,0)</f>
        <v>Classic</v>
      </c>
      <c r="D288">
        <v>1</v>
      </c>
      <c r="E288" t="str">
        <f>VLOOKUP(D288,EpisodeFormats!$A$3:$B$999,2,0)</f>
        <v>Series</v>
      </c>
      <c r="F288">
        <v>3</v>
      </c>
      <c r="G288" t="str">
        <f>VLOOKUP(F288,Doctors!$A$3:$B$999,2,0)</f>
        <v>Jon Pertwee</v>
      </c>
      <c r="H288">
        <v>8</v>
      </c>
      <c r="I288">
        <v>1</v>
      </c>
      <c r="J288" t="str">
        <f>VLOOKUP(I288,SeasonFormats!$A$3:$B$999,2,0)</f>
        <v>Season</v>
      </c>
      <c r="K288">
        <v>56</v>
      </c>
      <c r="L288">
        <v>2</v>
      </c>
      <c r="M288" t="s">
        <v>412</v>
      </c>
      <c r="N288">
        <v>4</v>
      </c>
      <c r="O288" t="s">
        <v>376</v>
      </c>
      <c r="P288">
        <v>8</v>
      </c>
      <c r="Q288" s="6" t="d">
        <v>1971-02-20</v>
      </c>
      <c r="R288">
        <v>25</v>
      </c>
      <c r="S288"/>
      <c r="T288" s="15" t="s">
        <v>1129</v>
      </c>
      <c r="U288" t="str" cm="1">
        <f t="array" ref="U288">_xlfn.TEXTJOIN(",",TRUE,_xlfn.XLOOKUP(_xlfn.FILTERXML("&lt;t&gt;&lt;s&gt;" &amp; SUBSTITUTE(T288,",","&lt;/s&gt;&lt;s&gt;") &amp; "&lt;/s&gt;&lt;/t&gt;", "//s"),Writers!$A$3:$A$999,Writers!$B$3:$B$999,""))</f>
        <v>Don Houghton</v>
      </c>
      <c r="V288"/>
      <c r="W288" t="str">
        <f>IF(V288="","",_xlfn.XLOOKUP(V288,Writers!$A$3:$A$999,Writers!$B$3:$B$999,""))</f>
        <v/>
      </c>
      <c r="X288">
        <v>7.4</v>
      </c>
      <c r="Y288"/>
      <c r="Z288"/>
      <c r="AA288">
        <f t="shared" si="12"/>
        <v>9.0399999999999991</v>
      </c>
      <c r="AB288" t="str">
        <f t="shared" si="13"/>
        <v/>
      </c>
      <c r="AC288" t="str">
        <f t="shared" si="14"/>
        <v/>
      </c>
      <c r="AD288">
        <f>VLOOKUP(YEAR(Q288),Populations!$A$3:$B$999,2,0)</f>
        <v>55928000</v>
      </c>
      <c r="AE288">
        <f>(Calculations!B1/AD288)</f>
        <v>1.2213011729366301</v>
      </c>
      <c r="AF288"/>
      <c r="AG288">
        <v>1</v>
      </c>
      <c r="AH288" t="str">
        <f>VLOOKUP(AG288,WikiFormats!$A$3:$B$999,2,0)</f>
        <v>Story</v>
      </c>
      <c r="AI288" t="s">
        <v>632</v>
      </c>
    </row>
    <row r="289" spans="1:35" s="2" customFormat="1" x14ac:dyDescent="0.55000000000000004">
      <c r="A289">
        <v>287</v>
      </c>
      <c r="B289">
        <v>1</v>
      </c>
      <c r="C289" t="str">
        <f>VLOOKUP(B289,Eras!$A$3:$B$999,2,0)</f>
        <v>Classic</v>
      </c>
      <c r="D289">
        <v>1</v>
      </c>
      <c r="E289" t="str">
        <f>VLOOKUP(D289,EpisodeFormats!$A$3:$B$999,2,0)</f>
        <v>Series</v>
      </c>
      <c r="F289">
        <v>3</v>
      </c>
      <c r="G289" t="str">
        <f>VLOOKUP(F289,Doctors!$A$3:$B$999,2,0)</f>
        <v>Jon Pertwee</v>
      </c>
      <c r="H289">
        <v>8</v>
      </c>
      <c r="I289">
        <v>1</v>
      </c>
      <c r="J289" t="str">
        <f>VLOOKUP(I289,SeasonFormats!$A$3:$B$999,2,0)</f>
        <v>Season</v>
      </c>
      <c r="K289">
        <v>56</v>
      </c>
      <c r="L289">
        <v>2</v>
      </c>
      <c r="M289" t="s">
        <v>412</v>
      </c>
      <c r="N289">
        <v>5</v>
      </c>
      <c r="O289" t="s">
        <v>377</v>
      </c>
      <c r="P289">
        <v>9</v>
      </c>
      <c r="Q289" s="6" t="d">
        <v>1971-02-27</v>
      </c>
      <c r="R289">
        <v>24</v>
      </c>
      <c r="S289"/>
      <c r="T289" s="15" t="s">
        <v>1129</v>
      </c>
      <c r="U289" t="str" cm="1">
        <f t="array" ref="U289">_xlfn.TEXTJOIN(",",TRUE,_xlfn.XLOOKUP(_xlfn.FILTERXML("&lt;t&gt;&lt;s&gt;" &amp; SUBSTITUTE(T289,",","&lt;/s&gt;&lt;s&gt;") &amp; "&lt;/s&gt;&lt;/t&gt;", "//s"),Writers!$A$3:$A$999,Writers!$B$3:$B$999,""))</f>
        <v>Don Houghton</v>
      </c>
      <c r="V289"/>
      <c r="W289" t="str">
        <f>IF(V289="","",_xlfn.XLOOKUP(V289,Writers!$A$3:$A$999,Writers!$B$3:$B$999,""))</f>
        <v/>
      </c>
      <c r="X289">
        <v>7.6</v>
      </c>
      <c r="Y289"/>
      <c r="Z289"/>
      <c r="AA289">
        <f t="shared" si="12"/>
        <v>9.2799999999999994</v>
      </c>
      <c r="AB289" t="str">
        <f t="shared" si="13"/>
        <v/>
      </c>
      <c r="AC289" t="str">
        <f t="shared" si="14"/>
        <v/>
      </c>
      <c r="AD289">
        <f>VLOOKUP(YEAR(Q289),Populations!$A$3:$B$999,2,0)</f>
        <v>55928000</v>
      </c>
      <c r="AE289">
        <f>(Calculations!B1/AD289)</f>
        <v>1.2213011729366301</v>
      </c>
      <c r="AF289"/>
      <c r="AG289">
        <v>1</v>
      </c>
      <c r="AH289" t="str">
        <f>VLOOKUP(AG289,WikiFormats!$A$3:$B$999,2,0)</f>
        <v>Story</v>
      </c>
      <c r="AI289" t="s">
        <v>632</v>
      </c>
    </row>
    <row r="290" spans="1:35" s="2" customFormat="1" x14ac:dyDescent="0.55000000000000004">
      <c r="A290">
        <v>288</v>
      </c>
      <c r="B290">
        <v>1</v>
      </c>
      <c r="C290" t="str">
        <f>VLOOKUP(B290,Eras!$A$3:$B$999,2,0)</f>
        <v>Classic</v>
      </c>
      <c r="D290">
        <v>1</v>
      </c>
      <c r="E290" t="str">
        <f>VLOOKUP(D290,EpisodeFormats!$A$3:$B$999,2,0)</f>
        <v>Series</v>
      </c>
      <c r="F290">
        <v>3</v>
      </c>
      <c r="G290" t="str">
        <f>VLOOKUP(F290,Doctors!$A$3:$B$999,2,0)</f>
        <v>Jon Pertwee</v>
      </c>
      <c r="H290">
        <v>8</v>
      </c>
      <c r="I290">
        <v>1</v>
      </c>
      <c r="J290" t="str">
        <f>VLOOKUP(I290,SeasonFormats!$A$3:$B$999,2,0)</f>
        <v>Season</v>
      </c>
      <c r="K290">
        <v>56</v>
      </c>
      <c r="L290">
        <v>2</v>
      </c>
      <c r="M290" t="s">
        <v>412</v>
      </c>
      <c r="N290">
        <v>6</v>
      </c>
      <c r="O290" t="s">
        <v>378</v>
      </c>
      <c r="P290">
        <v>10</v>
      </c>
      <c r="Q290" s="6" t="d">
        <v>1971-03-06</v>
      </c>
      <c r="R290">
        <v>25</v>
      </c>
      <c r="S290"/>
      <c r="T290" s="15" t="s">
        <v>1129</v>
      </c>
      <c r="U290" t="str" cm="1">
        <f t="array" ref="U290">_xlfn.TEXTJOIN(",",TRUE,_xlfn.XLOOKUP(_xlfn.FILTERXML("&lt;t&gt;&lt;s&gt;" &amp; SUBSTITUTE(T290,",","&lt;/s&gt;&lt;s&gt;") &amp; "&lt;/s&gt;&lt;/t&gt;", "//s"),Writers!$A$3:$A$999,Writers!$B$3:$B$999,""))</f>
        <v>Don Houghton</v>
      </c>
      <c r="V290"/>
      <c r="W290" t="str">
        <f>IF(V290="","",_xlfn.XLOOKUP(V290,Writers!$A$3:$A$999,Writers!$B$3:$B$999,""))</f>
        <v/>
      </c>
      <c r="X290">
        <v>7.3</v>
      </c>
      <c r="Y290"/>
      <c r="Z290"/>
      <c r="AA290">
        <f t="shared" si="12"/>
        <v>8.92</v>
      </c>
      <c r="AB290" t="str">
        <f t="shared" si="13"/>
        <v/>
      </c>
      <c r="AC290" t="str">
        <f t="shared" si="14"/>
        <v/>
      </c>
      <c r="AD290">
        <f>VLOOKUP(YEAR(Q290),Populations!$A$3:$B$999,2,0)</f>
        <v>55928000</v>
      </c>
      <c r="AE290">
        <f>(Calculations!B1/AD290)</f>
        <v>1.2213011729366301</v>
      </c>
      <c r="AF290"/>
      <c r="AG290">
        <v>1</v>
      </c>
      <c r="AH290" t="str">
        <f>VLOOKUP(AG290,WikiFormats!$A$3:$B$999,2,0)</f>
        <v>Story</v>
      </c>
      <c r="AI290" t="s">
        <v>632</v>
      </c>
    </row>
    <row r="291" spans="1:35" s="8" customFormat="1" x14ac:dyDescent="0.55000000000000004">
      <c r="A291" s="3">
        <v>289</v>
      </c>
      <c r="B291" s="3">
        <v>1</v>
      </c>
      <c r="C291" s="3" t="str">
        <f>VLOOKUP(B291,Eras!$A$3:$B$999,2,0)</f>
        <v>Classic</v>
      </c>
      <c r="D291" s="3">
        <v>1</v>
      </c>
      <c r="E291" s="3" t="str">
        <f>VLOOKUP(D291,EpisodeFormats!$A$3:$B$999,2,0)</f>
        <v>Series</v>
      </c>
      <c r="F291" s="3">
        <v>3</v>
      </c>
      <c r="G291" s="3" t="str">
        <f>VLOOKUP(F291,Doctors!$A$3:$B$999,2,0)</f>
        <v>Jon Pertwee</v>
      </c>
      <c r="H291" s="3">
        <v>8</v>
      </c>
      <c r="I291" s="3">
        <v>1</v>
      </c>
      <c r="J291" s="3" t="str">
        <f>VLOOKUP(I291,SeasonFormats!$A$3:$B$999,2,0)</f>
        <v>Season</v>
      </c>
      <c r="K291" s="3">
        <v>57</v>
      </c>
      <c r="L291" s="3">
        <v>3</v>
      </c>
      <c r="M291" s="3" t="s">
        <v>413</v>
      </c>
      <c r="N291" s="3">
        <v>1</v>
      </c>
      <c r="O291" s="3" t="s">
        <v>373</v>
      </c>
      <c r="P291" s="3">
        <v>11</v>
      </c>
      <c r="Q291" s="7" t="d">
        <v>1971-03-13</v>
      </c>
      <c r="R291" s="3">
        <v>24</v>
      </c>
      <c r="S291" s="3"/>
      <c r="T291" s="4" t="s">
        <v>1076</v>
      </c>
      <c r="U291" s="3" t="str" cm="1">
        <f t="array" ref="U291">_xlfn.TEXTJOIN(",",TRUE,_xlfn.XLOOKUP(_xlfn.FILTERXML("&lt;t&gt;&lt;s&gt;" &amp; SUBSTITUTE(T291,",","&lt;/s&gt;&lt;s&gt;") &amp; "&lt;/s&gt;&lt;/t&gt;", "//s"),Writers!$A$3:$A$999,Writers!$B$3:$B$999,""))</f>
        <v>Bob Baker,Dave Martin</v>
      </c>
      <c r="V291" s="3"/>
      <c r="W291" s="3" t="str">
        <f>IF(V291="","",_xlfn.XLOOKUP(V291,Writers!$A$3:$A$999,Writers!$B$3:$B$999,""))</f>
        <v/>
      </c>
      <c r="X291" s="3">
        <v>7.3</v>
      </c>
      <c r="Y291" s="3"/>
      <c r="Z291" s="3"/>
      <c r="AA291" s="3">
        <f t="shared" si="12"/>
        <v>8.92</v>
      </c>
      <c r="AB291" s="3" t="str">
        <f t="shared" si="13"/>
        <v/>
      </c>
      <c r="AC291" s="3" t="str">
        <f t="shared" si="14"/>
        <v/>
      </c>
      <c r="AD291" s="3">
        <f>VLOOKUP(YEAR(Q291),Populations!$A$3:$B$999,2,0)</f>
        <v>55928000</v>
      </c>
      <c r="AE291" s="3">
        <f>(Calculations!B1/AD291)</f>
        <v>1.2213011729366301</v>
      </c>
      <c r="AF291" s="3"/>
      <c r="AG291" s="3">
        <v>1</v>
      </c>
      <c r="AH291" s="3" t="str">
        <f>VLOOKUP(AG291,WikiFormats!$A$3:$B$999,2,0)</f>
        <v>Story</v>
      </c>
      <c r="AI291" s="3" t="s">
        <v>633</v>
      </c>
    </row>
    <row r="292" spans="1:35" s="8" customFormat="1" x14ac:dyDescent="0.55000000000000004">
      <c r="A292" s="3">
        <v>290</v>
      </c>
      <c r="B292" s="3">
        <v>1</v>
      </c>
      <c r="C292" s="3" t="str">
        <f>VLOOKUP(B292,Eras!$A$3:$B$999,2,0)</f>
        <v>Classic</v>
      </c>
      <c r="D292" s="3">
        <v>1</v>
      </c>
      <c r="E292" s="3" t="str">
        <f>VLOOKUP(D292,EpisodeFormats!$A$3:$B$999,2,0)</f>
        <v>Series</v>
      </c>
      <c r="F292" s="3">
        <v>3</v>
      </c>
      <c r="G292" s="3" t="str">
        <f>VLOOKUP(F292,Doctors!$A$3:$B$999,2,0)</f>
        <v>Jon Pertwee</v>
      </c>
      <c r="H292" s="3">
        <v>8</v>
      </c>
      <c r="I292" s="3">
        <v>1</v>
      </c>
      <c r="J292" s="3" t="str">
        <f>VLOOKUP(I292,SeasonFormats!$A$3:$B$999,2,0)</f>
        <v>Season</v>
      </c>
      <c r="K292" s="3">
        <v>57</v>
      </c>
      <c r="L292" s="3">
        <v>3</v>
      </c>
      <c r="M292" s="3" t="s">
        <v>413</v>
      </c>
      <c r="N292" s="3">
        <v>2</v>
      </c>
      <c r="O292" s="3" t="s">
        <v>374</v>
      </c>
      <c r="P292" s="3">
        <v>12</v>
      </c>
      <c r="Q292" s="7" t="d">
        <v>1971-03-20</v>
      </c>
      <c r="R292" s="3">
        <v>24</v>
      </c>
      <c r="S292" s="3"/>
      <c r="T292" s="4" t="s">
        <v>1076</v>
      </c>
      <c r="U292" s="3" t="str" cm="1">
        <f t="array" ref="U292">_xlfn.TEXTJOIN(",",TRUE,_xlfn.XLOOKUP(_xlfn.FILTERXML("&lt;t&gt;&lt;s&gt;" &amp; SUBSTITUTE(T292,",","&lt;/s&gt;&lt;s&gt;") &amp; "&lt;/s&gt;&lt;/t&gt;", "//s"),Writers!$A$3:$A$999,Writers!$B$3:$B$999,""))</f>
        <v>Bob Baker,Dave Martin</v>
      </c>
      <c r="V292" s="3"/>
      <c r="W292" s="3" t="str">
        <f>IF(V292="","",_xlfn.XLOOKUP(V292,Writers!$A$3:$A$999,Writers!$B$3:$B$999,""))</f>
        <v/>
      </c>
      <c r="X292" s="3">
        <v>8</v>
      </c>
      <c r="Y292" s="3"/>
      <c r="Z292" s="3"/>
      <c r="AA292" s="3">
        <f t="shared" si="12"/>
        <v>9.77</v>
      </c>
      <c r="AB292" s="3" t="str">
        <f t="shared" si="13"/>
        <v/>
      </c>
      <c r="AC292" s="3" t="str">
        <f t="shared" si="14"/>
        <v/>
      </c>
      <c r="AD292" s="3">
        <f>VLOOKUP(YEAR(Q292),Populations!$A$3:$B$999,2,0)</f>
        <v>55928000</v>
      </c>
      <c r="AE292" s="3">
        <f>(Calculations!B1/AD292)</f>
        <v>1.2213011729366301</v>
      </c>
      <c r="AF292" s="3"/>
      <c r="AG292" s="3">
        <v>1</v>
      </c>
      <c r="AH292" s="3" t="str">
        <f>VLOOKUP(AG292,WikiFormats!$A$3:$B$999,2,0)</f>
        <v>Story</v>
      </c>
      <c r="AI292" s="3" t="s">
        <v>633</v>
      </c>
    </row>
    <row r="293" spans="1:35" s="8" customFormat="1" x14ac:dyDescent="0.55000000000000004">
      <c r="A293" s="3">
        <v>291</v>
      </c>
      <c r="B293" s="3">
        <v>1</v>
      </c>
      <c r="C293" s="3" t="str">
        <f>VLOOKUP(B293,Eras!$A$3:$B$999,2,0)</f>
        <v>Classic</v>
      </c>
      <c r="D293" s="3">
        <v>1</v>
      </c>
      <c r="E293" s="3" t="str">
        <f>VLOOKUP(D293,EpisodeFormats!$A$3:$B$999,2,0)</f>
        <v>Series</v>
      </c>
      <c r="F293" s="3">
        <v>3</v>
      </c>
      <c r="G293" s="3" t="str">
        <f>VLOOKUP(F293,Doctors!$A$3:$B$999,2,0)</f>
        <v>Jon Pertwee</v>
      </c>
      <c r="H293" s="3">
        <v>8</v>
      </c>
      <c r="I293" s="3">
        <v>1</v>
      </c>
      <c r="J293" s="3" t="str">
        <f>VLOOKUP(I293,SeasonFormats!$A$3:$B$999,2,0)</f>
        <v>Season</v>
      </c>
      <c r="K293" s="3">
        <v>57</v>
      </c>
      <c r="L293" s="3">
        <v>3</v>
      </c>
      <c r="M293" s="3" t="s">
        <v>413</v>
      </c>
      <c r="N293" s="3">
        <v>3</v>
      </c>
      <c r="O293" s="3" t="s">
        <v>375</v>
      </c>
      <c r="P293" s="3">
        <v>13</v>
      </c>
      <c r="Q293" s="7" t="d">
        <v>1971-03-27</v>
      </c>
      <c r="R293" s="3">
        <v>24</v>
      </c>
      <c r="S293" s="3"/>
      <c r="T293" s="4" t="s">
        <v>1076</v>
      </c>
      <c r="U293" s="3" t="str" cm="1">
        <f t="array" ref="U293">_xlfn.TEXTJOIN(",",TRUE,_xlfn.XLOOKUP(_xlfn.FILTERXML("&lt;t&gt;&lt;s&gt;" &amp; SUBSTITUTE(T293,",","&lt;/s&gt;&lt;s&gt;") &amp; "&lt;/s&gt;&lt;/t&gt;", "//s"),Writers!$A$3:$A$999,Writers!$B$3:$B$999,""))</f>
        <v>Bob Baker,Dave Martin</v>
      </c>
      <c r="V293" s="3"/>
      <c r="W293" s="3" t="str">
        <f>IF(V293="","",_xlfn.XLOOKUP(V293,Writers!$A$3:$A$999,Writers!$B$3:$B$999,""))</f>
        <v/>
      </c>
      <c r="X293" s="3">
        <v>6.4</v>
      </c>
      <c r="Y293" s="3"/>
      <c r="Z293" s="3"/>
      <c r="AA293" s="3">
        <f t="shared" si="12"/>
        <v>7.82</v>
      </c>
      <c r="AB293" s="3" t="str">
        <f t="shared" si="13"/>
        <v/>
      </c>
      <c r="AC293" s="3" t="str">
        <f t="shared" si="14"/>
        <v/>
      </c>
      <c r="AD293" s="3">
        <f>VLOOKUP(YEAR(Q293),Populations!$A$3:$B$999,2,0)</f>
        <v>55928000</v>
      </c>
      <c r="AE293" s="3">
        <f>(Calculations!B1/AD293)</f>
        <v>1.2213011729366301</v>
      </c>
      <c r="AF293" s="3"/>
      <c r="AG293" s="3">
        <v>1</v>
      </c>
      <c r="AH293" s="3" t="str">
        <f>VLOOKUP(AG293,WikiFormats!$A$3:$B$999,2,0)</f>
        <v>Story</v>
      </c>
      <c r="AI293" s="3" t="s">
        <v>633</v>
      </c>
    </row>
    <row r="294" spans="1:35" s="8" customFormat="1" x14ac:dyDescent="0.55000000000000004">
      <c r="A294" s="3">
        <v>292</v>
      </c>
      <c r="B294" s="3">
        <v>1</v>
      </c>
      <c r="C294" s="3" t="str">
        <f>VLOOKUP(B294,Eras!$A$3:$B$999,2,0)</f>
        <v>Classic</v>
      </c>
      <c r="D294" s="3">
        <v>1</v>
      </c>
      <c r="E294" s="3" t="str">
        <f>VLOOKUP(D294,EpisodeFormats!$A$3:$B$999,2,0)</f>
        <v>Series</v>
      </c>
      <c r="F294" s="3">
        <v>3</v>
      </c>
      <c r="G294" s="3" t="str">
        <f>VLOOKUP(F294,Doctors!$A$3:$B$999,2,0)</f>
        <v>Jon Pertwee</v>
      </c>
      <c r="H294" s="3">
        <v>8</v>
      </c>
      <c r="I294" s="3">
        <v>1</v>
      </c>
      <c r="J294" s="3" t="str">
        <f>VLOOKUP(I294,SeasonFormats!$A$3:$B$999,2,0)</f>
        <v>Season</v>
      </c>
      <c r="K294" s="3">
        <v>57</v>
      </c>
      <c r="L294" s="3">
        <v>3</v>
      </c>
      <c r="M294" s="3" t="s">
        <v>413</v>
      </c>
      <c r="N294" s="3">
        <v>4</v>
      </c>
      <c r="O294" s="3" t="s">
        <v>376</v>
      </c>
      <c r="P294" s="3">
        <v>14</v>
      </c>
      <c r="Q294" s="7" t="d">
        <v>1971-04-03</v>
      </c>
      <c r="R294" s="3">
        <v>25</v>
      </c>
      <c r="S294" s="3"/>
      <c r="T294" s="4" t="s">
        <v>1076</v>
      </c>
      <c r="U294" s="3" t="str" cm="1">
        <f t="array" ref="U294">_xlfn.TEXTJOIN(",",TRUE,_xlfn.XLOOKUP(_xlfn.FILTERXML("&lt;t&gt;&lt;s&gt;" &amp; SUBSTITUTE(T294,",","&lt;/s&gt;&lt;s&gt;") &amp; "&lt;/s&gt;&lt;/t&gt;", "//s"),Writers!$A$3:$A$999,Writers!$B$3:$B$999,""))</f>
        <v>Bob Baker,Dave Martin</v>
      </c>
      <c r="V294" s="3"/>
      <c r="W294" s="3" t="str">
        <f>IF(V294="","",_xlfn.XLOOKUP(V294,Writers!$A$3:$A$999,Writers!$B$3:$B$999,""))</f>
        <v/>
      </c>
      <c r="X294" s="3">
        <v>7.8</v>
      </c>
      <c r="Y294" s="3"/>
      <c r="Z294" s="3"/>
      <c r="AA294" s="3">
        <f t="shared" si="12"/>
        <v>9.5299999999999994</v>
      </c>
      <c r="AB294" s="3" t="str">
        <f t="shared" si="13"/>
        <v/>
      </c>
      <c r="AC294" s="3" t="str">
        <f t="shared" si="14"/>
        <v/>
      </c>
      <c r="AD294" s="3">
        <f>VLOOKUP(YEAR(Q294),Populations!$A$3:$B$999,2,0)</f>
        <v>55928000</v>
      </c>
      <c r="AE294" s="3">
        <f>(Calculations!B1/AD294)</f>
        <v>1.2213011729366301</v>
      </c>
      <c r="AF294" s="3"/>
      <c r="AG294" s="3">
        <v>1</v>
      </c>
      <c r="AH294" s="3" t="str">
        <f>VLOOKUP(AG294,WikiFormats!$A$3:$B$999,2,0)</f>
        <v>Story</v>
      </c>
      <c r="AI294" s="3" t="s">
        <v>633</v>
      </c>
    </row>
    <row r="295" spans="1:35" s="2" customFormat="1" x14ac:dyDescent="0.55000000000000004">
      <c r="A295">
        <v>293</v>
      </c>
      <c r="B295">
        <v>1</v>
      </c>
      <c r="C295" t="str">
        <f>VLOOKUP(B295,Eras!$A$3:$B$999,2,0)</f>
        <v>Classic</v>
      </c>
      <c r="D295">
        <v>1</v>
      </c>
      <c r="E295" t="str">
        <f>VLOOKUP(D295,EpisodeFormats!$A$3:$B$999,2,0)</f>
        <v>Series</v>
      </c>
      <c r="F295">
        <v>3</v>
      </c>
      <c r="G295" t="str">
        <f>VLOOKUP(F295,Doctors!$A$3:$B$999,2,0)</f>
        <v>Jon Pertwee</v>
      </c>
      <c r="H295">
        <v>8</v>
      </c>
      <c r="I295">
        <v>1</v>
      </c>
      <c r="J295" t="str">
        <f>VLOOKUP(I295,SeasonFormats!$A$3:$B$999,2,0)</f>
        <v>Season</v>
      </c>
      <c r="K295">
        <v>58</v>
      </c>
      <c r="L295">
        <v>4</v>
      </c>
      <c r="M295" t="s">
        <v>414</v>
      </c>
      <c r="N295">
        <v>1</v>
      </c>
      <c r="O295" t="s">
        <v>373</v>
      </c>
      <c r="P295">
        <v>15</v>
      </c>
      <c r="Q295" s="6" t="d">
        <v>1971-04-10</v>
      </c>
      <c r="R295">
        <v>24</v>
      </c>
      <c r="S295"/>
      <c r="T295" s="15" t="s">
        <v>1123</v>
      </c>
      <c r="U295" t="str" cm="1">
        <f t="array" ref="U295">_xlfn.TEXTJOIN(",",TRUE,_xlfn.XLOOKUP(_xlfn.FILTERXML("&lt;t&gt;&lt;s&gt;" &amp; SUBSTITUTE(T295,",","&lt;/s&gt;&lt;s&gt;") &amp; "&lt;/s&gt;&lt;/t&gt;", "//s"),Writers!$A$3:$A$999,Writers!$B$3:$B$999,""))</f>
        <v>Malcolm Hulke</v>
      </c>
      <c r="V295"/>
      <c r="W295" t="str">
        <f>IF(V295="","",_xlfn.XLOOKUP(V295,Writers!$A$3:$A$999,Writers!$B$3:$B$999,""))</f>
        <v/>
      </c>
      <c r="X295">
        <v>7.6</v>
      </c>
      <c r="Y295"/>
      <c r="Z295"/>
      <c r="AA295">
        <f t="shared" si="12"/>
        <v>9.2799999999999994</v>
      </c>
      <c r="AB295" t="str">
        <f t="shared" si="13"/>
        <v/>
      </c>
      <c r="AC295" t="str">
        <f t="shared" si="14"/>
        <v/>
      </c>
      <c r="AD295">
        <f>VLOOKUP(YEAR(Q295),Populations!$A$3:$B$999,2,0)</f>
        <v>55928000</v>
      </c>
      <c r="AE295">
        <f>(Calculations!B1/AD295)</f>
        <v>1.2213011729366301</v>
      </c>
      <c r="AF295"/>
      <c r="AG295">
        <v>1</v>
      </c>
      <c r="AH295" t="str">
        <f>VLOOKUP(AG295,WikiFormats!$A$3:$B$999,2,0)</f>
        <v>Story</v>
      </c>
      <c r="AI295" t="s">
        <v>634</v>
      </c>
    </row>
    <row r="296" spans="1:35" s="2" customFormat="1" x14ac:dyDescent="0.55000000000000004">
      <c r="A296">
        <v>294</v>
      </c>
      <c r="B296">
        <v>1</v>
      </c>
      <c r="C296" t="str">
        <f>VLOOKUP(B296,Eras!$A$3:$B$999,2,0)</f>
        <v>Classic</v>
      </c>
      <c r="D296">
        <v>1</v>
      </c>
      <c r="E296" t="str">
        <f>VLOOKUP(D296,EpisodeFormats!$A$3:$B$999,2,0)</f>
        <v>Series</v>
      </c>
      <c r="F296">
        <v>3</v>
      </c>
      <c r="G296" t="str">
        <f>VLOOKUP(F296,Doctors!$A$3:$B$999,2,0)</f>
        <v>Jon Pertwee</v>
      </c>
      <c r="H296">
        <v>8</v>
      </c>
      <c r="I296">
        <v>1</v>
      </c>
      <c r="J296" t="str">
        <f>VLOOKUP(I296,SeasonFormats!$A$3:$B$999,2,0)</f>
        <v>Season</v>
      </c>
      <c r="K296">
        <v>58</v>
      </c>
      <c r="L296">
        <v>4</v>
      </c>
      <c r="M296" t="s">
        <v>414</v>
      </c>
      <c r="N296">
        <v>2</v>
      </c>
      <c r="O296" t="s">
        <v>374</v>
      </c>
      <c r="P296">
        <v>16</v>
      </c>
      <c r="Q296" s="6" t="d">
        <v>1971-04-17</v>
      </c>
      <c r="R296">
        <v>23</v>
      </c>
      <c r="S296"/>
      <c r="T296" s="15" t="s">
        <v>1123</v>
      </c>
      <c r="U296" t="str" cm="1">
        <f t="array" ref="U296">_xlfn.TEXTJOIN(",",TRUE,_xlfn.XLOOKUP(_xlfn.FILTERXML("&lt;t&gt;&lt;s&gt;" &amp; SUBSTITUTE(T296,",","&lt;/s&gt;&lt;s&gt;") &amp; "&lt;/s&gt;&lt;/t&gt;", "//s"),Writers!$A$3:$A$999,Writers!$B$3:$B$999,""))</f>
        <v>Malcolm Hulke</v>
      </c>
      <c r="V296"/>
      <c r="W296" t="str">
        <f>IF(V296="","",_xlfn.XLOOKUP(V296,Writers!$A$3:$A$999,Writers!$B$3:$B$999,""))</f>
        <v/>
      </c>
      <c r="X296">
        <v>8.5</v>
      </c>
      <c r="Y296"/>
      <c r="Z296"/>
      <c r="AA296">
        <f t="shared" si="12"/>
        <v>10.38</v>
      </c>
      <c r="AB296" t="str">
        <f t="shared" si="13"/>
        <v/>
      </c>
      <c r="AC296" t="str">
        <f t="shared" si="14"/>
        <v/>
      </c>
      <c r="AD296">
        <f>VLOOKUP(YEAR(Q296),Populations!$A$3:$B$999,2,0)</f>
        <v>55928000</v>
      </c>
      <c r="AE296">
        <f>(Calculations!B1/AD296)</f>
        <v>1.2213011729366301</v>
      </c>
      <c r="AF296"/>
      <c r="AG296">
        <v>1</v>
      </c>
      <c r="AH296" t="str">
        <f>VLOOKUP(AG296,WikiFormats!$A$3:$B$999,2,0)</f>
        <v>Story</v>
      </c>
      <c r="AI296" t="s">
        <v>634</v>
      </c>
    </row>
    <row r="297" spans="1:35" s="2" customFormat="1" x14ac:dyDescent="0.55000000000000004">
      <c r="A297">
        <v>295</v>
      </c>
      <c r="B297">
        <v>1</v>
      </c>
      <c r="C297" t="str">
        <f>VLOOKUP(B297,Eras!$A$3:$B$999,2,0)</f>
        <v>Classic</v>
      </c>
      <c r="D297">
        <v>1</v>
      </c>
      <c r="E297" t="str">
        <f>VLOOKUP(D297,EpisodeFormats!$A$3:$B$999,2,0)</f>
        <v>Series</v>
      </c>
      <c r="F297">
        <v>3</v>
      </c>
      <c r="G297" t="str">
        <f>VLOOKUP(F297,Doctors!$A$3:$B$999,2,0)</f>
        <v>Jon Pertwee</v>
      </c>
      <c r="H297">
        <v>8</v>
      </c>
      <c r="I297">
        <v>1</v>
      </c>
      <c r="J297" t="str">
        <f>VLOOKUP(I297,SeasonFormats!$A$3:$B$999,2,0)</f>
        <v>Season</v>
      </c>
      <c r="K297">
        <v>58</v>
      </c>
      <c r="L297">
        <v>4</v>
      </c>
      <c r="M297" t="s">
        <v>414</v>
      </c>
      <c r="N297">
        <v>3</v>
      </c>
      <c r="O297" t="s">
        <v>375</v>
      </c>
      <c r="P297">
        <v>17</v>
      </c>
      <c r="Q297" s="6" t="d">
        <v>1971-04-24</v>
      </c>
      <c r="R297">
        <v>24</v>
      </c>
      <c r="S297"/>
      <c r="T297" s="15" t="s">
        <v>1123</v>
      </c>
      <c r="U297" t="str" cm="1">
        <f t="array" ref="U297">_xlfn.TEXTJOIN(",",TRUE,_xlfn.XLOOKUP(_xlfn.FILTERXML("&lt;t&gt;&lt;s&gt;" &amp; SUBSTITUTE(T297,",","&lt;/s&gt;&lt;s&gt;") &amp; "&lt;/s&gt;&lt;/t&gt;", "//s"),Writers!$A$3:$A$999,Writers!$B$3:$B$999,""))</f>
        <v>Malcolm Hulke</v>
      </c>
      <c r="V297"/>
      <c r="W297" t="str">
        <f>IF(V297="","",_xlfn.XLOOKUP(V297,Writers!$A$3:$A$999,Writers!$B$3:$B$999,""))</f>
        <v/>
      </c>
      <c r="X297">
        <v>9.5</v>
      </c>
      <c r="Y297"/>
      <c r="Z297"/>
      <c r="AA297">
        <f t="shared" si="12"/>
        <v>11.6</v>
      </c>
      <c r="AB297" t="str">
        <f t="shared" si="13"/>
        <v/>
      </c>
      <c r="AC297" t="str">
        <f t="shared" si="14"/>
        <v/>
      </c>
      <c r="AD297">
        <f>VLOOKUP(YEAR(Q297),Populations!$A$3:$B$999,2,0)</f>
        <v>55928000</v>
      </c>
      <c r="AE297">
        <f>(Calculations!B1/AD297)</f>
        <v>1.2213011729366301</v>
      </c>
      <c r="AF297"/>
      <c r="AG297">
        <v>1</v>
      </c>
      <c r="AH297" t="str">
        <f>VLOOKUP(AG297,WikiFormats!$A$3:$B$999,2,0)</f>
        <v>Story</v>
      </c>
      <c r="AI297" t="s">
        <v>634</v>
      </c>
    </row>
    <row r="298" spans="1:35" s="2" customFormat="1" x14ac:dyDescent="0.55000000000000004">
      <c r="A298">
        <v>296</v>
      </c>
      <c r="B298">
        <v>1</v>
      </c>
      <c r="C298" t="str">
        <f>VLOOKUP(B298,Eras!$A$3:$B$999,2,0)</f>
        <v>Classic</v>
      </c>
      <c r="D298">
        <v>1</v>
      </c>
      <c r="E298" t="str">
        <f>VLOOKUP(D298,EpisodeFormats!$A$3:$B$999,2,0)</f>
        <v>Series</v>
      </c>
      <c r="F298">
        <v>3</v>
      </c>
      <c r="G298" t="str">
        <f>VLOOKUP(F298,Doctors!$A$3:$B$999,2,0)</f>
        <v>Jon Pertwee</v>
      </c>
      <c r="H298">
        <v>8</v>
      </c>
      <c r="I298">
        <v>1</v>
      </c>
      <c r="J298" t="str">
        <f>VLOOKUP(I298,SeasonFormats!$A$3:$B$999,2,0)</f>
        <v>Season</v>
      </c>
      <c r="K298">
        <v>58</v>
      </c>
      <c r="L298">
        <v>4</v>
      </c>
      <c r="M298" t="s">
        <v>414</v>
      </c>
      <c r="N298">
        <v>4</v>
      </c>
      <c r="O298" t="s">
        <v>376</v>
      </c>
      <c r="P298">
        <v>18</v>
      </c>
      <c r="Q298" s="6" t="d">
        <v>1971-05-01</v>
      </c>
      <c r="R298">
        <v>24</v>
      </c>
      <c r="S298"/>
      <c r="T298" s="15" t="s">
        <v>1123</v>
      </c>
      <c r="U298" t="str" cm="1">
        <f t="array" ref="U298">_xlfn.TEXTJOIN(",",TRUE,_xlfn.XLOOKUP(_xlfn.FILTERXML("&lt;t&gt;&lt;s&gt;" &amp; SUBSTITUTE(T298,",","&lt;/s&gt;&lt;s&gt;") &amp; "&lt;/s&gt;&lt;/t&gt;", "//s"),Writers!$A$3:$A$999,Writers!$B$3:$B$999,""))</f>
        <v>Malcolm Hulke</v>
      </c>
      <c r="V298"/>
      <c r="W298" t="str">
        <f>IF(V298="","",_xlfn.XLOOKUP(V298,Writers!$A$3:$A$999,Writers!$B$3:$B$999,""))</f>
        <v/>
      </c>
      <c r="X298">
        <v>8.1</v>
      </c>
      <c r="Y298"/>
      <c r="Z298"/>
      <c r="AA298">
        <f t="shared" si="12"/>
        <v>9.89</v>
      </c>
      <c r="AB298" t="str">
        <f t="shared" si="13"/>
        <v/>
      </c>
      <c r="AC298" t="str">
        <f t="shared" si="14"/>
        <v/>
      </c>
      <c r="AD298">
        <f>VLOOKUP(YEAR(Q298),Populations!$A$3:$B$999,2,0)</f>
        <v>55928000</v>
      </c>
      <c r="AE298">
        <f>(Calculations!B1/AD298)</f>
        <v>1.2213011729366301</v>
      </c>
      <c r="AF298"/>
      <c r="AG298">
        <v>1</v>
      </c>
      <c r="AH298" t="str">
        <f>VLOOKUP(AG298,WikiFormats!$A$3:$B$999,2,0)</f>
        <v>Story</v>
      </c>
      <c r="AI298" t="s">
        <v>634</v>
      </c>
    </row>
    <row r="299" spans="1:35" s="2" customFormat="1" x14ac:dyDescent="0.55000000000000004">
      <c r="A299">
        <v>297</v>
      </c>
      <c r="B299">
        <v>1</v>
      </c>
      <c r="C299" t="str">
        <f>VLOOKUP(B299,Eras!$A$3:$B$999,2,0)</f>
        <v>Classic</v>
      </c>
      <c r="D299">
        <v>1</v>
      </c>
      <c r="E299" t="str">
        <f>VLOOKUP(D299,EpisodeFormats!$A$3:$B$999,2,0)</f>
        <v>Series</v>
      </c>
      <c r="F299">
        <v>3</v>
      </c>
      <c r="G299" t="str">
        <f>VLOOKUP(F299,Doctors!$A$3:$B$999,2,0)</f>
        <v>Jon Pertwee</v>
      </c>
      <c r="H299">
        <v>8</v>
      </c>
      <c r="I299">
        <v>1</v>
      </c>
      <c r="J299" t="str">
        <f>VLOOKUP(I299,SeasonFormats!$A$3:$B$999,2,0)</f>
        <v>Season</v>
      </c>
      <c r="K299">
        <v>58</v>
      </c>
      <c r="L299">
        <v>4</v>
      </c>
      <c r="M299" t="s">
        <v>414</v>
      </c>
      <c r="N299">
        <v>5</v>
      </c>
      <c r="O299" t="s">
        <v>377</v>
      </c>
      <c r="P299">
        <v>19</v>
      </c>
      <c r="Q299" s="6" t="d">
        <v>1971-05-08</v>
      </c>
      <c r="R299">
        <v>25</v>
      </c>
      <c r="S299"/>
      <c r="T299" s="15" t="s">
        <v>1123</v>
      </c>
      <c r="U299" t="str" cm="1">
        <f t="array" ref="U299">_xlfn.TEXTJOIN(",",TRUE,_xlfn.XLOOKUP(_xlfn.FILTERXML("&lt;t&gt;&lt;s&gt;" &amp; SUBSTITUTE(T299,",","&lt;/s&gt;&lt;s&gt;") &amp; "&lt;/s&gt;&lt;/t&gt;", "//s"),Writers!$A$3:$A$999,Writers!$B$3:$B$999,""))</f>
        <v>Malcolm Hulke</v>
      </c>
      <c r="V299"/>
      <c r="W299" t="str">
        <f>IF(V299="","",_xlfn.XLOOKUP(V299,Writers!$A$3:$A$999,Writers!$B$3:$B$999,""))</f>
        <v/>
      </c>
      <c r="X299">
        <v>8.8000000000000007</v>
      </c>
      <c r="Y299"/>
      <c r="Z299"/>
      <c r="AA299">
        <f t="shared" si="12"/>
        <v>10.75</v>
      </c>
      <c r="AB299" t="str">
        <f t="shared" si="13"/>
        <v/>
      </c>
      <c r="AC299" t="str">
        <f t="shared" si="14"/>
        <v/>
      </c>
      <c r="AD299">
        <f>VLOOKUP(YEAR(Q299),Populations!$A$3:$B$999,2,0)</f>
        <v>55928000</v>
      </c>
      <c r="AE299">
        <f>(Calculations!B1/AD299)</f>
        <v>1.2213011729366301</v>
      </c>
      <c r="AF299"/>
      <c r="AG299">
        <v>1</v>
      </c>
      <c r="AH299" t="str">
        <f>VLOOKUP(AG299,WikiFormats!$A$3:$B$999,2,0)</f>
        <v>Story</v>
      </c>
      <c r="AI299" t="s">
        <v>634</v>
      </c>
    </row>
    <row r="300" spans="1:35" s="2" customFormat="1" x14ac:dyDescent="0.55000000000000004">
      <c r="A300">
        <v>298</v>
      </c>
      <c r="B300">
        <v>1</v>
      </c>
      <c r="C300" t="str">
        <f>VLOOKUP(B300,Eras!$A$3:$B$999,2,0)</f>
        <v>Classic</v>
      </c>
      <c r="D300">
        <v>1</v>
      </c>
      <c r="E300" t="str">
        <f>VLOOKUP(D300,EpisodeFormats!$A$3:$B$999,2,0)</f>
        <v>Series</v>
      </c>
      <c r="F300">
        <v>3</v>
      </c>
      <c r="G300" t="str">
        <f>VLOOKUP(F300,Doctors!$A$3:$B$999,2,0)</f>
        <v>Jon Pertwee</v>
      </c>
      <c r="H300">
        <v>8</v>
      </c>
      <c r="I300">
        <v>1</v>
      </c>
      <c r="J300" t="str">
        <f>VLOOKUP(I300,SeasonFormats!$A$3:$B$999,2,0)</f>
        <v>Season</v>
      </c>
      <c r="K300">
        <v>58</v>
      </c>
      <c r="L300">
        <v>4</v>
      </c>
      <c r="M300" t="s">
        <v>414</v>
      </c>
      <c r="N300">
        <v>6</v>
      </c>
      <c r="O300" t="s">
        <v>378</v>
      </c>
      <c r="P300">
        <v>20</v>
      </c>
      <c r="Q300" s="6" t="d">
        <v>1971-05-15</v>
      </c>
      <c r="R300">
        <v>25</v>
      </c>
      <c r="S300"/>
      <c r="T300" s="15" t="s">
        <v>1123</v>
      </c>
      <c r="U300" t="str" cm="1">
        <f t="array" ref="U300">_xlfn.TEXTJOIN(",",TRUE,_xlfn.XLOOKUP(_xlfn.FILTERXML("&lt;t&gt;&lt;s&gt;" &amp; SUBSTITUTE(T300,",","&lt;/s&gt;&lt;s&gt;") &amp; "&lt;/s&gt;&lt;/t&gt;", "//s"),Writers!$A$3:$A$999,Writers!$B$3:$B$999,""))</f>
        <v>Malcolm Hulke</v>
      </c>
      <c r="V300"/>
      <c r="W300" t="str">
        <f>IF(V300="","",_xlfn.XLOOKUP(V300,Writers!$A$3:$A$999,Writers!$B$3:$B$999,""))</f>
        <v/>
      </c>
      <c r="X300">
        <v>8.6999999999999993</v>
      </c>
      <c r="Y300"/>
      <c r="Z300"/>
      <c r="AA300">
        <f t="shared" si="12"/>
        <v>10.63</v>
      </c>
      <c r="AB300" t="str">
        <f t="shared" si="13"/>
        <v/>
      </c>
      <c r="AC300" t="str">
        <f t="shared" si="14"/>
        <v/>
      </c>
      <c r="AD300">
        <f>VLOOKUP(YEAR(Q300),Populations!$A$3:$B$999,2,0)</f>
        <v>55928000</v>
      </c>
      <c r="AE300">
        <f>(Calculations!B1/AD300)</f>
        <v>1.2213011729366301</v>
      </c>
      <c r="AF300"/>
      <c r="AG300">
        <v>1</v>
      </c>
      <c r="AH300" t="str">
        <f>VLOOKUP(AG300,WikiFormats!$A$3:$B$999,2,0)</f>
        <v>Story</v>
      </c>
      <c r="AI300" t="s">
        <v>634</v>
      </c>
    </row>
    <row r="301" spans="1:35" s="8" customFormat="1" x14ac:dyDescent="0.55000000000000004">
      <c r="A301" s="3">
        <v>299</v>
      </c>
      <c r="B301" s="3">
        <v>1</v>
      </c>
      <c r="C301" s="3" t="str">
        <f>VLOOKUP(B301,Eras!$A$3:$B$999,2,0)</f>
        <v>Classic</v>
      </c>
      <c r="D301" s="3">
        <v>1</v>
      </c>
      <c r="E301" s="3" t="str">
        <f>VLOOKUP(D301,EpisodeFormats!$A$3:$B$999,2,0)</f>
        <v>Series</v>
      </c>
      <c r="F301" s="3">
        <v>3</v>
      </c>
      <c r="G301" s="3" t="str">
        <f>VLOOKUP(F301,Doctors!$A$3:$B$999,2,0)</f>
        <v>Jon Pertwee</v>
      </c>
      <c r="H301" s="3">
        <v>8</v>
      </c>
      <c r="I301" s="3">
        <v>1</v>
      </c>
      <c r="J301" s="3" t="str">
        <f>VLOOKUP(I301,SeasonFormats!$A$3:$B$999,2,0)</f>
        <v>Season</v>
      </c>
      <c r="K301" s="3">
        <v>59</v>
      </c>
      <c r="L301" s="3">
        <v>5</v>
      </c>
      <c r="M301" s="3" t="s">
        <v>449</v>
      </c>
      <c r="N301" s="3">
        <v>1</v>
      </c>
      <c r="O301" s="3" t="s">
        <v>373</v>
      </c>
      <c r="P301" s="3">
        <v>21</v>
      </c>
      <c r="Q301" s="7" t="d">
        <v>1971-05-22</v>
      </c>
      <c r="R301" s="3">
        <v>25</v>
      </c>
      <c r="S301" s="3"/>
      <c r="T301" s="4" t="s">
        <v>1136</v>
      </c>
      <c r="U301" s="3" t="str" cm="1">
        <f t="array" ref="U301">_xlfn.TEXTJOIN(",",TRUE,_xlfn.XLOOKUP(_xlfn.FILTERXML("&lt;t&gt;&lt;s&gt;" &amp; SUBSTITUTE(T301,",","&lt;/s&gt;&lt;s&gt;") &amp; "&lt;/s&gt;&lt;/t&gt;", "//s"),Writers!$A$3:$A$999,Writers!$B$3:$B$999,""))</f>
        <v>Barry Letts,Robert Sloman</v>
      </c>
      <c r="V301" s="3">
        <v>63</v>
      </c>
      <c r="W301" s="3" t="str">
        <f>IF(V301="","",_xlfn.XLOOKUP(V301,Writers!$A$3:$A$999,Writers!$B$3:$B$999,""))</f>
        <v>Guy Leopold</v>
      </c>
      <c r="X301" s="3">
        <v>9.1999999999999993</v>
      </c>
      <c r="Y301" s="3"/>
      <c r="Z301" s="3"/>
      <c r="AA301" s="3">
        <f t="shared" si="12"/>
        <v>11.24</v>
      </c>
      <c r="AB301" s="3" t="str">
        <f t="shared" si="13"/>
        <v/>
      </c>
      <c r="AC301" s="3" t="str">
        <f t="shared" si="14"/>
        <v/>
      </c>
      <c r="AD301" s="3">
        <f>VLOOKUP(YEAR(Q301),Populations!$A$3:$B$999,2,0)</f>
        <v>55928000</v>
      </c>
      <c r="AE301" s="3">
        <f>(Calculations!B1/AD301)</f>
        <v>1.2213011729366301</v>
      </c>
      <c r="AF301" s="3"/>
      <c r="AG301" s="3">
        <v>1</v>
      </c>
      <c r="AH301" s="3" t="str">
        <f>VLOOKUP(AG301,WikiFormats!$A$3:$B$999,2,0)</f>
        <v>Story</v>
      </c>
      <c r="AI301" s="3" t="s">
        <v>635</v>
      </c>
    </row>
    <row r="302" spans="1:35" s="8" customFormat="1" x14ac:dyDescent="0.55000000000000004">
      <c r="A302" s="3">
        <v>300</v>
      </c>
      <c r="B302" s="3">
        <v>1</v>
      </c>
      <c r="C302" s="3" t="str">
        <f>VLOOKUP(B302,Eras!$A$3:$B$999,2,0)</f>
        <v>Classic</v>
      </c>
      <c r="D302" s="3">
        <v>1</v>
      </c>
      <c r="E302" s="3" t="str">
        <f>VLOOKUP(D302,EpisodeFormats!$A$3:$B$999,2,0)</f>
        <v>Series</v>
      </c>
      <c r="F302" s="3">
        <v>3</v>
      </c>
      <c r="G302" s="3" t="str">
        <f>VLOOKUP(F302,Doctors!$A$3:$B$999,2,0)</f>
        <v>Jon Pertwee</v>
      </c>
      <c r="H302" s="3">
        <v>8</v>
      </c>
      <c r="I302" s="3">
        <v>1</v>
      </c>
      <c r="J302" s="3" t="str">
        <f>VLOOKUP(I302,SeasonFormats!$A$3:$B$999,2,0)</f>
        <v>Season</v>
      </c>
      <c r="K302" s="3">
        <v>59</v>
      </c>
      <c r="L302" s="3">
        <v>5</v>
      </c>
      <c r="M302" s="3" t="s">
        <v>449</v>
      </c>
      <c r="N302" s="3">
        <v>2</v>
      </c>
      <c r="O302" s="3" t="s">
        <v>374</v>
      </c>
      <c r="P302" s="3">
        <v>22</v>
      </c>
      <c r="Q302" s="7" t="d">
        <v>1971-05-29</v>
      </c>
      <c r="R302" s="3">
        <v>24</v>
      </c>
      <c r="S302" s="3"/>
      <c r="T302" s="4" t="s">
        <v>1136</v>
      </c>
      <c r="U302" s="3" t="str" cm="1">
        <f t="array" ref="U302">_xlfn.TEXTJOIN(",",TRUE,_xlfn.XLOOKUP(_xlfn.FILTERXML("&lt;t&gt;&lt;s&gt;" &amp; SUBSTITUTE(T302,",","&lt;/s&gt;&lt;s&gt;") &amp; "&lt;/s&gt;&lt;/t&gt;", "//s"),Writers!$A$3:$A$999,Writers!$B$3:$B$999,""))</f>
        <v>Barry Letts,Robert Sloman</v>
      </c>
      <c r="V302" s="3">
        <v>63</v>
      </c>
      <c r="W302" s="3" t="str">
        <f>IF(V302="","",_xlfn.XLOOKUP(V302,Writers!$A$3:$A$999,Writers!$B$3:$B$999,""))</f>
        <v>Guy Leopold</v>
      </c>
      <c r="X302" s="3">
        <v>8</v>
      </c>
      <c r="Y302" s="3"/>
      <c r="Z302" s="3"/>
      <c r="AA302" s="3">
        <f t="shared" si="12"/>
        <v>9.77</v>
      </c>
      <c r="AB302" s="3" t="str">
        <f t="shared" si="13"/>
        <v/>
      </c>
      <c r="AC302" s="3" t="str">
        <f t="shared" si="14"/>
        <v/>
      </c>
      <c r="AD302" s="3">
        <f>VLOOKUP(YEAR(Q302),Populations!$A$3:$B$999,2,0)</f>
        <v>55928000</v>
      </c>
      <c r="AE302" s="3">
        <f>(Calculations!B1/AD302)</f>
        <v>1.2213011729366301</v>
      </c>
      <c r="AF302" s="3"/>
      <c r="AG302" s="3">
        <v>1</v>
      </c>
      <c r="AH302" s="3" t="str">
        <f>VLOOKUP(AG302,WikiFormats!$A$3:$B$999,2,0)</f>
        <v>Story</v>
      </c>
      <c r="AI302" s="3" t="s">
        <v>635</v>
      </c>
    </row>
    <row r="303" spans="1:35" s="8" customFormat="1" x14ac:dyDescent="0.55000000000000004">
      <c r="A303" s="3">
        <v>301</v>
      </c>
      <c r="B303" s="3">
        <v>1</v>
      </c>
      <c r="C303" s="3" t="str">
        <f>VLOOKUP(B303,Eras!$A$3:$B$999,2,0)</f>
        <v>Classic</v>
      </c>
      <c r="D303" s="3">
        <v>1</v>
      </c>
      <c r="E303" s="3" t="str">
        <f>VLOOKUP(D303,EpisodeFormats!$A$3:$B$999,2,0)</f>
        <v>Series</v>
      </c>
      <c r="F303" s="3">
        <v>3</v>
      </c>
      <c r="G303" s="3" t="str">
        <f>VLOOKUP(F303,Doctors!$A$3:$B$999,2,0)</f>
        <v>Jon Pertwee</v>
      </c>
      <c r="H303" s="3">
        <v>8</v>
      </c>
      <c r="I303" s="3">
        <v>1</v>
      </c>
      <c r="J303" s="3" t="str">
        <f>VLOOKUP(I303,SeasonFormats!$A$3:$B$999,2,0)</f>
        <v>Season</v>
      </c>
      <c r="K303" s="3">
        <v>59</v>
      </c>
      <c r="L303" s="3">
        <v>5</v>
      </c>
      <c r="M303" s="3" t="s">
        <v>449</v>
      </c>
      <c r="N303" s="3">
        <v>3</v>
      </c>
      <c r="O303" s="3" t="s">
        <v>375</v>
      </c>
      <c r="P303" s="3">
        <v>23</v>
      </c>
      <c r="Q303" s="7" t="d">
        <v>1971-06-05</v>
      </c>
      <c r="R303" s="3">
        <v>24</v>
      </c>
      <c r="S303" s="3"/>
      <c r="T303" s="4" t="s">
        <v>1136</v>
      </c>
      <c r="U303" s="3" t="str" cm="1">
        <f t="array" ref="U303">_xlfn.TEXTJOIN(",",TRUE,_xlfn.XLOOKUP(_xlfn.FILTERXML("&lt;t&gt;&lt;s&gt;" &amp; SUBSTITUTE(T303,",","&lt;/s&gt;&lt;s&gt;") &amp; "&lt;/s&gt;&lt;/t&gt;", "//s"),Writers!$A$3:$A$999,Writers!$B$3:$B$999,""))</f>
        <v>Barry Letts,Robert Sloman</v>
      </c>
      <c r="V303" s="3">
        <v>63</v>
      </c>
      <c r="W303" s="3" t="str">
        <f>IF(V303="","",_xlfn.XLOOKUP(V303,Writers!$A$3:$A$999,Writers!$B$3:$B$999,""))</f>
        <v>Guy Leopold</v>
      </c>
      <c r="X303" s="3">
        <v>8.1</v>
      </c>
      <c r="Y303" s="3"/>
      <c r="Z303" s="3"/>
      <c r="AA303" s="3">
        <f t="shared" si="12"/>
        <v>9.89</v>
      </c>
      <c r="AB303" s="3" t="str">
        <f t="shared" si="13"/>
        <v/>
      </c>
      <c r="AC303" s="3" t="str">
        <f t="shared" si="14"/>
        <v/>
      </c>
      <c r="AD303" s="3">
        <f>VLOOKUP(YEAR(Q303),Populations!$A$3:$B$999,2,0)</f>
        <v>55928000</v>
      </c>
      <c r="AE303" s="3">
        <f>(Calculations!B1/AD303)</f>
        <v>1.2213011729366301</v>
      </c>
      <c r="AF303" s="3"/>
      <c r="AG303" s="3">
        <v>1</v>
      </c>
      <c r="AH303" s="3" t="str">
        <f>VLOOKUP(AG303,WikiFormats!$A$3:$B$999,2,0)</f>
        <v>Story</v>
      </c>
      <c r="AI303" s="3" t="s">
        <v>635</v>
      </c>
    </row>
    <row r="304" spans="1:35" s="8" customFormat="1" x14ac:dyDescent="0.55000000000000004">
      <c r="A304" s="3">
        <v>302</v>
      </c>
      <c r="B304" s="3">
        <v>1</v>
      </c>
      <c r="C304" s="3" t="str">
        <f>VLOOKUP(B304,Eras!$A$3:$B$999,2,0)</f>
        <v>Classic</v>
      </c>
      <c r="D304" s="3">
        <v>1</v>
      </c>
      <c r="E304" s="3" t="str">
        <f>VLOOKUP(D304,EpisodeFormats!$A$3:$B$999,2,0)</f>
        <v>Series</v>
      </c>
      <c r="F304" s="3">
        <v>3</v>
      </c>
      <c r="G304" s="3" t="str">
        <f>VLOOKUP(F304,Doctors!$A$3:$B$999,2,0)</f>
        <v>Jon Pertwee</v>
      </c>
      <c r="H304" s="3">
        <v>8</v>
      </c>
      <c r="I304" s="3">
        <v>1</v>
      </c>
      <c r="J304" s="3" t="str">
        <f>VLOOKUP(I304,SeasonFormats!$A$3:$B$999,2,0)</f>
        <v>Season</v>
      </c>
      <c r="K304" s="3">
        <v>59</v>
      </c>
      <c r="L304" s="3">
        <v>5</v>
      </c>
      <c r="M304" s="3" t="s">
        <v>449</v>
      </c>
      <c r="N304" s="3">
        <v>4</v>
      </c>
      <c r="O304" s="3" t="s">
        <v>376</v>
      </c>
      <c r="P304" s="3">
        <v>24</v>
      </c>
      <c r="Q304" s="7" t="d">
        <v>1971-06-12</v>
      </c>
      <c r="R304" s="3">
        <v>24</v>
      </c>
      <c r="S304" s="3"/>
      <c r="T304" s="4" t="s">
        <v>1136</v>
      </c>
      <c r="U304" s="3" t="str" cm="1">
        <f t="array" ref="U304">_xlfn.TEXTJOIN(",",TRUE,_xlfn.XLOOKUP(_xlfn.FILTERXML("&lt;t&gt;&lt;s&gt;" &amp; SUBSTITUTE(T304,",","&lt;/s&gt;&lt;s&gt;") &amp; "&lt;/s&gt;&lt;/t&gt;", "//s"),Writers!$A$3:$A$999,Writers!$B$3:$B$999,""))</f>
        <v>Barry Letts,Robert Sloman</v>
      </c>
      <c r="V304" s="3">
        <v>63</v>
      </c>
      <c r="W304" s="3" t="str">
        <f>IF(V304="","",_xlfn.XLOOKUP(V304,Writers!$A$3:$A$999,Writers!$B$3:$B$999,""))</f>
        <v>Guy Leopold</v>
      </c>
      <c r="X304" s="3">
        <v>8.1</v>
      </c>
      <c r="Y304" s="3"/>
      <c r="Z304" s="3"/>
      <c r="AA304" s="3">
        <f t="shared" si="12"/>
        <v>9.89</v>
      </c>
      <c r="AB304" s="3" t="str">
        <f t="shared" si="13"/>
        <v/>
      </c>
      <c r="AC304" s="3" t="str">
        <f t="shared" si="14"/>
        <v/>
      </c>
      <c r="AD304" s="3">
        <f>VLOOKUP(YEAR(Q304),Populations!$A$3:$B$999,2,0)</f>
        <v>55928000</v>
      </c>
      <c r="AE304" s="3">
        <f>(Calculations!B1/AD304)</f>
        <v>1.2213011729366301</v>
      </c>
      <c r="AF304" s="3"/>
      <c r="AG304" s="3">
        <v>1</v>
      </c>
      <c r="AH304" s="3" t="str">
        <f>VLOOKUP(AG304,WikiFormats!$A$3:$B$999,2,0)</f>
        <v>Story</v>
      </c>
      <c r="AI304" s="3" t="s">
        <v>635</v>
      </c>
    </row>
    <row r="305" spans="1:35" s="8" customFormat="1" x14ac:dyDescent="0.55000000000000004">
      <c r="A305" s="3">
        <v>303</v>
      </c>
      <c r="B305" s="3">
        <v>1</v>
      </c>
      <c r="C305" s="3" t="str">
        <f>VLOOKUP(B305,Eras!$A$3:$B$999,2,0)</f>
        <v>Classic</v>
      </c>
      <c r="D305" s="3">
        <v>1</v>
      </c>
      <c r="E305" s="3" t="str">
        <f>VLOOKUP(D305,EpisodeFormats!$A$3:$B$999,2,0)</f>
        <v>Series</v>
      </c>
      <c r="F305" s="3">
        <v>3</v>
      </c>
      <c r="G305" s="3" t="str">
        <f>VLOOKUP(F305,Doctors!$A$3:$B$999,2,0)</f>
        <v>Jon Pertwee</v>
      </c>
      <c r="H305" s="3">
        <v>8</v>
      </c>
      <c r="I305" s="3">
        <v>1</v>
      </c>
      <c r="J305" s="3" t="str">
        <f>VLOOKUP(I305,SeasonFormats!$A$3:$B$999,2,0)</f>
        <v>Season</v>
      </c>
      <c r="K305" s="3">
        <v>59</v>
      </c>
      <c r="L305" s="3">
        <v>5</v>
      </c>
      <c r="M305" s="3" t="s">
        <v>449</v>
      </c>
      <c r="N305" s="3">
        <v>5</v>
      </c>
      <c r="O305" s="3" t="s">
        <v>377</v>
      </c>
      <c r="P305" s="3">
        <v>25</v>
      </c>
      <c r="Q305" s="7" t="d">
        <v>1971-06-19</v>
      </c>
      <c r="R305" s="3">
        <v>24</v>
      </c>
      <c r="S305" s="3"/>
      <c r="T305" s="4" t="s">
        <v>1136</v>
      </c>
      <c r="U305" s="3" t="str" cm="1">
        <f t="array" ref="U305">_xlfn.TEXTJOIN(",",TRUE,_xlfn.XLOOKUP(_xlfn.FILTERXML("&lt;t&gt;&lt;s&gt;" &amp; SUBSTITUTE(T305,",","&lt;/s&gt;&lt;s&gt;") &amp; "&lt;/s&gt;&lt;/t&gt;", "//s"),Writers!$A$3:$A$999,Writers!$B$3:$B$999,""))</f>
        <v>Barry Letts,Robert Sloman</v>
      </c>
      <c r="V305" s="3">
        <v>63</v>
      </c>
      <c r="W305" s="3" t="str">
        <f>IF(V305="","",_xlfn.XLOOKUP(V305,Writers!$A$3:$A$999,Writers!$B$3:$B$999,""))</f>
        <v>Guy Leopold</v>
      </c>
      <c r="X305" s="3">
        <v>8.3000000000000007</v>
      </c>
      <c r="Y305" s="3"/>
      <c r="Z305" s="3"/>
      <c r="AA305" s="3">
        <f t="shared" si="12"/>
        <v>10.14</v>
      </c>
      <c r="AB305" s="3" t="str">
        <f t="shared" si="13"/>
        <v/>
      </c>
      <c r="AC305" s="3" t="str">
        <f t="shared" si="14"/>
        <v/>
      </c>
      <c r="AD305" s="3">
        <f>VLOOKUP(YEAR(Q305),Populations!$A$3:$B$999,2,0)</f>
        <v>55928000</v>
      </c>
      <c r="AE305" s="3">
        <f>(Calculations!B1/AD305)</f>
        <v>1.2213011729366301</v>
      </c>
      <c r="AF305" s="3"/>
      <c r="AG305" s="3">
        <v>1</v>
      </c>
      <c r="AH305" s="3" t="str">
        <f>VLOOKUP(AG305,WikiFormats!$A$3:$B$999,2,0)</f>
        <v>Story</v>
      </c>
      <c r="AI305" s="3" t="s">
        <v>635</v>
      </c>
    </row>
    <row r="306" spans="1:35" s="2" customFormat="1" x14ac:dyDescent="0.55000000000000004">
      <c r="A306">
        <v>304</v>
      </c>
      <c r="B306">
        <v>1</v>
      </c>
      <c r="C306" t="str">
        <f>VLOOKUP(B306,Eras!$A$3:$B$999,2,0)</f>
        <v>Classic</v>
      </c>
      <c r="D306">
        <v>1</v>
      </c>
      <c r="E306" t="str">
        <f>VLOOKUP(D306,EpisodeFormats!$A$3:$B$999,2,0)</f>
        <v>Series</v>
      </c>
      <c r="F306">
        <v>3</v>
      </c>
      <c r="G306" t="str">
        <f>VLOOKUP(F306,Doctors!$A$3:$B$999,2,0)</f>
        <v>Jon Pertwee</v>
      </c>
      <c r="H306">
        <v>9</v>
      </c>
      <c r="I306">
        <v>1</v>
      </c>
      <c r="J306" t="str">
        <f>VLOOKUP(I306,SeasonFormats!$A$3:$B$999,2,0)</f>
        <v>Season</v>
      </c>
      <c r="K306">
        <v>60</v>
      </c>
      <c r="L306">
        <v>1</v>
      </c>
      <c r="M306" t="s">
        <v>415</v>
      </c>
      <c r="N306">
        <v>1</v>
      </c>
      <c r="O306" t="s">
        <v>373</v>
      </c>
      <c r="P306">
        <v>1</v>
      </c>
      <c r="Q306" s="6" t="d">
        <v>1972-01-01</v>
      </c>
      <c r="R306">
        <v>24</v>
      </c>
      <c r="S306"/>
      <c r="T306" s="15" t="s">
        <v>1139</v>
      </c>
      <c r="U306" t="str" cm="1">
        <f t="array" ref="U306">_xlfn.TEXTJOIN(",",TRUE,_xlfn.XLOOKUP(_xlfn.FILTERXML("&lt;t&gt;&lt;s&gt;" &amp; SUBSTITUTE(T306,",","&lt;/s&gt;&lt;s&gt;") &amp; "&lt;/s&gt;&lt;/t&gt;", "//s"),Writers!$A$3:$A$999,Writers!$B$3:$B$999,""))</f>
        <v>Louis Marks</v>
      </c>
      <c r="V306"/>
      <c r="W306" t="str">
        <f>IF(V306="","",_xlfn.XLOOKUP(V306,Writers!$A$3:$A$999,Writers!$B$3:$B$999,""))</f>
        <v/>
      </c>
      <c r="X306">
        <v>9.8000000000000007</v>
      </c>
      <c r="Y306"/>
      <c r="Z306"/>
      <c r="AA306">
        <f t="shared" si="12"/>
        <v>11.93</v>
      </c>
      <c r="AB306" t="str">
        <f t="shared" si="13"/>
        <v/>
      </c>
      <c r="AC306" t="str">
        <f t="shared" si="14"/>
        <v/>
      </c>
      <c r="AD306">
        <f>VLOOKUP(YEAR(Q306),Populations!$A$3:$B$999,2,0)</f>
        <v>56096700</v>
      </c>
      <c r="AE306">
        <f>(Calculations!B1/AD306)</f>
        <v>1.2176283453393899</v>
      </c>
      <c r="AF306"/>
      <c r="AG306">
        <v>1</v>
      </c>
      <c r="AH306" t="str">
        <f>VLOOKUP(AG306,WikiFormats!$A$3:$B$999,2,0)</f>
        <v>Story</v>
      </c>
      <c r="AI306" t="s">
        <v>636</v>
      </c>
    </row>
    <row r="307" spans="1:35" s="2" customFormat="1" x14ac:dyDescent="0.55000000000000004">
      <c r="A307">
        <v>305</v>
      </c>
      <c r="B307">
        <v>1</v>
      </c>
      <c r="C307" t="str">
        <f>VLOOKUP(B307,Eras!$A$3:$B$999,2,0)</f>
        <v>Classic</v>
      </c>
      <c r="D307">
        <v>1</v>
      </c>
      <c r="E307" t="str">
        <f>VLOOKUP(D307,EpisodeFormats!$A$3:$B$999,2,0)</f>
        <v>Series</v>
      </c>
      <c r="F307">
        <v>3</v>
      </c>
      <c r="G307" t="str">
        <f>VLOOKUP(F307,Doctors!$A$3:$B$999,2,0)</f>
        <v>Jon Pertwee</v>
      </c>
      <c r="H307">
        <v>9</v>
      </c>
      <c r="I307">
        <v>1</v>
      </c>
      <c r="J307" t="str">
        <f>VLOOKUP(I307,SeasonFormats!$A$3:$B$999,2,0)</f>
        <v>Season</v>
      </c>
      <c r="K307">
        <v>60</v>
      </c>
      <c r="L307">
        <v>1</v>
      </c>
      <c r="M307" t="s">
        <v>415</v>
      </c>
      <c r="N307">
        <v>2</v>
      </c>
      <c r="O307" t="s">
        <v>374</v>
      </c>
      <c r="P307">
        <v>2</v>
      </c>
      <c r="Q307" s="6" t="d">
        <v>1972-01-08</v>
      </c>
      <c r="R307">
        <v>24</v>
      </c>
      <c r="S307"/>
      <c r="T307" s="15" t="s">
        <v>1139</v>
      </c>
      <c r="U307" t="str" cm="1">
        <f t="array" ref="U307">_xlfn.TEXTJOIN(",",TRUE,_xlfn.XLOOKUP(_xlfn.FILTERXML("&lt;t&gt;&lt;s&gt;" &amp; SUBSTITUTE(T307,",","&lt;/s&gt;&lt;s&gt;") &amp; "&lt;/s&gt;&lt;/t&gt;", "//s"),Writers!$A$3:$A$999,Writers!$B$3:$B$999,""))</f>
        <v>Louis Marks</v>
      </c>
      <c r="V307"/>
      <c r="W307" t="str">
        <f>IF(V307="","",_xlfn.XLOOKUP(V307,Writers!$A$3:$A$999,Writers!$B$3:$B$999,""))</f>
        <v/>
      </c>
      <c r="X307">
        <v>10.4</v>
      </c>
      <c r="Y307"/>
      <c r="Z307"/>
      <c r="AA307">
        <f t="shared" si="12"/>
        <v>12.66</v>
      </c>
      <c r="AB307" t="str">
        <f t="shared" si="13"/>
        <v/>
      </c>
      <c r="AC307" t="str">
        <f t="shared" si="14"/>
        <v/>
      </c>
      <c r="AD307">
        <f>VLOOKUP(YEAR(Q307),Populations!$A$3:$B$999,2,0)</f>
        <v>56096700</v>
      </c>
      <c r="AE307">
        <f>(Calculations!B1/AD307)</f>
        <v>1.2176283453393899</v>
      </c>
      <c r="AF307"/>
      <c r="AG307">
        <v>1</v>
      </c>
      <c r="AH307" t="str">
        <f>VLOOKUP(AG307,WikiFormats!$A$3:$B$999,2,0)</f>
        <v>Story</v>
      </c>
      <c r="AI307" t="s">
        <v>636</v>
      </c>
    </row>
    <row r="308" spans="1:35" s="2" customFormat="1" x14ac:dyDescent="0.55000000000000004">
      <c r="A308">
        <v>306</v>
      </c>
      <c r="B308">
        <v>1</v>
      </c>
      <c r="C308" t="str">
        <f>VLOOKUP(B308,Eras!$A$3:$B$999,2,0)</f>
        <v>Classic</v>
      </c>
      <c r="D308">
        <v>1</v>
      </c>
      <c r="E308" t="str">
        <f>VLOOKUP(D308,EpisodeFormats!$A$3:$B$999,2,0)</f>
        <v>Series</v>
      </c>
      <c r="F308">
        <v>3</v>
      </c>
      <c r="G308" t="str">
        <f>VLOOKUP(F308,Doctors!$A$3:$B$999,2,0)</f>
        <v>Jon Pertwee</v>
      </c>
      <c r="H308">
        <v>9</v>
      </c>
      <c r="I308">
        <v>1</v>
      </c>
      <c r="J308" t="str">
        <f>VLOOKUP(I308,SeasonFormats!$A$3:$B$999,2,0)</f>
        <v>Season</v>
      </c>
      <c r="K308">
        <v>60</v>
      </c>
      <c r="L308">
        <v>1</v>
      </c>
      <c r="M308" t="s">
        <v>415</v>
      </c>
      <c r="N308">
        <v>3</v>
      </c>
      <c r="O308" t="s">
        <v>375</v>
      </c>
      <c r="P308">
        <v>3</v>
      </c>
      <c r="Q308" s="6" t="d">
        <v>1972-01-15</v>
      </c>
      <c r="R308">
        <v>24</v>
      </c>
      <c r="S308"/>
      <c r="T308" s="15" t="s">
        <v>1139</v>
      </c>
      <c r="U308" t="str" cm="1">
        <f t="array" ref="U308">_xlfn.TEXTJOIN(",",TRUE,_xlfn.XLOOKUP(_xlfn.FILTERXML("&lt;t&gt;&lt;s&gt;" &amp; SUBSTITUTE(T308,",","&lt;/s&gt;&lt;s&gt;") &amp; "&lt;/s&gt;&lt;/t&gt;", "//s"),Writers!$A$3:$A$999,Writers!$B$3:$B$999,""))</f>
        <v>Louis Marks</v>
      </c>
      <c r="V308"/>
      <c r="W308" t="str">
        <f>IF(V308="","",_xlfn.XLOOKUP(V308,Writers!$A$3:$A$999,Writers!$B$3:$B$999,""))</f>
        <v/>
      </c>
      <c r="X308">
        <v>9.1</v>
      </c>
      <c r="Y308"/>
      <c r="Z308"/>
      <c r="AA308">
        <f t="shared" si="12"/>
        <v>11.08</v>
      </c>
      <c r="AB308" t="str">
        <f t="shared" si="13"/>
        <v/>
      </c>
      <c r="AC308" t="str">
        <f t="shared" si="14"/>
        <v/>
      </c>
      <c r="AD308">
        <f>VLOOKUP(YEAR(Q308),Populations!$A$3:$B$999,2,0)</f>
        <v>56096700</v>
      </c>
      <c r="AE308">
        <f>(Calculations!B1/AD308)</f>
        <v>1.2176283453393899</v>
      </c>
      <c r="AF308"/>
      <c r="AG308">
        <v>1</v>
      </c>
      <c r="AH308" t="str">
        <f>VLOOKUP(AG308,WikiFormats!$A$3:$B$999,2,0)</f>
        <v>Story</v>
      </c>
      <c r="AI308" t="s">
        <v>636</v>
      </c>
    </row>
    <row r="309" spans="1:35" s="2" customFormat="1" x14ac:dyDescent="0.55000000000000004">
      <c r="A309">
        <v>307</v>
      </c>
      <c r="B309">
        <v>1</v>
      </c>
      <c r="C309" t="str">
        <f>VLOOKUP(B309,Eras!$A$3:$B$999,2,0)</f>
        <v>Classic</v>
      </c>
      <c r="D309">
        <v>1</v>
      </c>
      <c r="E309" t="str">
        <f>VLOOKUP(D309,EpisodeFormats!$A$3:$B$999,2,0)</f>
        <v>Series</v>
      </c>
      <c r="F309">
        <v>3</v>
      </c>
      <c r="G309" t="str">
        <f>VLOOKUP(F309,Doctors!$A$3:$B$999,2,0)</f>
        <v>Jon Pertwee</v>
      </c>
      <c r="H309">
        <v>9</v>
      </c>
      <c r="I309">
        <v>1</v>
      </c>
      <c r="J309" t="str">
        <f>VLOOKUP(I309,SeasonFormats!$A$3:$B$999,2,0)</f>
        <v>Season</v>
      </c>
      <c r="K309">
        <v>60</v>
      </c>
      <c r="L309">
        <v>1</v>
      </c>
      <c r="M309" t="s">
        <v>415</v>
      </c>
      <c r="N309">
        <v>4</v>
      </c>
      <c r="O309" t="s">
        <v>376</v>
      </c>
      <c r="P309">
        <v>4</v>
      </c>
      <c r="Q309" s="6" t="d">
        <v>1972-01-22</v>
      </c>
      <c r="R309">
        <v>24</v>
      </c>
      <c r="S309"/>
      <c r="T309" s="15" t="s">
        <v>1139</v>
      </c>
      <c r="U309" t="str" cm="1">
        <f t="array" ref="U309">_xlfn.TEXTJOIN(",",TRUE,_xlfn.XLOOKUP(_xlfn.FILTERXML("&lt;t&gt;&lt;s&gt;" &amp; SUBSTITUTE(T309,",","&lt;/s&gt;&lt;s&gt;") &amp; "&lt;/s&gt;&lt;/t&gt;", "//s"),Writers!$A$3:$A$999,Writers!$B$3:$B$999,""))</f>
        <v>Louis Marks</v>
      </c>
      <c r="V309"/>
      <c r="W309" t="str">
        <f>IF(V309="","",_xlfn.XLOOKUP(V309,Writers!$A$3:$A$999,Writers!$B$3:$B$999,""))</f>
        <v/>
      </c>
      <c r="X309">
        <v>9.1</v>
      </c>
      <c r="Y309"/>
      <c r="Z309"/>
      <c r="AA309">
        <f t="shared" si="12"/>
        <v>11.08</v>
      </c>
      <c r="AB309" t="str">
        <f t="shared" si="13"/>
        <v/>
      </c>
      <c r="AC309" t="str">
        <f t="shared" si="14"/>
        <v/>
      </c>
      <c r="AD309">
        <f>VLOOKUP(YEAR(Q309),Populations!$A$3:$B$999,2,0)</f>
        <v>56096700</v>
      </c>
      <c r="AE309">
        <f>(Calculations!B1/AD309)</f>
        <v>1.2176283453393899</v>
      </c>
      <c r="AF309"/>
      <c r="AG309">
        <v>1</v>
      </c>
      <c r="AH309" t="str">
        <f>VLOOKUP(AG309,WikiFormats!$A$3:$B$999,2,0)</f>
        <v>Story</v>
      </c>
      <c r="AI309" t="s">
        <v>636</v>
      </c>
    </row>
    <row r="310" spans="1:35" s="8" customFormat="1" x14ac:dyDescent="0.55000000000000004">
      <c r="A310" s="3">
        <v>308</v>
      </c>
      <c r="B310" s="3">
        <v>1</v>
      </c>
      <c r="C310" s="3" t="str">
        <f>VLOOKUP(B310,Eras!$A$3:$B$999,2,0)</f>
        <v>Classic</v>
      </c>
      <c r="D310" s="3">
        <v>1</v>
      </c>
      <c r="E310" s="3" t="str">
        <f>VLOOKUP(D310,EpisodeFormats!$A$3:$B$999,2,0)</f>
        <v>Series</v>
      </c>
      <c r="F310" s="3">
        <v>3</v>
      </c>
      <c r="G310" s="3" t="str">
        <f>VLOOKUP(F310,Doctors!$A$3:$B$999,2,0)</f>
        <v>Jon Pertwee</v>
      </c>
      <c r="H310" s="3">
        <v>9</v>
      </c>
      <c r="I310" s="3">
        <v>1</v>
      </c>
      <c r="J310" s="3" t="str">
        <f>VLOOKUP(I310,SeasonFormats!$A$3:$B$999,2,0)</f>
        <v>Season</v>
      </c>
      <c r="K310" s="3">
        <v>61</v>
      </c>
      <c r="L310" s="3">
        <v>2</v>
      </c>
      <c r="M310" s="3" t="s">
        <v>416</v>
      </c>
      <c r="N310" s="3">
        <v>1</v>
      </c>
      <c r="O310" s="3" t="s">
        <v>373</v>
      </c>
      <c r="P310" s="3">
        <v>5</v>
      </c>
      <c r="Q310" s="7" t="d">
        <v>1972-01-29</v>
      </c>
      <c r="R310" s="3">
        <v>25</v>
      </c>
      <c r="S310" s="3"/>
      <c r="T310" s="4" t="s">
        <v>1106</v>
      </c>
      <c r="U310" s="3" t="str" cm="1">
        <f t="array" ref="U310">_xlfn.TEXTJOIN(",",TRUE,_xlfn.XLOOKUP(_xlfn.FILTERXML("&lt;t&gt;&lt;s&gt;" &amp; SUBSTITUTE(T310,",","&lt;/s&gt;&lt;s&gt;") &amp; "&lt;/s&gt;&lt;/t&gt;", "//s"),Writers!$A$3:$A$999,Writers!$B$3:$B$999,""))</f>
        <v>Brian Hayles</v>
      </c>
      <c r="V310" s="3"/>
      <c r="W310" s="3" t="str">
        <f>IF(V310="","",_xlfn.XLOOKUP(V310,Writers!$A$3:$A$999,Writers!$B$3:$B$999,""))</f>
        <v/>
      </c>
      <c r="X310" s="3">
        <v>10.3</v>
      </c>
      <c r="Y310" s="3"/>
      <c r="Z310" s="3"/>
      <c r="AA310" s="3">
        <f t="shared" si="12"/>
        <v>12.54</v>
      </c>
      <c r="AB310" s="3" t="str">
        <f t="shared" si="13"/>
        <v/>
      </c>
      <c r="AC310" s="3" t="str">
        <f t="shared" si="14"/>
        <v/>
      </c>
      <c r="AD310" s="3">
        <f>VLOOKUP(YEAR(Q310),Populations!$A$3:$B$999,2,0)</f>
        <v>56096700</v>
      </c>
      <c r="AE310" s="3">
        <f>(Calculations!B1/AD310)</f>
        <v>1.2176283453393899</v>
      </c>
      <c r="AF310" s="3"/>
      <c r="AG310" s="3">
        <v>1</v>
      </c>
      <c r="AH310" s="3" t="str">
        <f>VLOOKUP(AG310,WikiFormats!$A$3:$B$999,2,0)</f>
        <v>Story</v>
      </c>
      <c r="AI310" s="3" t="s">
        <v>637</v>
      </c>
    </row>
    <row r="311" spans="1:35" s="8" customFormat="1" x14ac:dyDescent="0.55000000000000004">
      <c r="A311" s="3">
        <v>309</v>
      </c>
      <c r="B311" s="3">
        <v>1</v>
      </c>
      <c r="C311" s="3" t="str">
        <f>VLOOKUP(B311,Eras!$A$3:$B$999,2,0)</f>
        <v>Classic</v>
      </c>
      <c r="D311" s="3">
        <v>1</v>
      </c>
      <c r="E311" s="3" t="str">
        <f>VLOOKUP(D311,EpisodeFormats!$A$3:$B$999,2,0)</f>
        <v>Series</v>
      </c>
      <c r="F311" s="3">
        <v>3</v>
      </c>
      <c r="G311" s="3" t="str">
        <f>VLOOKUP(F311,Doctors!$A$3:$B$999,2,0)</f>
        <v>Jon Pertwee</v>
      </c>
      <c r="H311" s="3">
        <v>9</v>
      </c>
      <c r="I311" s="3">
        <v>1</v>
      </c>
      <c r="J311" s="3" t="str">
        <f>VLOOKUP(I311,SeasonFormats!$A$3:$B$999,2,0)</f>
        <v>Season</v>
      </c>
      <c r="K311" s="3">
        <v>61</v>
      </c>
      <c r="L311" s="3">
        <v>2</v>
      </c>
      <c r="M311" s="3" t="s">
        <v>416</v>
      </c>
      <c r="N311" s="3">
        <v>2</v>
      </c>
      <c r="O311" s="3" t="s">
        <v>374</v>
      </c>
      <c r="P311" s="3">
        <v>6</v>
      </c>
      <c r="Q311" s="7" t="d">
        <v>1972-02-05</v>
      </c>
      <c r="R311" s="3">
        <v>25</v>
      </c>
      <c r="S311" s="3"/>
      <c r="T311" s="4" t="s">
        <v>1106</v>
      </c>
      <c r="U311" s="3" t="str" cm="1">
        <f t="array" ref="U311">_xlfn.TEXTJOIN(",",TRUE,_xlfn.XLOOKUP(_xlfn.FILTERXML("&lt;t&gt;&lt;s&gt;" &amp; SUBSTITUTE(T311,",","&lt;/s&gt;&lt;s&gt;") &amp; "&lt;/s&gt;&lt;/t&gt;", "//s"),Writers!$A$3:$A$999,Writers!$B$3:$B$999,""))</f>
        <v>Brian Hayles</v>
      </c>
      <c r="V311" s="3"/>
      <c r="W311" s="3" t="str">
        <f>IF(V311="","",_xlfn.XLOOKUP(V311,Writers!$A$3:$A$999,Writers!$B$3:$B$999,""))</f>
        <v/>
      </c>
      <c r="X311" s="3">
        <v>11</v>
      </c>
      <c r="Y311" s="3"/>
      <c r="Z311" s="3"/>
      <c r="AA311" s="3">
        <f t="shared" si="12"/>
        <v>13.39</v>
      </c>
      <c r="AB311" s="3" t="str">
        <f t="shared" si="13"/>
        <v/>
      </c>
      <c r="AC311" s="3" t="str">
        <f t="shared" si="14"/>
        <v/>
      </c>
      <c r="AD311" s="3">
        <f>VLOOKUP(YEAR(Q311),Populations!$A$3:$B$999,2,0)</f>
        <v>56096700</v>
      </c>
      <c r="AE311" s="3">
        <f>(Calculations!B1/AD311)</f>
        <v>1.2176283453393899</v>
      </c>
      <c r="AF311" s="3"/>
      <c r="AG311" s="3">
        <v>1</v>
      </c>
      <c r="AH311" s="3" t="str">
        <f>VLOOKUP(AG311,WikiFormats!$A$3:$B$999,2,0)</f>
        <v>Story</v>
      </c>
      <c r="AI311" s="3" t="s">
        <v>637</v>
      </c>
    </row>
    <row r="312" spans="1:35" s="8" customFormat="1" x14ac:dyDescent="0.55000000000000004">
      <c r="A312" s="3">
        <v>310</v>
      </c>
      <c r="B312" s="3">
        <v>1</v>
      </c>
      <c r="C312" s="3" t="str">
        <f>VLOOKUP(B312,Eras!$A$3:$B$999,2,0)</f>
        <v>Classic</v>
      </c>
      <c r="D312" s="3">
        <v>1</v>
      </c>
      <c r="E312" s="3" t="str">
        <f>VLOOKUP(D312,EpisodeFormats!$A$3:$B$999,2,0)</f>
        <v>Series</v>
      </c>
      <c r="F312" s="3">
        <v>3</v>
      </c>
      <c r="G312" s="3" t="str">
        <f>VLOOKUP(F312,Doctors!$A$3:$B$999,2,0)</f>
        <v>Jon Pertwee</v>
      </c>
      <c r="H312" s="3">
        <v>9</v>
      </c>
      <c r="I312" s="3">
        <v>1</v>
      </c>
      <c r="J312" s="3" t="str">
        <f>VLOOKUP(I312,SeasonFormats!$A$3:$B$999,2,0)</f>
        <v>Season</v>
      </c>
      <c r="K312" s="3">
        <v>61</v>
      </c>
      <c r="L312" s="3">
        <v>2</v>
      </c>
      <c r="M312" s="3" t="s">
        <v>416</v>
      </c>
      <c r="N312" s="3">
        <v>3</v>
      </c>
      <c r="O312" s="3" t="s">
        <v>375</v>
      </c>
      <c r="P312" s="3">
        <v>7</v>
      </c>
      <c r="Q312" s="7" t="d">
        <v>1972-02-12</v>
      </c>
      <c r="R312" s="3">
        <v>24</v>
      </c>
      <c r="S312" s="3"/>
      <c r="T312" s="4" t="s">
        <v>1106</v>
      </c>
      <c r="U312" s="3" t="str" cm="1">
        <f t="array" ref="U312">_xlfn.TEXTJOIN(",",TRUE,_xlfn.XLOOKUP(_xlfn.FILTERXML("&lt;t&gt;&lt;s&gt;" &amp; SUBSTITUTE(T312,",","&lt;/s&gt;&lt;s&gt;") &amp; "&lt;/s&gt;&lt;/t&gt;", "//s"),Writers!$A$3:$A$999,Writers!$B$3:$B$999,""))</f>
        <v>Brian Hayles</v>
      </c>
      <c r="V312" s="3"/>
      <c r="W312" s="3" t="str">
        <f>IF(V312="","",_xlfn.XLOOKUP(V312,Writers!$A$3:$A$999,Writers!$B$3:$B$999,""))</f>
        <v/>
      </c>
      <c r="X312" s="3">
        <v>7.8</v>
      </c>
      <c r="Y312" s="3"/>
      <c r="Z312" s="3"/>
      <c r="AA312" s="3">
        <f t="shared" si="12"/>
        <v>9.5</v>
      </c>
      <c r="AB312" s="3" t="str">
        <f t="shared" si="13"/>
        <v/>
      </c>
      <c r="AC312" s="3" t="str">
        <f t="shared" si="14"/>
        <v/>
      </c>
      <c r="AD312" s="3">
        <f>VLOOKUP(YEAR(Q312),Populations!$A$3:$B$999,2,0)</f>
        <v>56096700</v>
      </c>
      <c r="AE312" s="3">
        <f>(Calculations!B1/AD312)</f>
        <v>1.2176283453393899</v>
      </c>
      <c r="AF312" s="3"/>
      <c r="AG312" s="3">
        <v>1</v>
      </c>
      <c r="AH312" s="3" t="str">
        <f>VLOOKUP(AG312,WikiFormats!$A$3:$B$999,2,0)</f>
        <v>Story</v>
      </c>
      <c r="AI312" s="3" t="s">
        <v>637</v>
      </c>
    </row>
    <row r="313" spans="1:35" s="8" customFormat="1" x14ac:dyDescent="0.55000000000000004">
      <c r="A313" s="3">
        <v>311</v>
      </c>
      <c r="B313" s="3">
        <v>1</v>
      </c>
      <c r="C313" s="3" t="str">
        <f>VLOOKUP(B313,Eras!$A$3:$B$999,2,0)</f>
        <v>Classic</v>
      </c>
      <c r="D313" s="3">
        <v>1</v>
      </c>
      <c r="E313" s="3" t="str">
        <f>VLOOKUP(D313,EpisodeFormats!$A$3:$B$999,2,0)</f>
        <v>Series</v>
      </c>
      <c r="F313" s="3">
        <v>3</v>
      </c>
      <c r="G313" s="3" t="str">
        <f>VLOOKUP(F313,Doctors!$A$3:$B$999,2,0)</f>
        <v>Jon Pertwee</v>
      </c>
      <c r="H313" s="3">
        <v>9</v>
      </c>
      <c r="I313" s="3">
        <v>1</v>
      </c>
      <c r="J313" s="3" t="str">
        <f>VLOOKUP(I313,SeasonFormats!$A$3:$B$999,2,0)</f>
        <v>Season</v>
      </c>
      <c r="K313" s="3">
        <v>61</v>
      </c>
      <c r="L313" s="3">
        <v>2</v>
      </c>
      <c r="M313" s="3" t="s">
        <v>416</v>
      </c>
      <c r="N313" s="3">
        <v>4</v>
      </c>
      <c r="O313" s="3" t="s">
        <v>376</v>
      </c>
      <c r="P313" s="3">
        <v>8</v>
      </c>
      <c r="Q313" s="7" t="d">
        <v>1972-02-19</v>
      </c>
      <c r="R313" s="3">
        <v>24</v>
      </c>
      <c r="S313" s="3"/>
      <c r="T313" s="4" t="s">
        <v>1106</v>
      </c>
      <c r="U313" s="3" t="str" cm="1">
        <f t="array" ref="U313">_xlfn.TEXTJOIN(",",TRUE,_xlfn.XLOOKUP(_xlfn.FILTERXML("&lt;t&gt;&lt;s&gt;" &amp; SUBSTITUTE(T313,",","&lt;/s&gt;&lt;s&gt;") &amp; "&lt;/s&gt;&lt;/t&gt;", "//s"),Writers!$A$3:$A$999,Writers!$B$3:$B$999,""))</f>
        <v>Brian Hayles</v>
      </c>
      <c r="V313" s="3"/>
      <c r="W313" s="3" t="str">
        <f>IF(V313="","",_xlfn.XLOOKUP(V313,Writers!$A$3:$A$999,Writers!$B$3:$B$999,""))</f>
        <v/>
      </c>
      <c r="X313" s="3">
        <v>8.4</v>
      </c>
      <c r="Y313" s="3"/>
      <c r="Z313" s="3"/>
      <c r="AA313" s="3">
        <f t="shared" si="12"/>
        <v>10.23</v>
      </c>
      <c r="AB313" s="3" t="str">
        <f t="shared" si="13"/>
        <v/>
      </c>
      <c r="AC313" s="3" t="str">
        <f t="shared" si="14"/>
        <v/>
      </c>
      <c r="AD313" s="3">
        <f>VLOOKUP(YEAR(Q313),Populations!$A$3:$B$999,2,0)</f>
        <v>56096700</v>
      </c>
      <c r="AE313" s="3">
        <f>(Calculations!B1/AD313)</f>
        <v>1.2176283453393899</v>
      </c>
      <c r="AF313" s="3"/>
      <c r="AG313" s="3">
        <v>1</v>
      </c>
      <c r="AH313" s="3" t="str">
        <f>VLOOKUP(AG313,WikiFormats!$A$3:$B$999,2,0)</f>
        <v>Story</v>
      </c>
      <c r="AI313" s="3" t="s">
        <v>637</v>
      </c>
    </row>
    <row r="314" spans="1:35" s="2" customFormat="1" x14ac:dyDescent="0.55000000000000004">
      <c r="A314">
        <v>312</v>
      </c>
      <c r="B314">
        <v>1</v>
      </c>
      <c r="C314" t="str">
        <f>VLOOKUP(B314,Eras!$A$3:$B$999,2,0)</f>
        <v>Classic</v>
      </c>
      <c r="D314">
        <v>1</v>
      </c>
      <c r="E314" t="str">
        <f>VLOOKUP(D314,EpisodeFormats!$A$3:$B$999,2,0)</f>
        <v>Series</v>
      </c>
      <c r="F314">
        <v>3</v>
      </c>
      <c r="G314" t="str">
        <f>VLOOKUP(F314,Doctors!$A$3:$B$999,2,0)</f>
        <v>Jon Pertwee</v>
      </c>
      <c r="H314">
        <v>9</v>
      </c>
      <c r="I314">
        <v>1</v>
      </c>
      <c r="J314" t="str">
        <f>VLOOKUP(I314,SeasonFormats!$A$3:$B$999,2,0)</f>
        <v>Season</v>
      </c>
      <c r="K314">
        <v>62</v>
      </c>
      <c r="L314">
        <v>3</v>
      </c>
      <c r="M314" t="s">
        <v>417</v>
      </c>
      <c r="N314">
        <v>1</v>
      </c>
      <c r="O314" t="s">
        <v>373</v>
      </c>
      <c r="P314">
        <v>9</v>
      </c>
      <c r="Q314" s="6" t="d">
        <v>1972-02-26</v>
      </c>
      <c r="R314">
        <v>25</v>
      </c>
      <c r="S314"/>
      <c r="T314" s="15" t="s">
        <v>1123</v>
      </c>
      <c r="U314" t="str" cm="1">
        <f t="array" ref="U314">_xlfn.TEXTJOIN(",",TRUE,_xlfn.XLOOKUP(_xlfn.FILTERXML("&lt;t&gt;&lt;s&gt;" &amp; SUBSTITUTE(T314,",","&lt;/s&gt;&lt;s&gt;") &amp; "&lt;/s&gt;&lt;/t&gt;", "//s"),Writers!$A$3:$A$999,Writers!$B$3:$B$999,""))</f>
        <v>Malcolm Hulke</v>
      </c>
      <c r="V314"/>
      <c r="W314" t="str">
        <f>IF(V314="","",_xlfn.XLOOKUP(V314,Writers!$A$3:$A$999,Writers!$B$3:$B$999,""))</f>
        <v/>
      </c>
      <c r="X314">
        <v>6.4</v>
      </c>
      <c r="Y314"/>
      <c r="Z314"/>
      <c r="AA314">
        <f t="shared" si="12"/>
        <v>7.79</v>
      </c>
      <c r="AB314" t="str">
        <f t="shared" si="13"/>
        <v/>
      </c>
      <c r="AC314" t="str">
        <f t="shared" si="14"/>
        <v/>
      </c>
      <c r="AD314">
        <f>VLOOKUP(YEAR(Q314),Populations!$A$3:$B$999,2,0)</f>
        <v>56096700</v>
      </c>
      <c r="AE314">
        <f>(Calculations!B1/AD314)</f>
        <v>1.2176283453393899</v>
      </c>
      <c r="AF314"/>
      <c r="AG314">
        <v>1</v>
      </c>
      <c r="AH314" t="str">
        <f>VLOOKUP(AG314,WikiFormats!$A$3:$B$999,2,0)</f>
        <v>Story</v>
      </c>
      <c r="AI314" t="s">
        <v>638</v>
      </c>
    </row>
    <row r="315" spans="1:35" s="2" customFormat="1" x14ac:dyDescent="0.55000000000000004">
      <c r="A315">
        <v>313</v>
      </c>
      <c r="B315">
        <v>1</v>
      </c>
      <c r="C315" t="str">
        <f>VLOOKUP(B315,Eras!$A$3:$B$999,2,0)</f>
        <v>Classic</v>
      </c>
      <c r="D315">
        <v>1</v>
      </c>
      <c r="E315" t="str">
        <f>VLOOKUP(D315,EpisodeFormats!$A$3:$B$999,2,0)</f>
        <v>Series</v>
      </c>
      <c r="F315">
        <v>3</v>
      </c>
      <c r="G315" t="str">
        <f>VLOOKUP(F315,Doctors!$A$3:$B$999,2,0)</f>
        <v>Jon Pertwee</v>
      </c>
      <c r="H315">
        <v>9</v>
      </c>
      <c r="I315">
        <v>1</v>
      </c>
      <c r="J315" t="str">
        <f>VLOOKUP(I315,SeasonFormats!$A$3:$B$999,2,0)</f>
        <v>Season</v>
      </c>
      <c r="K315">
        <v>62</v>
      </c>
      <c r="L315">
        <v>3</v>
      </c>
      <c r="M315" t="s">
        <v>417</v>
      </c>
      <c r="N315">
        <v>2</v>
      </c>
      <c r="O315" t="s">
        <v>374</v>
      </c>
      <c r="P315">
        <v>10</v>
      </c>
      <c r="Q315" s="6" t="d">
        <v>1972-03-04</v>
      </c>
      <c r="R315">
        <v>25</v>
      </c>
      <c r="S315"/>
      <c r="T315" s="15" t="s">
        <v>1123</v>
      </c>
      <c r="U315" t="str" cm="1">
        <f t="array" ref="U315">_xlfn.TEXTJOIN(",",TRUE,_xlfn.XLOOKUP(_xlfn.FILTERXML("&lt;t&gt;&lt;s&gt;" &amp; SUBSTITUTE(T315,",","&lt;/s&gt;&lt;s&gt;") &amp; "&lt;/s&gt;&lt;/t&gt;", "//s"),Writers!$A$3:$A$999,Writers!$B$3:$B$999,""))</f>
        <v>Malcolm Hulke</v>
      </c>
      <c r="V315"/>
      <c r="W315" t="str">
        <f>IF(V315="","",_xlfn.XLOOKUP(V315,Writers!$A$3:$A$999,Writers!$B$3:$B$999,""))</f>
        <v/>
      </c>
      <c r="X315">
        <v>9.6999999999999993</v>
      </c>
      <c r="Y315"/>
      <c r="Z315"/>
      <c r="AA315">
        <f t="shared" si="12"/>
        <v>11.81</v>
      </c>
      <c r="AB315" t="str">
        <f t="shared" si="13"/>
        <v/>
      </c>
      <c r="AC315" t="str">
        <f t="shared" si="14"/>
        <v/>
      </c>
      <c r="AD315">
        <f>VLOOKUP(YEAR(Q315),Populations!$A$3:$B$999,2,0)</f>
        <v>56096700</v>
      </c>
      <c r="AE315">
        <f>(Calculations!B1/AD315)</f>
        <v>1.2176283453393899</v>
      </c>
      <c r="AF315"/>
      <c r="AG315">
        <v>1</v>
      </c>
      <c r="AH315" t="str">
        <f>VLOOKUP(AG315,WikiFormats!$A$3:$B$999,2,0)</f>
        <v>Story</v>
      </c>
      <c r="AI315" t="s">
        <v>638</v>
      </c>
    </row>
    <row r="316" spans="1:35" s="2" customFormat="1" x14ac:dyDescent="0.55000000000000004">
      <c r="A316">
        <v>314</v>
      </c>
      <c r="B316">
        <v>1</v>
      </c>
      <c r="C316" t="str">
        <f>VLOOKUP(B316,Eras!$A$3:$B$999,2,0)</f>
        <v>Classic</v>
      </c>
      <c r="D316">
        <v>1</v>
      </c>
      <c r="E316" t="str">
        <f>VLOOKUP(D316,EpisodeFormats!$A$3:$B$999,2,0)</f>
        <v>Series</v>
      </c>
      <c r="F316">
        <v>3</v>
      </c>
      <c r="G316" t="str">
        <f>VLOOKUP(F316,Doctors!$A$3:$B$999,2,0)</f>
        <v>Jon Pertwee</v>
      </c>
      <c r="H316">
        <v>9</v>
      </c>
      <c r="I316">
        <v>1</v>
      </c>
      <c r="J316" t="str">
        <f>VLOOKUP(I316,SeasonFormats!$A$3:$B$999,2,0)</f>
        <v>Season</v>
      </c>
      <c r="K316">
        <v>62</v>
      </c>
      <c r="L316">
        <v>3</v>
      </c>
      <c r="M316" t="s">
        <v>417</v>
      </c>
      <c r="N316">
        <v>3</v>
      </c>
      <c r="O316" t="s">
        <v>375</v>
      </c>
      <c r="P316">
        <v>11</v>
      </c>
      <c r="Q316" s="6" t="d">
        <v>1972-03-11</v>
      </c>
      <c r="R316">
        <v>24</v>
      </c>
      <c r="S316"/>
      <c r="T316" s="15" t="s">
        <v>1123</v>
      </c>
      <c r="U316" t="str" cm="1">
        <f t="array" ref="U316">_xlfn.TEXTJOIN(",",TRUE,_xlfn.XLOOKUP(_xlfn.FILTERXML("&lt;t&gt;&lt;s&gt;" &amp; SUBSTITUTE(T316,",","&lt;/s&gt;&lt;s&gt;") &amp; "&lt;/s&gt;&lt;/t&gt;", "//s"),Writers!$A$3:$A$999,Writers!$B$3:$B$999,""))</f>
        <v>Malcolm Hulke</v>
      </c>
      <c r="V316"/>
      <c r="W316" t="str">
        <f>IF(V316="","",_xlfn.XLOOKUP(V316,Writers!$A$3:$A$999,Writers!$B$3:$B$999,""))</f>
        <v/>
      </c>
      <c r="X316">
        <v>8.3000000000000007</v>
      </c>
      <c r="Y316"/>
      <c r="Z316"/>
      <c r="AA316">
        <f t="shared" si="12"/>
        <v>10.11</v>
      </c>
      <c r="AB316" t="str">
        <f t="shared" si="13"/>
        <v/>
      </c>
      <c r="AC316" t="str">
        <f t="shared" si="14"/>
        <v/>
      </c>
      <c r="AD316">
        <f>VLOOKUP(YEAR(Q316),Populations!$A$3:$B$999,2,0)</f>
        <v>56096700</v>
      </c>
      <c r="AE316">
        <f>(Calculations!B1/AD316)</f>
        <v>1.2176283453393899</v>
      </c>
      <c r="AF316"/>
      <c r="AG316">
        <v>1</v>
      </c>
      <c r="AH316" t="str">
        <f>VLOOKUP(AG316,WikiFormats!$A$3:$B$999,2,0)</f>
        <v>Story</v>
      </c>
      <c r="AI316" t="s">
        <v>638</v>
      </c>
    </row>
    <row r="317" spans="1:35" s="2" customFormat="1" x14ac:dyDescent="0.55000000000000004">
      <c r="A317">
        <v>315</v>
      </c>
      <c r="B317">
        <v>1</v>
      </c>
      <c r="C317" t="str">
        <f>VLOOKUP(B317,Eras!$A$3:$B$999,2,0)</f>
        <v>Classic</v>
      </c>
      <c r="D317">
        <v>1</v>
      </c>
      <c r="E317" t="str">
        <f>VLOOKUP(D317,EpisodeFormats!$A$3:$B$999,2,0)</f>
        <v>Series</v>
      </c>
      <c r="F317">
        <v>3</v>
      </c>
      <c r="G317" t="str">
        <f>VLOOKUP(F317,Doctors!$A$3:$B$999,2,0)</f>
        <v>Jon Pertwee</v>
      </c>
      <c r="H317">
        <v>9</v>
      </c>
      <c r="I317">
        <v>1</v>
      </c>
      <c r="J317" t="str">
        <f>VLOOKUP(I317,SeasonFormats!$A$3:$B$999,2,0)</f>
        <v>Season</v>
      </c>
      <c r="K317">
        <v>62</v>
      </c>
      <c r="L317">
        <v>3</v>
      </c>
      <c r="M317" t="s">
        <v>417</v>
      </c>
      <c r="N317">
        <v>4</v>
      </c>
      <c r="O317" t="s">
        <v>376</v>
      </c>
      <c r="P317">
        <v>12</v>
      </c>
      <c r="Q317" s="6" t="d">
        <v>1972-03-18</v>
      </c>
      <c r="R317">
        <v>24</v>
      </c>
      <c r="S317"/>
      <c r="T317" s="15" t="s">
        <v>1123</v>
      </c>
      <c r="U317" t="str" cm="1">
        <f t="array" ref="U317">_xlfn.TEXTJOIN(",",TRUE,_xlfn.XLOOKUP(_xlfn.FILTERXML("&lt;t&gt;&lt;s&gt;" &amp; SUBSTITUTE(T317,",","&lt;/s&gt;&lt;s&gt;") &amp; "&lt;/s&gt;&lt;/t&gt;", "//s"),Writers!$A$3:$A$999,Writers!$B$3:$B$999,""))</f>
        <v>Malcolm Hulke</v>
      </c>
      <c r="V317"/>
      <c r="W317" t="str">
        <f>IF(V317="","",_xlfn.XLOOKUP(V317,Writers!$A$3:$A$999,Writers!$B$3:$B$999,""))</f>
        <v/>
      </c>
      <c r="X317">
        <v>7.8</v>
      </c>
      <c r="Y317"/>
      <c r="Z317"/>
      <c r="AA317">
        <f t="shared" si="12"/>
        <v>9.5</v>
      </c>
      <c r="AB317" t="str">
        <f t="shared" si="13"/>
        <v/>
      </c>
      <c r="AC317" t="str">
        <f t="shared" si="14"/>
        <v/>
      </c>
      <c r="AD317">
        <f>VLOOKUP(YEAR(Q317),Populations!$A$3:$B$999,2,0)</f>
        <v>56096700</v>
      </c>
      <c r="AE317">
        <f>(Calculations!B1/AD317)</f>
        <v>1.2176283453393899</v>
      </c>
      <c r="AF317"/>
      <c r="AG317">
        <v>1</v>
      </c>
      <c r="AH317" t="str">
        <f>VLOOKUP(AG317,WikiFormats!$A$3:$B$999,2,0)</f>
        <v>Story</v>
      </c>
      <c r="AI317" t="s">
        <v>638</v>
      </c>
    </row>
    <row r="318" spans="1:35" s="2" customFormat="1" x14ac:dyDescent="0.55000000000000004">
      <c r="A318">
        <v>316</v>
      </c>
      <c r="B318">
        <v>1</v>
      </c>
      <c r="C318" t="str">
        <f>VLOOKUP(B318,Eras!$A$3:$B$999,2,0)</f>
        <v>Classic</v>
      </c>
      <c r="D318">
        <v>1</v>
      </c>
      <c r="E318" t="str">
        <f>VLOOKUP(D318,EpisodeFormats!$A$3:$B$999,2,0)</f>
        <v>Series</v>
      </c>
      <c r="F318">
        <v>3</v>
      </c>
      <c r="G318" t="str">
        <f>VLOOKUP(F318,Doctors!$A$3:$B$999,2,0)</f>
        <v>Jon Pertwee</v>
      </c>
      <c r="H318">
        <v>9</v>
      </c>
      <c r="I318">
        <v>1</v>
      </c>
      <c r="J318" t="str">
        <f>VLOOKUP(I318,SeasonFormats!$A$3:$B$999,2,0)</f>
        <v>Season</v>
      </c>
      <c r="K318">
        <v>62</v>
      </c>
      <c r="L318">
        <v>3</v>
      </c>
      <c r="M318" t="s">
        <v>417</v>
      </c>
      <c r="N318">
        <v>5</v>
      </c>
      <c r="O318" t="s">
        <v>377</v>
      </c>
      <c r="P318">
        <v>13</v>
      </c>
      <c r="Q318" s="6" t="d">
        <v>1972-03-25</v>
      </c>
      <c r="R318">
        <v>25</v>
      </c>
      <c r="S318"/>
      <c r="T318" s="15" t="s">
        <v>1123</v>
      </c>
      <c r="U318" t="str" cm="1">
        <f t="array" ref="U318">_xlfn.TEXTJOIN(",",TRUE,_xlfn.XLOOKUP(_xlfn.FILTERXML("&lt;t&gt;&lt;s&gt;" &amp; SUBSTITUTE(T318,",","&lt;/s&gt;&lt;s&gt;") &amp; "&lt;/s&gt;&lt;/t&gt;", "//s"),Writers!$A$3:$A$999,Writers!$B$3:$B$999,""))</f>
        <v>Malcolm Hulke</v>
      </c>
      <c r="V318"/>
      <c r="W318" t="str">
        <f>IF(V318="","",_xlfn.XLOOKUP(V318,Writers!$A$3:$A$999,Writers!$B$3:$B$999,""))</f>
        <v/>
      </c>
      <c r="X318">
        <v>8.3000000000000007</v>
      </c>
      <c r="Y318"/>
      <c r="Z318"/>
      <c r="AA318">
        <f t="shared" si="12"/>
        <v>10.11</v>
      </c>
      <c r="AB318" t="str">
        <f t="shared" si="13"/>
        <v/>
      </c>
      <c r="AC318" t="str">
        <f t="shared" si="14"/>
        <v/>
      </c>
      <c r="AD318">
        <f>VLOOKUP(YEAR(Q318),Populations!$A$3:$B$999,2,0)</f>
        <v>56096700</v>
      </c>
      <c r="AE318">
        <f>(Calculations!B1/AD318)</f>
        <v>1.2176283453393899</v>
      </c>
      <c r="AF318"/>
      <c r="AG318">
        <v>1</v>
      </c>
      <c r="AH318" t="str">
        <f>VLOOKUP(AG318,WikiFormats!$A$3:$B$999,2,0)</f>
        <v>Story</v>
      </c>
      <c r="AI318" t="s">
        <v>638</v>
      </c>
    </row>
    <row r="319" spans="1:35" s="2" customFormat="1" x14ac:dyDescent="0.55000000000000004">
      <c r="A319">
        <v>317</v>
      </c>
      <c r="B319">
        <v>1</v>
      </c>
      <c r="C319" t="str">
        <f>VLOOKUP(B319,Eras!$A$3:$B$999,2,0)</f>
        <v>Classic</v>
      </c>
      <c r="D319">
        <v>1</v>
      </c>
      <c r="E319" t="str">
        <f>VLOOKUP(D319,EpisodeFormats!$A$3:$B$999,2,0)</f>
        <v>Series</v>
      </c>
      <c r="F319">
        <v>3</v>
      </c>
      <c r="G319" t="str">
        <f>VLOOKUP(F319,Doctors!$A$3:$B$999,2,0)</f>
        <v>Jon Pertwee</v>
      </c>
      <c r="H319">
        <v>9</v>
      </c>
      <c r="I319">
        <v>1</v>
      </c>
      <c r="J319" t="str">
        <f>VLOOKUP(I319,SeasonFormats!$A$3:$B$999,2,0)</f>
        <v>Season</v>
      </c>
      <c r="K319">
        <v>62</v>
      </c>
      <c r="L319">
        <v>3</v>
      </c>
      <c r="M319" t="s">
        <v>417</v>
      </c>
      <c r="N319">
        <v>6</v>
      </c>
      <c r="O319" t="s">
        <v>378</v>
      </c>
      <c r="P319">
        <v>14</v>
      </c>
      <c r="Q319" s="6" t="d">
        <v>1972-04-01</v>
      </c>
      <c r="R319">
        <v>25</v>
      </c>
      <c r="S319"/>
      <c r="T319" s="15" t="s">
        <v>1123</v>
      </c>
      <c r="U319" t="str" cm="1">
        <f t="array" ref="U319">_xlfn.TEXTJOIN(",",TRUE,_xlfn.XLOOKUP(_xlfn.FILTERXML("&lt;t&gt;&lt;s&gt;" &amp; SUBSTITUTE(T319,",","&lt;/s&gt;&lt;s&gt;") &amp; "&lt;/s&gt;&lt;/t&gt;", "//s"),Writers!$A$3:$A$999,Writers!$B$3:$B$999,""))</f>
        <v>Malcolm Hulke</v>
      </c>
      <c r="V319"/>
      <c r="W319" t="str">
        <f>IF(V319="","",_xlfn.XLOOKUP(V319,Writers!$A$3:$A$999,Writers!$B$3:$B$999,""))</f>
        <v/>
      </c>
      <c r="X319">
        <v>8.5</v>
      </c>
      <c r="Y319"/>
      <c r="Z319"/>
      <c r="AA319">
        <f t="shared" si="12"/>
        <v>10.35</v>
      </c>
      <c r="AB319" t="str">
        <f t="shared" si="13"/>
        <v/>
      </c>
      <c r="AC319" t="str">
        <f t="shared" si="14"/>
        <v/>
      </c>
      <c r="AD319">
        <f>VLOOKUP(YEAR(Q319),Populations!$A$3:$B$999,2,0)</f>
        <v>56096700</v>
      </c>
      <c r="AE319">
        <f>(Calculations!B1/AD319)</f>
        <v>1.2176283453393899</v>
      </c>
      <c r="AF319"/>
      <c r="AG319">
        <v>1</v>
      </c>
      <c r="AH319" t="str">
        <f>VLOOKUP(AG319,WikiFormats!$A$3:$B$999,2,0)</f>
        <v>Story</v>
      </c>
      <c r="AI319" t="s">
        <v>638</v>
      </c>
    </row>
    <row r="320" spans="1:35" s="8" customFormat="1" x14ac:dyDescent="0.55000000000000004">
      <c r="A320" s="3">
        <v>318</v>
      </c>
      <c r="B320" s="3">
        <v>1</v>
      </c>
      <c r="C320" s="3" t="str">
        <f>VLOOKUP(B320,Eras!$A$3:$B$999,2,0)</f>
        <v>Classic</v>
      </c>
      <c r="D320" s="3">
        <v>1</v>
      </c>
      <c r="E320" s="3" t="str">
        <f>VLOOKUP(D320,EpisodeFormats!$A$3:$B$999,2,0)</f>
        <v>Series</v>
      </c>
      <c r="F320" s="3">
        <v>3</v>
      </c>
      <c r="G320" s="3" t="str">
        <f>VLOOKUP(F320,Doctors!$A$3:$B$999,2,0)</f>
        <v>Jon Pertwee</v>
      </c>
      <c r="H320" s="3">
        <v>9</v>
      </c>
      <c r="I320" s="3">
        <v>1</v>
      </c>
      <c r="J320" s="3" t="str">
        <f>VLOOKUP(I320,SeasonFormats!$A$3:$B$999,2,0)</f>
        <v>Season</v>
      </c>
      <c r="K320" s="3">
        <v>63</v>
      </c>
      <c r="L320" s="3">
        <v>4</v>
      </c>
      <c r="M320" s="3" t="s">
        <v>418</v>
      </c>
      <c r="N320" s="3">
        <v>1</v>
      </c>
      <c r="O320" s="3" t="s">
        <v>373</v>
      </c>
      <c r="P320" s="3">
        <v>15</v>
      </c>
      <c r="Q320" s="7" t="d">
        <v>1972-04-08</v>
      </c>
      <c r="R320" s="3">
        <v>24</v>
      </c>
      <c r="S320" s="3"/>
      <c r="T320" s="4" t="s">
        <v>1076</v>
      </c>
      <c r="U320" s="3" t="str" cm="1">
        <f t="array" ref="U320">_xlfn.TEXTJOIN(",",TRUE,_xlfn.XLOOKUP(_xlfn.FILTERXML("&lt;t&gt;&lt;s&gt;" &amp; SUBSTITUTE(T320,",","&lt;/s&gt;&lt;s&gt;") &amp; "&lt;/s&gt;&lt;/t&gt;", "//s"),Writers!$A$3:$A$999,Writers!$B$3:$B$999,""))</f>
        <v>Bob Baker,Dave Martin</v>
      </c>
      <c r="V320" s="3"/>
      <c r="W320" s="3" t="str">
        <f>IF(V320="","",_xlfn.XLOOKUP(V320,Writers!$A$3:$A$999,Writers!$B$3:$B$999,""))</f>
        <v/>
      </c>
      <c r="X320" s="3">
        <v>9.1</v>
      </c>
      <c r="Y320" s="3"/>
      <c r="Z320" s="3"/>
      <c r="AA320" s="3">
        <f t="shared" si="12"/>
        <v>11.08</v>
      </c>
      <c r="AB320" s="3" t="str">
        <f t="shared" si="13"/>
        <v/>
      </c>
      <c r="AC320" s="3" t="str">
        <f t="shared" si="14"/>
        <v/>
      </c>
      <c r="AD320" s="3">
        <f>VLOOKUP(YEAR(Q320),Populations!$A$3:$B$999,2,0)</f>
        <v>56096700</v>
      </c>
      <c r="AE320" s="3">
        <f>(Calculations!B1/AD320)</f>
        <v>1.2176283453393899</v>
      </c>
      <c r="AF320" s="3"/>
      <c r="AG320" s="3">
        <v>1</v>
      </c>
      <c r="AH320" s="3" t="str">
        <f>VLOOKUP(AG320,WikiFormats!$A$3:$B$999,2,0)</f>
        <v>Story</v>
      </c>
      <c r="AI320" s="3" t="s">
        <v>639</v>
      </c>
    </row>
    <row r="321" spans="1:35" s="8" customFormat="1" x14ac:dyDescent="0.55000000000000004">
      <c r="A321" s="3">
        <v>319</v>
      </c>
      <c r="B321" s="3">
        <v>1</v>
      </c>
      <c r="C321" s="3" t="str">
        <f>VLOOKUP(B321,Eras!$A$3:$B$999,2,0)</f>
        <v>Classic</v>
      </c>
      <c r="D321" s="3">
        <v>1</v>
      </c>
      <c r="E321" s="3" t="str">
        <f>VLOOKUP(D321,EpisodeFormats!$A$3:$B$999,2,0)</f>
        <v>Series</v>
      </c>
      <c r="F321" s="3">
        <v>3</v>
      </c>
      <c r="G321" s="3" t="str">
        <f>VLOOKUP(F321,Doctors!$A$3:$B$999,2,0)</f>
        <v>Jon Pertwee</v>
      </c>
      <c r="H321" s="3">
        <v>9</v>
      </c>
      <c r="I321" s="3">
        <v>1</v>
      </c>
      <c r="J321" s="3" t="str">
        <f>VLOOKUP(I321,SeasonFormats!$A$3:$B$999,2,0)</f>
        <v>Season</v>
      </c>
      <c r="K321" s="3">
        <v>63</v>
      </c>
      <c r="L321" s="3">
        <v>4</v>
      </c>
      <c r="M321" s="3" t="s">
        <v>418</v>
      </c>
      <c r="N321" s="3">
        <v>2</v>
      </c>
      <c r="O321" s="3" t="s">
        <v>374</v>
      </c>
      <c r="P321" s="3">
        <v>16</v>
      </c>
      <c r="Q321" s="7" t="d">
        <v>1972-04-15</v>
      </c>
      <c r="R321" s="3">
        <v>24</v>
      </c>
      <c r="S321" s="3"/>
      <c r="T321" s="4" t="s">
        <v>1076</v>
      </c>
      <c r="U321" s="3" t="str" cm="1">
        <f t="array" ref="U321">_xlfn.TEXTJOIN(",",TRUE,_xlfn.XLOOKUP(_xlfn.FILTERXML("&lt;t&gt;&lt;s&gt;" &amp; SUBSTITUTE(T321,",","&lt;/s&gt;&lt;s&gt;") &amp; "&lt;/s&gt;&lt;/t&gt;", "//s"),Writers!$A$3:$A$999,Writers!$B$3:$B$999,""))</f>
        <v>Bob Baker,Dave Martin</v>
      </c>
      <c r="V321" s="3"/>
      <c r="W321" s="3" t="str">
        <f>IF(V321="","",_xlfn.XLOOKUP(V321,Writers!$A$3:$A$999,Writers!$B$3:$B$999,""))</f>
        <v/>
      </c>
      <c r="X321" s="3">
        <v>7.8</v>
      </c>
      <c r="Y321" s="3"/>
      <c r="Z321" s="3"/>
      <c r="AA321" s="3">
        <f t="shared" si="12"/>
        <v>9.5</v>
      </c>
      <c r="AB321" s="3" t="str">
        <f t="shared" si="13"/>
        <v/>
      </c>
      <c r="AC321" s="3" t="str">
        <f t="shared" si="14"/>
        <v/>
      </c>
      <c r="AD321" s="3">
        <f>VLOOKUP(YEAR(Q321),Populations!$A$3:$B$999,2,0)</f>
        <v>56096700</v>
      </c>
      <c r="AE321" s="3">
        <f>(Calculations!B1/AD321)</f>
        <v>1.2176283453393899</v>
      </c>
      <c r="AF321" s="3"/>
      <c r="AG321" s="3">
        <v>1</v>
      </c>
      <c r="AH321" s="3" t="str">
        <f>VLOOKUP(AG321,WikiFormats!$A$3:$B$999,2,0)</f>
        <v>Story</v>
      </c>
      <c r="AI321" s="3" t="s">
        <v>639</v>
      </c>
    </row>
    <row r="322" spans="1:35" s="8" customFormat="1" x14ac:dyDescent="0.55000000000000004">
      <c r="A322" s="3">
        <v>320</v>
      </c>
      <c r="B322" s="3">
        <v>1</v>
      </c>
      <c r="C322" s="3" t="str">
        <f>VLOOKUP(B322,Eras!$A$3:$B$999,2,0)</f>
        <v>Classic</v>
      </c>
      <c r="D322" s="3">
        <v>1</v>
      </c>
      <c r="E322" s="3" t="str">
        <f>VLOOKUP(D322,EpisodeFormats!$A$3:$B$999,2,0)</f>
        <v>Series</v>
      </c>
      <c r="F322" s="3">
        <v>3</v>
      </c>
      <c r="G322" s="3" t="str">
        <f>VLOOKUP(F322,Doctors!$A$3:$B$999,2,0)</f>
        <v>Jon Pertwee</v>
      </c>
      <c r="H322" s="3">
        <v>9</v>
      </c>
      <c r="I322" s="3">
        <v>1</v>
      </c>
      <c r="J322" s="3" t="str">
        <f>VLOOKUP(I322,SeasonFormats!$A$3:$B$999,2,0)</f>
        <v>Season</v>
      </c>
      <c r="K322" s="3">
        <v>63</v>
      </c>
      <c r="L322" s="3">
        <v>4</v>
      </c>
      <c r="M322" s="3" t="s">
        <v>418</v>
      </c>
      <c r="N322" s="3">
        <v>3</v>
      </c>
      <c r="O322" s="3" t="s">
        <v>375</v>
      </c>
      <c r="P322" s="3">
        <v>17</v>
      </c>
      <c r="Q322" s="7" t="d">
        <v>1972-04-22</v>
      </c>
      <c r="R322" s="3">
        <v>25</v>
      </c>
      <c r="S322" s="3"/>
      <c r="T322" s="4" t="s">
        <v>1076</v>
      </c>
      <c r="U322" s="3" t="str" cm="1">
        <f t="array" ref="U322">_xlfn.TEXTJOIN(",",TRUE,_xlfn.XLOOKUP(_xlfn.FILTERXML("&lt;t&gt;&lt;s&gt;" &amp; SUBSTITUTE(T322,",","&lt;/s&gt;&lt;s&gt;") &amp; "&lt;/s&gt;&lt;/t&gt;", "//s"),Writers!$A$3:$A$999,Writers!$B$3:$B$999,""))</f>
        <v>Bob Baker,Dave Martin</v>
      </c>
      <c r="V322" s="3"/>
      <c r="W322" s="3" t="str">
        <f>IF(V322="","",_xlfn.XLOOKUP(V322,Writers!$A$3:$A$999,Writers!$B$3:$B$999,""))</f>
        <v/>
      </c>
      <c r="X322" s="3">
        <v>7.9</v>
      </c>
      <c r="Y322" s="3"/>
      <c r="Z322" s="3"/>
      <c r="AA322" s="3">
        <f t="shared" si="12"/>
        <v>9.6199999999999992</v>
      </c>
      <c r="AB322" s="3" t="str">
        <f t="shared" si="13"/>
        <v/>
      </c>
      <c r="AC322" s="3" t="str">
        <f t="shared" si="14"/>
        <v/>
      </c>
      <c r="AD322" s="3">
        <f>VLOOKUP(YEAR(Q322),Populations!$A$3:$B$999,2,0)</f>
        <v>56096700</v>
      </c>
      <c r="AE322" s="3">
        <f>(Calculations!B1/AD322)</f>
        <v>1.2176283453393899</v>
      </c>
      <c r="AF322" s="3"/>
      <c r="AG322" s="3">
        <v>1</v>
      </c>
      <c r="AH322" s="3" t="str">
        <f>VLOOKUP(AG322,WikiFormats!$A$3:$B$999,2,0)</f>
        <v>Story</v>
      </c>
      <c r="AI322" s="3" t="s">
        <v>639</v>
      </c>
    </row>
    <row r="323" spans="1:35" s="8" customFormat="1" x14ac:dyDescent="0.55000000000000004">
      <c r="A323" s="3">
        <v>321</v>
      </c>
      <c r="B323" s="3">
        <v>1</v>
      </c>
      <c r="C323" s="3" t="str">
        <f>VLOOKUP(B323,Eras!$A$3:$B$999,2,0)</f>
        <v>Classic</v>
      </c>
      <c r="D323" s="3">
        <v>1</v>
      </c>
      <c r="E323" s="3" t="str">
        <f>VLOOKUP(D323,EpisodeFormats!$A$3:$B$999,2,0)</f>
        <v>Series</v>
      </c>
      <c r="F323" s="3">
        <v>3</v>
      </c>
      <c r="G323" s="3" t="str">
        <f>VLOOKUP(F323,Doctors!$A$3:$B$999,2,0)</f>
        <v>Jon Pertwee</v>
      </c>
      <c r="H323" s="3">
        <v>9</v>
      </c>
      <c r="I323" s="3">
        <v>1</v>
      </c>
      <c r="J323" s="3" t="str">
        <f>VLOOKUP(I323,SeasonFormats!$A$3:$B$999,2,0)</f>
        <v>Season</v>
      </c>
      <c r="K323" s="3">
        <v>63</v>
      </c>
      <c r="L323" s="3">
        <v>4</v>
      </c>
      <c r="M323" s="3" t="s">
        <v>418</v>
      </c>
      <c r="N323" s="3">
        <v>4</v>
      </c>
      <c r="O323" s="3" t="s">
        <v>376</v>
      </c>
      <c r="P323" s="3">
        <v>18</v>
      </c>
      <c r="Q323" s="7" t="d">
        <v>1972-04-29</v>
      </c>
      <c r="R323" s="3">
        <v>24</v>
      </c>
      <c r="S323" s="3"/>
      <c r="T323" s="4" t="s">
        <v>1076</v>
      </c>
      <c r="U323" s="3" t="str" cm="1">
        <f t="array" ref="U323">_xlfn.TEXTJOIN(",",TRUE,_xlfn.XLOOKUP(_xlfn.FILTERXML("&lt;t&gt;&lt;s&gt;" &amp; SUBSTITUTE(T323,",","&lt;/s&gt;&lt;s&gt;") &amp; "&lt;/s&gt;&lt;/t&gt;", "//s"),Writers!$A$3:$A$999,Writers!$B$3:$B$999,""))</f>
        <v>Bob Baker,Dave Martin</v>
      </c>
      <c r="V323" s="3"/>
      <c r="W323" s="3" t="str">
        <f>IF(V323="","",_xlfn.XLOOKUP(V323,Writers!$A$3:$A$999,Writers!$B$3:$B$999,""))</f>
        <v/>
      </c>
      <c r="X323" s="3">
        <v>7.5</v>
      </c>
      <c r="Y323" s="3"/>
      <c r="Z323" s="3"/>
      <c r="AA323" s="3">
        <f t="shared" si="12"/>
        <v>9.1300000000000008</v>
      </c>
      <c r="AB323" s="3" t="str">
        <f t="shared" si="13"/>
        <v/>
      </c>
      <c r="AC323" s="3" t="str">
        <f t="shared" si="14"/>
        <v/>
      </c>
      <c r="AD323" s="3">
        <f>VLOOKUP(YEAR(Q323),Populations!$A$3:$B$999,2,0)</f>
        <v>56096700</v>
      </c>
      <c r="AE323" s="3">
        <f>(Calculations!B1/AD323)</f>
        <v>1.2176283453393899</v>
      </c>
      <c r="AF323" s="3"/>
      <c r="AG323" s="3">
        <v>1</v>
      </c>
      <c r="AH323" s="3" t="str">
        <f>VLOOKUP(AG323,WikiFormats!$A$3:$B$999,2,0)</f>
        <v>Story</v>
      </c>
      <c r="AI323" s="3" t="s">
        <v>639</v>
      </c>
    </row>
    <row r="324" spans="1:35" s="8" customFormat="1" x14ac:dyDescent="0.55000000000000004">
      <c r="A324" s="3">
        <v>322</v>
      </c>
      <c r="B324" s="3">
        <v>1</v>
      </c>
      <c r="C324" s="3" t="str">
        <f>VLOOKUP(B324,Eras!$A$3:$B$999,2,0)</f>
        <v>Classic</v>
      </c>
      <c r="D324" s="3">
        <v>1</v>
      </c>
      <c r="E324" s="3" t="str">
        <f>VLOOKUP(D324,EpisodeFormats!$A$3:$B$999,2,0)</f>
        <v>Series</v>
      </c>
      <c r="F324" s="3">
        <v>3</v>
      </c>
      <c r="G324" s="3" t="str">
        <f>VLOOKUP(F324,Doctors!$A$3:$B$999,2,0)</f>
        <v>Jon Pertwee</v>
      </c>
      <c r="H324" s="3">
        <v>9</v>
      </c>
      <c r="I324" s="3">
        <v>1</v>
      </c>
      <c r="J324" s="3" t="str">
        <f>VLOOKUP(I324,SeasonFormats!$A$3:$B$999,2,0)</f>
        <v>Season</v>
      </c>
      <c r="K324" s="3">
        <v>63</v>
      </c>
      <c r="L324" s="3">
        <v>4</v>
      </c>
      <c r="M324" s="3" t="s">
        <v>418</v>
      </c>
      <c r="N324" s="3">
        <v>5</v>
      </c>
      <c r="O324" s="3" t="s">
        <v>377</v>
      </c>
      <c r="P324" s="3">
        <v>19</v>
      </c>
      <c r="Q324" s="7" t="d">
        <v>1972-05-06</v>
      </c>
      <c r="R324" s="3">
        <v>25</v>
      </c>
      <c r="S324" s="3"/>
      <c r="T324" s="4" t="s">
        <v>1076</v>
      </c>
      <c r="U324" s="3" t="str" cm="1">
        <f t="array" ref="U324">_xlfn.TEXTJOIN(",",TRUE,_xlfn.XLOOKUP(_xlfn.FILTERXML("&lt;t&gt;&lt;s&gt;" &amp; SUBSTITUTE(T324,",","&lt;/s&gt;&lt;s&gt;") &amp; "&lt;/s&gt;&lt;/t&gt;", "//s"),Writers!$A$3:$A$999,Writers!$B$3:$B$999,""))</f>
        <v>Bob Baker,Dave Martin</v>
      </c>
      <c r="V324" s="3"/>
      <c r="W324" s="3" t="str">
        <f>IF(V324="","",_xlfn.XLOOKUP(V324,Writers!$A$3:$A$999,Writers!$B$3:$B$999,""))</f>
        <v/>
      </c>
      <c r="X324" s="3">
        <v>7.9</v>
      </c>
      <c r="Y324" s="3"/>
      <c r="Z324" s="3"/>
      <c r="AA324" s="3">
        <f t="shared" ref="AA324:AA387" si="15">IF(ISBLANK(X324),"",ROUND(X324*AE324,2))</f>
        <v>9.6199999999999992</v>
      </c>
      <c r="AB324" s="3" t="str">
        <f t="shared" ref="AB324:AB387" si="16">IF(ISBLANK(Y324),"",ROUND(Y324*AE324,2))</f>
        <v/>
      </c>
      <c r="AC324" s="3" t="str">
        <f t="shared" ref="AC324:AC387" si="17">IF(ISBLANK(Z324),"",ROUND(Z324*AE324,2))</f>
        <v/>
      </c>
      <c r="AD324" s="3">
        <f>VLOOKUP(YEAR(Q324),Populations!$A$3:$B$999,2,0)</f>
        <v>56096700</v>
      </c>
      <c r="AE324" s="3">
        <f>(Calculations!B1/AD324)</f>
        <v>1.2176283453393899</v>
      </c>
      <c r="AF324" s="3"/>
      <c r="AG324" s="3">
        <v>1</v>
      </c>
      <c r="AH324" s="3" t="str">
        <f>VLOOKUP(AG324,WikiFormats!$A$3:$B$999,2,0)</f>
        <v>Story</v>
      </c>
      <c r="AI324" s="3" t="s">
        <v>639</v>
      </c>
    </row>
    <row r="325" spans="1:35" s="8" customFormat="1" x14ac:dyDescent="0.55000000000000004">
      <c r="A325" s="3">
        <v>323</v>
      </c>
      <c r="B325" s="3">
        <v>1</v>
      </c>
      <c r="C325" s="3" t="str">
        <f>VLOOKUP(B325,Eras!$A$3:$B$999,2,0)</f>
        <v>Classic</v>
      </c>
      <c r="D325" s="3">
        <v>1</v>
      </c>
      <c r="E325" s="3" t="str">
        <f>VLOOKUP(D325,EpisodeFormats!$A$3:$B$999,2,0)</f>
        <v>Series</v>
      </c>
      <c r="F325" s="3">
        <v>3</v>
      </c>
      <c r="G325" s="3" t="str">
        <f>VLOOKUP(F325,Doctors!$A$3:$B$999,2,0)</f>
        <v>Jon Pertwee</v>
      </c>
      <c r="H325" s="3">
        <v>9</v>
      </c>
      <c r="I325" s="3">
        <v>1</v>
      </c>
      <c r="J325" s="3" t="str">
        <f>VLOOKUP(I325,SeasonFormats!$A$3:$B$999,2,0)</f>
        <v>Season</v>
      </c>
      <c r="K325" s="3">
        <v>63</v>
      </c>
      <c r="L325" s="3">
        <v>4</v>
      </c>
      <c r="M325" s="3" t="s">
        <v>418</v>
      </c>
      <c r="N325" s="3">
        <v>6</v>
      </c>
      <c r="O325" s="3" t="s">
        <v>378</v>
      </c>
      <c r="P325" s="3">
        <v>20</v>
      </c>
      <c r="Q325" s="7" t="d">
        <v>1972-05-13</v>
      </c>
      <c r="R325" s="3">
        <v>24</v>
      </c>
      <c r="S325" s="3"/>
      <c r="T325" s="4" t="s">
        <v>1076</v>
      </c>
      <c r="U325" s="3" t="str" cm="1">
        <f t="array" ref="U325">_xlfn.TEXTJOIN(",",TRUE,_xlfn.XLOOKUP(_xlfn.FILTERXML("&lt;t&gt;&lt;s&gt;" &amp; SUBSTITUTE(T325,",","&lt;/s&gt;&lt;s&gt;") &amp; "&lt;/s&gt;&lt;/t&gt;", "//s"),Writers!$A$3:$A$999,Writers!$B$3:$B$999,""))</f>
        <v>Bob Baker,Dave Martin</v>
      </c>
      <c r="V325" s="3"/>
      <c r="W325" s="3" t="str">
        <f>IF(V325="","",_xlfn.XLOOKUP(V325,Writers!$A$3:$A$999,Writers!$B$3:$B$999,""))</f>
        <v/>
      </c>
      <c r="X325" s="3">
        <v>6.5</v>
      </c>
      <c r="Y325" s="3"/>
      <c r="Z325" s="3"/>
      <c r="AA325" s="3">
        <f t="shared" si="15"/>
        <v>7.91</v>
      </c>
      <c r="AB325" s="3" t="str">
        <f t="shared" si="16"/>
        <v/>
      </c>
      <c r="AC325" s="3" t="str">
        <f t="shared" si="17"/>
        <v/>
      </c>
      <c r="AD325" s="3">
        <f>VLOOKUP(YEAR(Q325),Populations!$A$3:$B$999,2,0)</f>
        <v>56096700</v>
      </c>
      <c r="AE325" s="3">
        <f>(Calculations!B1/AD325)</f>
        <v>1.2176283453393899</v>
      </c>
      <c r="AF325" s="3"/>
      <c r="AG325" s="3">
        <v>1</v>
      </c>
      <c r="AH325" s="3" t="str">
        <f>VLOOKUP(AG325,WikiFormats!$A$3:$B$999,2,0)</f>
        <v>Story</v>
      </c>
      <c r="AI325" s="3" t="s">
        <v>639</v>
      </c>
    </row>
    <row r="326" spans="1:35" s="2" customFormat="1" x14ac:dyDescent="0.55000000000000004">
      <c r="A326">
        <v>324</v>
      </c>
      <c r="B326">
        <v>1</v>
      </c>
      <c r="C326" t="str">
        <f>VLOOKUP(B326,Eras!$A$3:$B$999,2,0)</f>
        <v>Classic</v>
      </c>
      <c r="D326">
        <v>1</v>
      </c>
      <c r="E326" t="str">
        <f>VLOOKUP(D326,EpisodeFormats!$A$3:$B$999,2,0)</f>
        <v>Series</v>
      </c>
      <c r="F326">
        <v>3</v>
      </c>
      <c r="G326" t="str">
        <f>VLOOKUP(F326,Doctors!$A$3:$B$999,2,0)</f>
        <v>Jon Pertwee</v>
      </c>
      <c r="H326">
        <v>9</v>
      </c>
      <c r="I326">
        <v>1</v>
      </c>
      <c r="J326" t="str">
        <f>VLOOKUP(I326,SeasonFormats!$A$3:$B$999,2,0)</f>
        <v>Season</v>
      </c>
      <c r="K326">
        <v>64</v>
      </c>
      <c r="L326">
        <v>5</v>
      </c>
      <c r="M326" t="s">
        <v>419</v>
      </c>
      <c r="N326">
        <v>1</v>
      </c>
      <c r="O326" t="s">
        <v>373</v>
      </c>
      <c r="P326">
        <v>21</v>
      </c>
      <c r="Q326" s="6" t="d">
        <v>1972-05-20</v>
      </c>
      <c r="R326">
        <v>25</v>
      </c>
      <c r="S326"/>
      <c r="T326" s="15" t="s">
        <v>1168</v>
      </c>
      <c r="U326" t="str" cm="1">
        <f t="array" ref="U326">_xlfn.TEXTJOIN(",",TRUE,_xlfn.XLOOKUP(_xlfn.FILTERXML("&lt;t&gt;&lt;s&gt;" &amp; SUBSTITUTE(T326,",","&lt;/s&gt;&lt;s&gt;") &amp; "&lt;/s&gt;&lt;/t&gt;", "//s"),Writers!$A$3:$A$999,Writers!$B$3:$B$999,""))</f>
        <v>Robert Sloman</v>
      </c>
      <c r="V326"/>
      <c r="W326" t="str">
        <f>IF(V326="","",_xlfn.XLOOKUP(V326,Writers!$A$3:$A$999,Writers!$B$3:$B$999,""))</f>
        <v/>
      </c>
      <c r="X326">
        <v>7.6</v>
      </c>
      <c r="Y326"/>
      <c r="Z326"/>
      <c r="AA326">
        <f t="shared" si="15"/>
        <v>9.25</v>
      </c>
      <c r="AB326" t="str">
        <f t="shared" si="16"/>
        <v/>
      </c>
      <c r="AC326" t="str">
        <f t="shared" si="17"/>
        <v/>
      </c>
      <c r="AD326">
        <f>VLOOKUP(YEAR(Q326),Populations!$A$3:$B$999,2,0)</f>
        <v>56096700</v>
      </c>
      <c r="AE326">
        <f>(Calculations!B1/AD326)</f>
        <v>1.2176283453393899</v>
      </c>
      <c r="AF326"/>
      <c r="AG326">
        <v>1</v>
      </c>
      <c r="AH326" t="str">
        <f>VLOOKUP(AG326,WikiFormats!$A$3:$B$999,2,0)</f>
        <v>Story</v>
      </c>
      <c r="AI326" t="s">
        <v>640</v>
      </c>
    </row>
    <row r="327" spans="1:35" s="2" customFormat="1" x14ac:dyDescent="0.55000000000000004">
      <c r="A327">
        <v>325</v>
      </c>
      <c r="B327">
        <v>1</v>
      </c>
      <c r="C327" t="str">
        <f>VLOOKUP(B327,Eras!$A$3:$B$999,2,0)</f>
        <v>Classic</v>
      </c>
      <c r="D327">
        <v>1</v>
      </c>
      <c r="E327" t="str">
        <f>VLOOKUP(D327,EpisodeFormats!$A$3:$B$999,2,0)</f>
        <v>Series</v>
      </c>
      <c r="F327">
        <v>3</v>
      </c>
      <c r="G327" t="str">
        <f>VLOOKUP(F327,Doctors!$A$3:$B$999,2,0)</f>
        <v>Jon Pertwee</v>
      </c>
      <c r="H327">
        <v>9</v>
      </c>
      <c r="I327">
        <v>1</v>
      </c>
      <c r="J327" t="str">
        <f>VLOOKUP(I327,SeasonFormats!$A$3:$B$999,2,0)</f>
        <v>Season</v>
      </c>
      <c r="K327">
        <v>64</v>
      </c>
      <c r="L327">
        <v>5</v>
      </c>
      <c r="M327" t="s">
        <v>419</v>
      </c>
      <c r="N327">
        <v>2</v>
      </c>
      <c r="O327" t="s">
        <v>374</v>
      </c>
      <c r="P327">
        <v>22</v>
      </c>
      <c r="Q327" s="6" t="d">
        <v>1972-05-27</v>
      </c>
      <c r="R327">
        <v>25</v>
      </c>
      <c r="S327"/>
      <c r="T327" s="15" t="s">
        <v>1168</v>
      </c>
      <c r="U327" t="str" cm="1">
        <f t="array" ref="U327">_xlfn.TEXTJOIN(",",TRUE,_xlfn.XLOOKUP(_xlfn.FILTERXML("&lt;t&gt;&lt;s&gt;" &amp; SUBSTITUTE(T327,",","&lt;/s&gt;&lt;s&gt;") &amp; "&lt;/s&gt;&lt;/t&gt;", "//s"),Writers!$A$3:$A$999,Writers!$B$3:$B$999,""))</f>
        <v>Robert Sloman</v>
      </c>
      <c r="V327"/>
      <c r="W327" t="str">
        <f>IF(V327="","",_xlfn.XLOOKUP(V327,Writers!$A$3:$A$999,Writers!$B$3:$B$999,""))</f>
        <v/>
      </c>
      <c r="X327">
        <v>7.4</v>
      </c>
      <c r="Y327"/>
      <c r="Z327"/>
      <c r="AA327">
        <f t="shared" si="15"/>
        <v>9.01</v>
      </c>
      <c r="AB327" t="str">
        <f t="shared" si="16"/>
        <v/>
      </c>
      <c r="AC327" t="str">
        <f t="shared" si="17"/>
        <v/>
      </c>
      <c r="AD327">
        <f>VLOOKUP(YEAR(Q327),Populations!$A$3:$B$999,2,0)</f>
        <v>56096700</v>
      </c>
      <c r="AE327">
        <f>(Calculations!B1/AD327)</f>
        <v>1.2176283453393899</v>
      </c>
      <c r="AF327"/>
      <c r="AG327">
        <v>1</v>
      </c>
      <c r="AH327" t="str">
        <f>VLOOKUP(AG327,WikiFormats!$A$3:$B$999,2,0)</f>
        <v>Story</v>
      </c>
      <c r="AI327" t="s">
        <v>640</v>
      </c>
    </row>
    <row r="328" spans="1:35" s="2" customFormat="1" x14ac:dyDescent="0.55000000000000004">
      <c r="A328">
        <v>326</v>
      </c>
      <c r="B328">
        <v>1</v>
      </c>
      <c r="C328" t="str">
        <f>VLOOKUP(B328,Eras!$A$3:$B$999,2,0)</f>
        <v>Classic</v>
      </c>
      <c r="D328">
        <v>1</v>
      </c>
      <c r="E328" t="str">
        <f>VLOOKUP(D328,EpisodeFormats!$A$3:$B$999,2,0)</f>
        <v>Series</v>
      </c>
      <c r="F328">
        <v>3</v>
      </c>
      <c r="G328" t="str">
        <f>VLOOKUP(F328,Doctors!$A$3:$B$999,2,0)</f>
        <v>Jon Pertwee</v>
      </c>
      <c r="H328">
        <v>9</v>
      </c>
      <c r="I328">
        <v>1</v>
      </c>
      <c r="J328" t="str">
        <f>VLOOKUP(I328,SeasonFormats!$A$3:$B$999,2,0)</f>
        <v>Season</v>
      </c>
      <c r="K328">
        <v>64</v>
      </c>
      <c r="L328">
        <v>5</v>
      </c>
      <c r="M328" t="s">
        <v>419</v>
      </c>
      <c r="N328">
        <v>3</v>
      </c>
      <c r="O328" t="s">
        <v>375</v>
      </c>
      <c r="P328">
        <v>23</v>
      </c>
      <c r="Q328" s="6" t="d">
        <v>1972-06-03</v>
      </c>
      <c r="R328">
        <v>24</v>
      </c>
      <c r="S328"/>
      <c r="T328" s="15" t="s">
        <v>1168</v>
      </c>
      <c r="U328" t="str" cm="1">
        <f t="array" ref="U328">_xlfn.TEXTJOIN(",",TRUE,_xlfn.XLOOKUP(_xlfn.FILTERXML("&lt;t&gt;&lt;s&gt;" &amp; SUBSTITUTE(T328,",","&lt;/s&gt;&lt;s&gt;") &amp; "&lt;/s&gt;&lt;/t&gt;", "//s"),Writers!$A$3:$A$999,Writers!$B$3:$B$999,""))</f>
        <v>Robert Sloman</v>
      </c>
      <c r="V328"/>
      <c r="W328" t="str">
        <f>IF(V328="","",_xlfn.XLOOKUP(V328,Writers!$A$3:$A$999,Writers!$B$3:$B$999,""))</f>
        <v/>
      </c>
      <c r="X328">
        <v>8.1</v>
      </c>
      <c r="Y328"/>
      <c r="Z328"/>
      <c r="AA328">
        <f t="shared" si="15"/>
        <v>9.86</v>
      </c>
      <c r="AB328" t="str">
        <f t="shared" si="16"/>
        <v/>
      </c>
      <c r="AC328" t="str">
        <f t="shared" si="17"/>
        <v/>
      </c>
      <c r="AD328">
        <f>VLOOKUP(YEAR(Q328),Populations!$A$3:$B$999,2,0)</f>
        <v>56096700</v>
      </c>
      <c r="AE328">
        <f>(Calculations!B1/AD328)</f>
        <v>1.2176283453393899</v>
      </c>
      <c r="AF328"/>
      <c r="AG328">
        <v>1</v>
      </c>
      <c r="AH328" t="str">
        <f>VLOOKUP(AG328,WikiFormats!$A$3:$B$999,2,0)</f>
        <v>Story</v>
      </c>
      <c r="AI328" t="s">
        <v>640</v>
      </c>
    </row>
    <row r="329" spans="1:35" s="2" customFormat="1" x14ac:dyDescent="0.55000000000000004">
      <c r="A329">
        <v>327</v>
      </c>
      <c r="B329">
        <v>1</v>
      </c>
      <c r="C329" t="str">
        <f>VLOOKUP(B329,Eras!$A$3:$B$999,2,0)</f>
        <v>Classic</v>
      </c>
      <c r="D329">
        <v>1</v>
      </c>
      <c r="E329" t="str">
        <f>VLOOKUP(D329,EpisodeFormats!$A$3:$B$999,2,0)</f>
        <v>Series</v>
      </c>
      <c r="F329">
        <v>3</v>
      </c>
      <c r="G329" t="str">
        <f>VLOOKUP(F329,Doctors!$A$3:$B$999,2,0)</f>
        <v>Jon Pertwee</v>
      </c>
      <c r="H329">
        <v>9</v>
      </c>
      <c r="I329">
        <v>1</v>
      </c>
      <c r="J329" t="str">
        <f>VLOOKUP(I329,SeasonFormats!$A$3:$B$999,2,0)</f>
        <v>Season</v>
      </c>
      <c r="K329">
        <v>64</v>
      </c>
      <c r="L329">
        <v>5</v>
      </c>
      <c r="M329" t="s">
        <v>419</v>
      </c>
      <c r="N329">
        <v>4</v>
      </c>
      <c r="O329" t="s">
        <v>376</v>
      </c>
      <c r="P329">
        <v>24</v>
      </c>
      <c r="Q329" s="6" t="d">
        <v>1972-06-10</v>
      </c>
      <c r="R329">
        <v>24</v>
      </c>
      <c r="S329"/>
      <c r="T329" s="15" t="s">
        <v>1168</v>
      </c>
      <c r="U329" t="str" cm="1">
        <f t="array" ref="U329">_xlfn.TEXTJOIN(",",TRUE,_xlfn.XLOOKUP(_xlfn.FILTERXML("&lt;t&gt;&lt;s&gt;" &amp; SUBSTITUTE(T329,",","&lt;/s&gt;&lt;s&gt;") &amp; "&lt;/s&gt;&lt;/t&gt;", "//s"),Writers!$A$3:$A$999,Writers!$B$3:$B$999,""))</f>
        <v>Robert Sloman</v>
      </c>
      <c r="V329"/>
      <c r="W329" t="str">
        <f>IF(V329="","",_xlfn.XLOOKUP(V329,Writers!$A$3:$A$999,Writers!$B$3:$B$999,""))</f>
        <v/>
      </c>
      <c r="X329">
        <v>7.6</v>
      </c>
      <c r="Y329"/>
      <c r="Z329"/>
      <c r="AA329">
        <f t="shared" si="15"/>
        <v>9.25</v>
      </c>
      <c r="AB329" t="str">
        <f t="shared" si="16"/>
        <v/>
      </c>
      <c r="AC329" t="str">
        <f t="shared" si="17"/>
        <v/>
      </c>
      <c r="AD329">
        <f>VLOOKUP(YEAR(Q329),Populations!$A$3:$B$999,2,0)</f>
        <v>56096700</v>
      </c>
      <c r="AE329">
        <f>(Calculations!B1/AD329)</f>
        <v>1.2176283453393899</v>
      </c>
      <c r="AF329"/>
      <c r="AG329">
        <v>1</v>
      </c>
      <c r="AH329" t="str">
        <f>VLOOKUP(AG329,WikiFormats!$A$3:$B$999,2,0)</f>
        <v>Story</v>
      </c>
      <c r="AI329" t="s">
        <v>640</v>
      </c>
    </row>
    <row r="330" spans="1:35" s="2" customFormat="1" x14ac:dyDescent="0.55000000000000004">
      <c r="A330">
        <v>328</v>
      </c>
      <c r="B330">
        <v>1</v>
      </c>
      <c r="C330" t="str">
        <f>VLOOKUP(B330,Eras!$A$3:$B$999,2,0)</f>
        <v>Classic</v>
      </c>
      <c r="D330">
        <v>1</v>
      </c>
      <c r="E330" t="str">
        <f>VLOOKUP(D330,EpisodeFormats!$A$3:$B$999,2,0)</f>
        <v>Series</v>
      </c>
      <c r="F330">
        <v>3</v>
      </c>
      <c r="G330" t="str">
        <f>VLOOKUP(F330,Doctors!$A$3:$B$999,2,0)</f>
        <v>Jon Pertwee</v>
      </c>
      <c r="H330">
        <v>9</v>
      </c>
      <c r="I330">
        <v>1</v>
      </c>
      <c r="J330" t="str">
        <f>VLOOKUP(I330,SeasonFormats!$A$3:$B$999,2,0)</f>
        <v>Season</v>
      </c>
      <c r="K330">
        <v>64</v>
      </c>
      <c r="L330">
        <v>5</v>
      </c>
      <c r="M330" t="s">
        <v>419</v>
      </c>
      <c r="N330">
        <v>5</v>
      </c>
      <c r="O330" t="s">
        <v>377</v>
      </c>
      <c r="P330">
        <v>25</v>
      </c>
      <c r="Q330" s="6" t="d">
        <v>1972-06-17</v>
      </c>
      <c r="R330">
        <v>25</v>
      </c>
      <c r="S330"/>
      <c r="T330" s="15" t="s">
        <v>1168</v>
      </c>
      <c r="U330" t="str" cm="1">
        <f t="array" ref="U330">_xlfn.TEXTJOIN(",",TRUE,_xlfn.XLOOKUP(_xlfn.FILTERXML("&lt;t&gt;&lt;s&gt;" &amp; SUBSTITUTE(T330,",","&lt;/s&gt;&lt;s&gt;") &amp; "&lt;/s&gt;&lt;/t&gt;", "//s"),Writers!$A$3:$A$999,Writers!$B$3:$B$999,""))</f>
        <v>Robert Sloman</v>
      </c>
      <c r="V330"/>
      <c r="W330" t="str">
        <f>IF(V330="","",_xlfn.XLOOKUP(V330,Writers!$A$3:$A$999,Writers!$B$3:$B$999,""))</f>
        <v/>
      </c>
      <c r="X330">
        <v>6</v>
      </c>
      <c r="Y330"/>
      <c r="Z330"/>
      <c r="AA330">
        <f t="shared" si="15"/>
        <v>7.31</v>
      </c>
      <c r="AB330" t="str">
        <f t="shared" si="16"/>
        <v/>
      </c>
      <c r="AC330" t="str">
        <f t="shared" si="17"/>
        <v/>
      </c>
      <c r="AD330">
        <f>VLOOKUP(YEAR(Q330),Populations!$A$3:$B$999,2,0)</f>
        <v>56096700</v>
      </c>
      <c r="AE330">
        <f>(Calculations!B1/AD330)</f>
        <v>1.2176283453393899</v>
      </c>
      <c r="AF330"/>
      <c r="AG330">
        <v>1</v>
      </c>
      <c r="AH330" t="str">
        <f>VLOOKUP(AG330,WikiFormats!$A$3:$B$999,2,0)</f>
        <v>Story</v>
      </c>
      <c r="AI330" t="s">
        <v>640</v>
      </c>
    </row>
    <row r="331" spans="1:35" s="2" customFormat="1" x14ac:dyDescent="0.55000000000000004">
      <c r="A331">
        <v>329</v>
      </c>
      <c r="B331">
        <v>1</v>
      </c>
      <c r="C331" t="str">
        <f>VLOOKUP(B331,Eras!$A$3:$B$999,2,0)</f>
        <v>Classic</v>
      </c>
      <c r="D331">
        <v>1</v>
      </c>
      <c r="E331" t="str">
        <f>VLOOKUP(D331,EpisodeFormats!$A$3:$B$999,2,0)</f>
        <v>Series</v>
      </c>
      <c r="F331">
        <v>3</v>
      </c>
      <c r="G331" t="str">
        <f>VLOOKUP(F331,Doctors!$A$3:$B$999,2,0)</f>
        <v>Jon Pertwee</v>
      </c>
      <c r="H331">
        <v>9</v>
      </c>
      <c r="I331">
        <v>1</v>
      </c>
      <c r="J331" t="str">
        <f>VLOOKUP(I331,SeasonFormats!$A$3:$B$999,2,0)</f>
        <v>Season</v>
      </c>
      <c r="K331">
        <v>64</v>
      </c>
      <c r="L331">
        <v>5</v>
      </c>
      <c r="M331" t="s">
        <v>419</v>
      </c>
      <c r="N331">
        <v>6</v>
      </c>
      <c r="O331" t="s">
        <v>378</v>
      </c>
      <c r="P331">
        <v>26</v>
      </c>
      <c r="Q331" s="6" t="d">
        <v>1972-06-24</v>
      </c>
      <c r="R331">
        <v>25</v>
      </c>
      <c r="S331"/>
      <c r="T331" s="15" t="s">
        <v>1168</v>
      </c>
      <c r="U331" t="str" cm="1">
        <f t="array" ref="U331">_xlfn.TEXTJOIN(",",TRUE,_xlfn.XLOOKUP(_xlfn.FILTERXML("&lt;t&gt;&lt;s&gt;" &amp; SUBSTITUTE(T331,",","&lt;/s&gt;&lt;s&gt;") &amp; "&lt;/s&gt;&lt;/t&gt;", "//s"),Writers!$A$3:$A$999,Writers!$B$3:$B$999,""))</f>
        <v>Robert Sloman</v>
      </c>
      <c r="V331"/>
      <c r="W331" t="str">
        <f>IF(V331="","",_xlfn.XLOOKUP(V331,Writers!$A$3:$A$999,Writers!$B$3:$B$999,""))</f>
        <v/>
      </c>
      <c r="X331">
        <v>7.6</v>
      </c>
      <c r="Y331"/>
      <c r="Z331"/>
      <c r="AA331">
        <f t="shared" si="15"/>
        <v>9.25</v>
      </c>
      <c r="AB331" t="str">
        <f t="shared" si="16"/>
        <v/>
      </c>
      <c r="AC331" t="str">
        <f t="shared" si="17"/>
        <v/>
      </c>
      <c r="AD331">
        <f>VLOOKUP(YEAR(Q331),Populations!$A$3:$B$999,2,0)</f>
        <v>56096700</v>
      </c>
      <c r="AE331">
        <f>(Calculations!B1/AD331)</f>
        <v>1.2176283453393899</v>
      </c>
      <c r="AF331"/>
      <c r="AG331">
        <v>1</v>
      </c>
      <c r="AH331" t="str">
        <f>VLOOKUP(AG331,WikiFormats!$A$3:$B$999,2,0)</f>
        <v>Story</v>
      </c>
      <c r="AI331" t="s">
        <v>640</v>
      </c>
    </row>
    <row r="332" spans="1:35" s="8" customFormat="1" x14ac:dyDescent="0.55000000000000004">
      <c r="A332" s="3">
        <v>330</v>
      </c>
      <c r="B332" s="3">
        <v>1</v>
      </c>
      <c r="C332" s="3" t="str">
        <f>VLOOKUP(B332,Eras!$A$3:$B$999,2,0)</f>
        <v>Classic</v>
      </c>
      <c r="D332" s="3">
        <v>1</v>
      </c>
      <c r="E332" s="3" t="str">
        <f>VLOOKUP(D332,EpisodeFormats!$A$3:$B$999,2,0)</f>
        <v>Series</v>
      </c>
      <c r="F332" s="3">
        <v>3</v>
      </c>
      <c r="G332" s="3" t="str">
        <f>VLOOKUP(F332,Doctors!$A$3:$B$999,2,0)</f>
        <v>Jon Pertwee</v>
      </c>
      <c r="H332" s="3">
        <v>10</v>
      </c>
      <c r="I332" s="3">
        <v>1</v>
      </c>
      <c r="J332" s="3" t="str">
        <f>VLOOKUP(I332,SeasonFormats!$A$3:$B$999,2,0)</f>
        <v>Season</v>
      </c>
      <c r="K332" s="3">
        <v>65</v>
      </c>
      <c r="L332" s="3">
        <v>1</v>
      </c>
      <c r="M332" s="3" t="s">
        <v>420</v>
      </c>
      <c r="N332" s="3">
        <v>1</v>
      </c>
      <c r="O332" s="3" t="s">
        <v>373</v>
      </c>
      <c r="P332" s="3">
        <v>1</v>
      </c>
      <c r="Q332" s="7" t="d">
        <v>1972-12-30</v>
      </c>
      <c r="R332" s="3">
        <v>25</v>
      </c>
      <c r="S332" s="3"/>
      <c r="T332" s="4" t="s">
        <v>1076</v>
      </c>
      <c r="U332" s="3" t="str" cm="1">
        <f t="array" ref="U332">_xlfn.TEXTJOIN(",",TRUE,_xlfn.XLOOKUP(_xlfn.FILTERXML("&lt;t&gt;&lt;s&gt;" &amp; SUBSTITUTE(T332,",","&lt;/s&gt;&lt;s&gt;") &amp; "&lt;/s&gt;&lt;/t&gt;", "//s"),Writers!$A$3:$A$999,Writers!$B$3:$B$999,""))</f>
        <v>Bob Baker,Dave Martin</v>
      </c>
      <c r="V332" s="3"/>
      <c r="W332" s="3" t="str">
        <f>IF(V332="","",_xlfn.XLOOKUP(V332,Writers!$A$3:$A$999,Writers!$B$3:$B$999,""))</f>
        <v/>
      </c>
      <c r="X332" s="3">
        <v>9.6</v>
      </c>
      <c r="Y332" s="3"/>
      <c r="Z332" s="3"/>
      <c r="AA332" s="3">
        <f t="shared" si="15"/>
        <v>11.69</v>
      </c>
      <c r="AB332" s="3" t="str">
        <f t="shared" si="16"/>
        <v/>
      </c>
      <c r="AC332" s="3" t="str">
        <f t="shared" si="17"/>
        <v/>
      </c>
      <c r="AD332" s="3">
        <f>VLOOKUP(YEAR(Q332),Populations!$A$3:$B$999,2,0)</f>
        <v>56096700</v>
      </c>
      <c r="AE332" s="3">
        <f>(Calculations!B1/AD332)</f>
        <v>1.2176283453393899</v>
      </c>
      <c r="AF332" s="3"/>
      <c r="AG332" s="3">
        <v>1</v>
      </c>
      <c r="AH332" s="3" t="str">
        <f>VLOOKUP(AG332,WikiFormats!$A$3:$B$999,2,0)</f>
        <v>Story</v>
      </c>
      <c r="AI332" s="3" t="s">
        <v>641</v>
      </c>
    </row>
    <row r="333" spans="1:35" s="8" customFormat="1" x14ac:dyDescent="0.55000000000000004">
      <c r="A333" s="3">
        <v>331</v>
      </c>
      <c r="B333" s="3">
        <v>1</v>
      </c>
      <c r="C333" s="3" t="str">
        <f>VLOOKUP(B333,Eras!$A$3:$B$999,2,0)</f>
        <v>Classic</v>
      </c>
      <c r="D333" s="3">
        <v>1</v>
      </c>
      <c r="E333" s="3" t="str">
        <f>VLOOKUP(D333,EpisodeFormats!$A$3:$B$999,2,0)</f>
        <v>Series</v>
      </c>
      <c r="F333" s="3">
        <v>3</v>
      </c>
      <c r="G333" s="3" t="str">
        <f>VLOOKUP(F333,Doctors!$A$3:$B$999,2,0)</f>
        <v>Jon Pertwee</v>
      </c>
      <c r="H333" s="3">
        <v>10</v>
      </c>
      <c r="I333" s="3">
        <v>1</v>
      </c>
      <c r="J333" s="3" t="str">
        <f>VLOOKUP(I333,SeasonFormats!$A$3:$B$999,2,0)</f>
        <v>Season</v>
      </c>
      <c r="K333" s="3">
        <v>65</v>
      </c>
      <c r="L333" s="3">
        <v>1</v>
      </c>
      <c r="M333" s="3" t="s">
        <v>420</v>
      </c>
      <c r="N333" s="3">
        <v>2</v>
      </c>
      <c r="O333" s="3" t="s">
        <v>374</v>
      </c>
      <c r="P333" s="3">
        <v>2</v>
      </c>
      <c r="Q333" s="7" t="d">
        <v>1973-01-06</v>
      </c>
      <c r="R333" s="3">
        <v>24</v>
      </c>
      <c r="S333" s="3"/>
      <c r="T333" s="4" t="s">
        <v>1076</v>
      </c>
      <c r="U333" s="3" t="str" cm="1">
        <f t="array" ref="U333">_xlfn.TEXTJOIN(",",TRUE,_xlfn.XLOOKUP(_xlfn.FILTERXML("&lt;t&gt;&lt;s&gt;" &amp; SUBSTITUTE(T333,",","&lt;/s&gt;&lt;s&gt;") &amp; "&lt;/s&gt;&lt;/t&gt;", "//s"),Writers!$A$3:$A$999,Writers!$B$3:$B$999,""))</f>
        <v>Bob Baker,Dave Martin</v>
      </c>
      <c r="V333" s="3"/>
      <c r="W333" s="3" t="str">
        <f>IF(V333="","",_xlfn.XLOOKUP(V333,Writers!$A$3:$A$999,Writers!$B$3:$B$999,""))</f>
        <v/>
      </c>
      <c r="X333" s="3">
        <v>10.8</v>
      </c>
      <c r="Y333" s="3"/>
      <c r="Z333" s="3"/>
      <c r="AA333" s="3">
        <f t="shared" si="15"/>
        <v>13.12</v>
      </c>
      <c r="AB333" s="3" t="str">
        <f t="shared" si="16"/>
        <v/>
      </c>
      <c r="AC333" s="3" t="str">
        <f t="shared" si="17"/>
        <v/>
      </c>
      <c r="AD333" s="3">
        <f>VLOOKUP(YEAR(Q333),Populations!$A$3:$B$999,2,0)</f>
        <v>56222900</v>
      </c>
      <c r="AE333" s="3">
        <f>(Calculations!B1/AD333)</f>
        <v>1.21489521173757</v>
      </c>
      <c r="AF333" s="3"/>
      <c r="AG333" s="3">
        <v>1</v>
      </c>
      <c r="AH333" s="3" t="str">
        <f>VLOOKUP(AG333,WikiFormats!$A$3:$B$999,2,0)</f>
        <v>Story</v>
      </c>
      <c r="AI333" s="3" t="s">
        <v>641</v>
      </c>
    </row>
    <row r="334" spans="1:35" s="8" customFormat="1" x14ac:dyDescent="0.55000000000000004">
      <c r="A334" s="3">
        <v>332</v>
      </c>
      <c r="B334" s="3">
        <v>1</v>
      </c>
      <c r="C334" s="3" t="str">
        <f>VLOOKUP(B334,Eras!$A$3:$B$999,2,0)</f>
        <v>Classic</v>
      </c>
      <c r="D334" s="3">
        <v>1</v>
      </c>
      <c r="E334" s="3" t="str">
        <f>VLOOKUP(D334,EpisodeFormats!$A$3:$B$999,2,0)</f>
        <v>Series</v>
      </c>
      <c r="F334" s="3">
        <v>3</v>
      </c>
      <c r="G334" s="3" t="str">
        <f>VLOOKUP(F334,Doctors!$A$3:$B$999,2,0)</f>
        <v>Jon Pertwee</v>
      </c>
      <c r="H334" s="3">
        <v>10</v>
      </c>
      <c r="I334" s="3">
        <v>1</v>
      </c>
      <c r="J334" s="3" t="str">
        <f>VLOOKUP(I334,SeasonFormats!$A$3:$B$999,2,0)</f>
        <v>Season</v>
      </c>
      <c r="K334" s="3">
        <v>65</v>
      </c>
      <c r="L334" s="3">
        <v>1</v>
      </c>
      <c r="M334" s="3" t="s">
        <v>420</v>
      </c>
      <c r="N334" s="3">
        <v>3</v>
      </c>
      <c r="O334" s="3" t="s">
        <v>375</v>
      </c>
      <c r="P334" s="3">
        <v>3</v>
      </c>
      <c r="Q334" s="7" t="d">
        <v>1973-01-13</v>
      </c>
      <c r="R334" s="3">
        <v>24</v>
      </c>
      <c r="S334" s="3"/>
      <c r="T334" s="4" t="s">
        <v>1076</v>
      </c>
      <c r="U334" s="3" t="str" cm="1">
        <f t="array" ref="U334">_xlfn.TEXTJOIN(",",TRUE,_xlfn.XLOOKUP(_xlfn.FILTERXML("&lt;t&gt;&lt;s&gt;" &amp; SUBSTITUTE(T334,",","&lt;/s&gt;&lt;s&gt;") &amp; "&lt;/s&gt;&lt;/t&gt;", "//s"),Writers!$A$3:$A$999,Writers!$B$3:$B$999,""))</f>
        <v>Bob Baker,Dave Martin</v>
      </c>
      <c r="V334" s="3"/>
      <c r="W334" s="3" t="str">
        <f>IF(V334="","",_xlfn.XLOOKUP(V334,Writers!$A$3:$A$999,Writers!$B$3:$B$999,""))</f>
        <v/>
      </c>
      <c r="X334" s="3">
        <v>8.8000000000000007</v>
      </c>
      <c r="Y334" s="3"/>
      <c r="Z334" s="3"/>
      <c r="AA334" s="3">
        <f t="shared" si="15"/>
        <v>10.69</v>
      </c>
      <c r="AB334" s="3" t="str">
        <f t="shared" si="16"/>
        <v/>
      </c>
      <c r="AC334" s="3" t="str">
        <f t="shared" si="17"/>
        <v/>
      </c>
      <c r="AD334" s="3">
        <f>VLOOKUP(YEAR(Q334),Populations!$A$3:$B$999,2,0)</f>
        <v>56222900</v>
      </c>
      <c r="AE334" s="3">
        <f>(Calculations!B1/AD334)</f>
        <v>1.21489521173757</v>
      </c>
      <c r="AF334" s="3"/>
      <c r="AG334" s="3">
        <v>1</v>
      </c>
      <c r="AH334" s="3" t="str">
        <f>VLOOKUP(AG334,WikiFormats!$A$3:$B$999,2,0)</f>
        <v>Story</v>
      </c>
      <c r="AI334" s="3" t="s">
        <v>641</v>
      </c>
    </row>
    <row r="335" spans="1:35" s="8" customFormat="1" x14ac:dyDescent="0.55000000000000004">
      <c r="A335" s="3">
        <v>333</v>
      </c>
      <c r="B335" s="3">
        <v>1</v>
      </c>
      <c r="C335" s="3" t="str">
        <f>VLOOKUP(B335,Eras!$A$3:$B$999,2,0)</f>
        <v>Classic</v>
      </c>
      <c r="D335" s="3">
        <v>1</v>
      </c>
      <c r="E335" s="3" t="str">
        <f>VLOOKUP(D335,EpisodeFormats!$A$3:$B$999,2,0)</f>
        <v>Series</v>
      </c>
      <c r="F335" s="3">
        <v>3</v>
      </c>
      <c r="G335" s="3" t="str">
        <f>VLOOKUP(F335,Doctors!$A$3:$B$999,2,0)</f>
        <v>Jon Pertwee</v>
      </c>
      <c r="H335" s="3">
        <v>10</v>
      </c>
      <c r="I335" s="3">
        <v>1</v>
      </c>
      <c r="J335" s="3" t="str">
        <f>VLOOKUP(I335,SeasonFormats!$A$3:$B$999,2,0)</f>
        <v>Season</v>
      </c>
      <c r="K335" s="3">
        <v>65</v>
      </c>
      <c r="L335" s="3">
        <v>1</v>
      </c>
      <c r="M335" s="3" t="s">
        <v>420</v>
      </c>
      <c r="N335" s="3">
        <v>4</v>
      </c>
      <c r="O335" s="3" t="s">
        <v>376</v>
      </c>
      <c r="P335" s="3">
        <v>4</v>
      </c>
      <c r="Q335" s="7" t="d">
        <v>1973-01-20</v>
      </c>
      <c r="R335" s="3">
        <v>25</v>
      </c>
      <c r="S335" s="3"/>
      <c r="T335" s="4" t="s">
        <v>1076</v>
      </c>
      <c r="U335" s="3" t="str" cm="1">
        <f t="array" ref="U335">_xlfn.TEXTJOIN(",",TRUE,_xlfn.XLOOKUP(_xlfn.FILTERXML("&lt;t&gt;&lt;s&gt;" &amp; SUBSTITUTE(T335,",","&lt;/s&gt;&lt;s&gt;") &amp; "&lt;/s&gt;&lt;/t&gt;", "//s"),Writers!$A$3:$A$999,Writers!$B$3:$B$999,""))</f>
        <v>Bob Baker,Dave Martin</v>
      </c>
      <c r="V335" s="3"/>
      <c r="W335" s="3" t="str">
        <f>IF(V335="","",_xlfn.XLOOKUP(V335,Writers!$A$3:$A$999,Writers!$B$3:$B$999,""))</f>
        <v/>
      </c>
      <c r="X335" s="3">
        <v>11.9</v>
      </c>
      <c r="Y335" s="3"/>
      <c r="Z335" s="3"/>
      <c r="AA335" s="3">
        <f t="shared" si="15"/>
        <v>14.46</v>
      </c>
      <c r="AB335" s="3" t="str">
        <f t="shared" si="16"/>
        <v/>
      </c>
      <c r="AC335" s="3" t="str">
        <f t="shared" si="17"/>
        <v/>
      </c>
      <c r="AD335" s="3">
        <f>VLOOKUP(YEAR(Q335),Populations!$A$3:$B$999,2,0)</f>
        <v>56222900</v>
      </c>
      <c r="AE335" s="3">
        <f>(Calculations!B1/AD335)</f>
        <v>1.21489521173757</v>
      </c>
      <c r="AF335" s="3"/>
      <c r="AG335" s="3">
        <v>1</v>
      </c>
      <c r="AH335" s="3" t="str">
        <f>VLOOKUP(AG335,WikiFormats!$A$3:$B$999,2,0)</f>
        <v>Story</v>
      </c>
      <c r="AI335" s="3" t="s">
        <v>641</v>
      </c>
    </row>
    <row r="336" spans="1:35" s="2" customFormat="1" x14ac:dyDescent="0.55000000000000004">
      <c r="A336">
        <v>334</v>
      </c>
      <c r="B336">
        <v>1</v>
      </c>
      <c r="C336" t="str">
        <f>VLOOKUP(B336,Eras!$A$3:$B$999,2,0)</f>
        <v>Classic</v>
      </c>
      <c r="D336">
        <v>1</v>
      </c>
      <c r="E336" t="str">
        <f>VLOOKUP(D336,EpisodeFormats!$A$3:$B$999,2,0)</f>
        <v>Series</v>
      </c>
      <c r="F336">
        <v>3</v>
      </c>
      <c r="G336" t="str">
        <f>VLOOKUP(F336,Doctors!$A$3:$B$999,2,0)</f>
        <v>Jon Pertwee</v>
      </c>
      <c r="H336">
        <v>10</v>
      </c>
      <c r="I336">
        <v>1</v>
      </c>
      <c r="J336" t="str">
        <f>VLOOKUP(I336,SeasonFormats!$A$3:$B$999,2,0)</f>
        <v>Season</v>
      </c>
      <c r="K336">
        <v>66</v>
      </c>
      <c r="L336">
        <v>2</v>
      </c>
      <c r="M336" t="s">
        <v>421</v>
      </c>
      <c r="N336">
        <v>1</v>
      </c>
      <c r="O336" t="s">
        <v>373</v>
      </c>
      <c r="P336">
        <v>5</v>
      </c>
      <c r="Q336" s="6" t="d">
        <v>1973-01-27</v>
      </c>
      <c r="R336">
        <v>25</v>
      </c>
      <c r="S336"/>
      <c r="T336" s="15" t="s">
        <v>1122</v>
      </c>
      <c r="U336" t="str" cm="1">
        <f t="array" ref="U336">_xlfn.TEXTJOIN(",",TRUE,_xlfn.XLOOKUP(_xlfn.FILTERXML("&lt;t&gt;&lt;s&gt;" &amp; SUBSTITUTE(T336,",","&lt;/s&gt;&lt;s&gt;") &amp; "&lt;/s&gt;&lt;/t&gt;", "//s"),Writers!$A$3:$A$999,Writers!$B$3:$B$999,""))</f>
        <v>Robert Holmes</v>
      </c>
      <c r="V336"/>
      <c r="W336" t="str">
        <f>IF(V336="","",_xlfn.XLOOKUP(V336,Writers!$A$3:$A$999,Writers!$B$3:$B$999,""))</f>
        <v/>
      </c>
      <c r="X336">
        <v>9.5</v>
      </c>
      <c r="Y336"/>
      <c r="Z336"/>
      <c r="AA336">
        <f t="shared" si="15"/>
        <v>11.54</v>
      </c>
      <c r="AB336" t="str">
        <f t="shared" si="16"/>
        <v/>
      </c>
      <c r="AC336" t="str">
        <f t="shared" si="17"/>
        <v/>
      </c>
      <c r="AD336">
        <f>VLOOKUP(YEAR(Q336),Populations!$A$3:$B$999,2,0)</f>
        <v>56222900</v>
      </c>
      <c r="AE336">
        <f>(Calculations!B1/AD336)</f>
        <v>1.21489521173757</v>
      </c>
      <c r="AF336"/>
      <c r="AG336">
        <v>1</v>
      </c>
      <c r="AH336" t="str">
        <f>VLOOKUP(AG336,WikiFormats!$A$3:$B$999,2,0)</f>
        <v>Story</v>
      </c>
      <c r="AI336" t="s">
        <v>642</v>
      </c>
    </row>
    <row r="337" spans="1:35" s="2" customFormat="1" x14ac:dyDescent="0.55000000000000004">
      <c r="A337">
        <v>335</v>
      </c>
      <c r="B337">
        <v>1</v>
      </c>
      <c r="C337" t="str">
        <f>VLOOKUP(B337,Eras!$A$3:$B$999,2,0)</f>
        <v>Classic</v>
      </c>
      <c r="D337">
        <v>1</v>
      </c>
      <c r="E337" t="str">
        <f>VLOOKUP(D337,EpisodeFormats!$A$3:$B$999,2,0)</f>
        <v>Series</v>
      </c>
      <c r="F337">
        <v>3</v>
      </c>
      <c r="G337" t="str">
        <f>VLOOKUP(F337,Doctors!$A$3:$B$999,2,0)</f>
        <v>Jon Pertwee</v>
      </c>
      <c r="H337">
        <v>10</v>
      </c>
      <c r="I337">
        <v>1</v>
      </c>
      <c r="J337" t="str">
        <f>VLOOKUP(I337,SeasonFormats!$A$3:$B$999,2,0)</f>
        <v>Season</v>
      </c>
      <c r="K337">
        <v>66</v>
      </c>
      <c r="L337">
        <v>2</v>
      </c>
      <c r="M337" t="s">
        <v>421</v>
      </c>
      <c r="N337">
        <v>2</v>
      </c>
      <c r="O337" t="s">
        <v>374</v>
      </c>
      <c r="P337">
        <v>6</v>
      </c>
      <c r="Q337" s="6" t="d">
        <v>1973-02-03</v>
      </c>
      <c r="R337">
        <v>24</v>
      </c>
      <c r="S337"/>
      <c r="T337" s="15" t="s">
        <v>1122</v>
      </c>
      <c r="U337" t="str" cm="1">
        <f t="array" ref="U337">_xlfn.TEXTJOIN(",",TRUE,_xlfn.XLOOKUP(_xlfn.FILTERXML("&lt;t&gt;&lt;s&gt;" &amp; SUBSTITUTE(T337,",","&lt;/s&gt;&lt;s&gt;") &amp; "&lt;/s&gt;&lt;/t&gt;", "//s"),Writers!$A$3:$A$999,Writers!$B$3:$B$999,""))</f>
        <v>Robert Holmes</v>
      </c>
      <c r="V337"/>
      <c r="W337" t="str">
        <f>IF(V337="","",_xlfn.XLOOKUP(V337,Writers!$A$3:$A$999,Writers!$B$3:$B$999,""))</f>
        <v/>
      </c>
      <c r="X337">
        <v>9</v>
      </c>
      <c r="Y337"/>
      <c r="Z337"/>
      <c r="AA337">
        <f t="shared" si="15"/>
        <v>10.93</v>
      </c>
      <c r="AB337" t="str">
        <f t="shared" si="16"/>
        <v/>
      </c>
      <c r="AC337" t="str">
        <f t="shared" si="17"/>
        <v/>
      </c>
      <c r="AD337">
        <f>VLOOKUP(YEAR(Q337),Populations!$A$3:$B$999,2,0)</f>
        <v>56222900</v>
      </c>
      <c r="AE337">
        <f>(Calculations!B1/AD337)</f>
        <v>1.21489521173757</v>
      </c>
      <c r="AF337"/>
      <c r="AG337">
        <v>1</v>
      </c>
      <c r="AH337" t="str">
        <f>VLOOKUP(AG337,WikiFormats!$A$3:$B$999,2,0)</f>
        <v>Story</v>
      </c>
      <c r="AI337" t="s">
        <v>642</v>
      </c>
    </row>
    <row r="338" spans="1:35" s="2" customFormat="1" x14ac:dyDescent="0.55000000000000004">
      <c r="A338">
        <v>336</v>
      </c>
      <c r="B338">
        <v>1</v>
      </c>
      <c r="C338" t="str">
        <f>VLOOKUP(B338,Eras!$A$3:$B$999,2,0)</f>
        <v>Classic</v>
      </c>
      <c r="D338">
        <v>1</v>
      </c>
      <c r="E338" t="str">
        <f>VLOOKUP(D338,EpisodeFormats!$A$3:$B$999,2,0)</f>
        <v>Series</v>
      </c>
      <c r="F338">
        <v>3</v>
      </c>
      <c r="G338" t="str">
        <f>VLOOKUP(F338,Doctors!$A$3:$B$999,2,0)</f>
        <v>Jon Pertwee</v>
      </c>
      <c r="H338">
        <v>10</v>
      </c>
      <c r="I338">
        <v>1</v>
      </c>
      <c r="J338" t="str">
        <f>VLOOKUP(I338,SeasonFormats!$A$3:$B$999,2,0)</f>
        <v>Season</v>
      </c>
      <c r="K338">
        <v>66</v>
      </c>
      <c r="L338">
        <v>2</v>
      </c>
      <c r="M338" t="s">
        <v>421</v>
      </c>
      <c r="N338">
        <v>3</v>
      </c>
      <c r="O338" t="s">
        <v>375</v>
      </c>
      <c r="P338">
        <v>7</v>
      </c>
      <c r="Q338" s="6" t="d">
        <v>1973-02-10</v>
      </c>
      <c r="R338">
        <v>25</v>
      </c>
      <c r="S338"/>
      <c r="T338" s="15" t="s">
        <v>1122</v>
      </c>
      <c r="U338" t="str" cm="1">
        <f t="array" ref="U338">_xlfn.TEXTJOIN(",",TRUE,_xlfn.XLOOKUP(_xlfn.FILTERXML("&lt;t&gt;&lt;s&gt;" &amp; SUBSTITUTE(T338,",","&lt;/s&gt;&lt;s&gt;") &amp; "&lt;/s&gt;&lt;/t&gt;", "//s"),Writers!$A$3:$A$999,Writers!$B$3:$B$999,""))</f>
        <v>Robert Holmes</v>
      </c>
      <c r="V338"/>
      <c r="W338" t="str">
        <f>IF(V338="","",_xlfn.XLOOKUP(V338,Writers!$A$3:$A$999,Writers!$B$3:$B$999,""))</f>
        <v/>
      </c>
      <c r="X338">
        <v>9</v>
      </c>
      <c r="Y338"/>
      <c r="Z338"/>
      <c r="AA338">
        <f t="shared" si="15"/>
        <v>10.93</v>
      </c>
      <c r="AB338" t="str">
        <f t="shared" si="16"/>
        <v/>
      </c>
      <c r="AC338" t="str">
        <f t="shared" si="17"/>
        <v/>
      </c>
      <c r="AD338">
        <f>VLOOKUP(YEAR(Q338),Populations!$A$3:$B$999,2,0)</f>
        <v>56222900</v>
      </c>
      <c r="AE338">
        <f>(Calculations!B1/AD338)</f>
        <v>1.21489521173757</v>
      </c>
      <c r="AF338"/>
      <c r="AG338">
        <v>1</v>
      </c>
      <c r="AH338" t="str">
        <f>VLOOKUP(AG338,WikiFormats!$A$3:$B$999,2,0)</f>
        <v>Story</v>
      </c>
      <c r="AI338" t="s">
        <v>642</v>
      </c>
    </row>
    <row r="339" spans="1:35" s="2" customFormat="1" x14ac:dyDescent="0.55000000000000004">
      <c r="A339">
        <v>337</v>
      </c>
      <c r="B339">
        <v>1</v>
      </c>
      <c r="C339" t="str">
        <f>VLOOKUP(B339,Eras!$A$3:$B$999,2,0)</f>
        <v>Classic</v>
      </c>
      <c r="D339">
        <v>1</v>
      </c>
      <c r="E339" t="str">
        <f>VLOOKUP(D339,EpisodeFormats!$A$3:$B$999,2,0)</f>
        <v>Series</v>
      </c>
      <c r="F339">
        <v>3</v>
      </c>
      <c r="G339" t="str">
        <f>VLOOKUP(F339,Doctors!$A$3:$B$999,2,0)</f>
        <v>Jon Pertwee</v>
      </c>
      <c r="H339">
        <v>10</v>
      </c>
      <c r="I339">
        <v>1</v>
      </c>
      <c r="J339" t="str">
        <f>VLOOKUP(I339,SeasonFormats!$A$3:$B$999,2,0)</f>
        <v>Season</v>
      </c>
      <c r="K339">
        <v>66</v>
      </c>
      <c r="L339">
        <v>2</v>
      </c>
      <c r="M339" t="s">
        <v>421</v>
      </c>
      <c r="N339">
        <v>4</v>
      </c>
      <c r="O339" t="s">
        <v>376</v>
      </c>
      <c r="P339">
        <v>8</v>
      </c>
      <c r="Q339" s="6" t="d">
        <v>1973-02-17</v>
      </c>
      <c r="R339">
        <v>24</v>
      </c>
      <c r="S339"/>
      <c r="T339" s="15" t="s">
        <v>1122</v>
      </c>
      <c r="U339" t="str" cm="1">
        <f t="array" ref="U339">_xlfn.TEXTJOIN(",",TRUE,_xlfn.XLOOKUP(_xlfn.FILTERXML("&lt;t&gt;&lt;s&gt;" &amp; SUBSTITUTE(T339,",","&lt;/s&gt;&lt;s&gt;") &amp; "&lt;/s&gt;&lt;/t&gt;", "//s"),Writers!$A$3:$A$999,Writers!$B$3:$B$999,""))</f>
        <v>Robert Holmes</v>
      </c>
      <c r="V339"/>
      <c r="W339" t="str">
        <f>IF(V339="","",_xlfn.XLOOKUP(V339,Writers!$A$3:$A$999,Writers!$B$3:$B$999,""))</f>
        <v/>
      </c>
      <c r="X339">
        <v>9.1999999999999993</v>
      </c>
      <c r="Y339"/>
      <c r="Z339"/>
      <c r="AA339">
        <f t="shared" si="15"/>
        <v>11.18</v>
      </c>
      <c r="AB339" t="str">
        <f t="shared" si="16"/>
        <v/>
      </c>
      <c r="AC339" t="str">
        <f t="shared" si="17"/>
        <v/>
      </c>
      <c r="AD339">
        <f>VLOOKUP(YEAR(Q339),Populations!$A$3:$B$999,2,0)</f>
        <v>56222900</v>
      </c>
      <c r="AE339">
        <f>(Calculations!B1/AD339)</f>
        <v>1.21489521173757</v>
      </c>
      <c r="AF339"/>
      <c r="AG339">
        <v>1</v>
      </c>
      <c r="AH339" t="str">
        <f>VLOOKUP(AG339,WikiFormats!$A$3:$B$999,2,0)</f>
        <v>Story</v>
      </c>
      <c r="AI339" t="s">
        <v>642</v>
      </c>
    </row>
    <row r="340" spans="1:35" s="8" customFormat="1" x14ac:dyDescent="0.55000000000000004">
      <c r="A340" s="3">
        <v>338</v>
      </c>
      <c r="B340" s="3">
        <v>1</v>
      </c>
      <c r="C340" s="3" t="str">
        <f>VLOOKUP(B340,Eras!$A$3:$B$999,2,0)</f>
        <v>Classic</v>
      </c>
      <c r="D340" s="3">
        <v>1</v>
      </c>
      <c r="E340" s="3" t="str">
        <f>VLOOKUP(D340,EpisodeFormats!$A$3:$B$999,2,0)</f>
        <v>Series</v>
      </c>
      <c r="F340" s="3">
        <v>3</v>
      </c>
      <c r="G340" s="3" t="str">
        <f>VLOOKUP(F340,Doctors!$A$3:$B$999,2,0)</f>
        <v>Jon Pertwee</v>
      </c>
      <c r="H340" s="3">
        <v>10</v>
      </c>
      <c r="I340" s="3">
        <v>1</v>
      </c>
      <c r="J340" s="3" t="str">
        <f>VLOOKUP(I340,SeasonFormats!$A$3:$B$999,2,0)</f>
        <v>Season</v>
      </c>
      <c r="K340" s="3">
        <v>67</v>
      </c>
      <c r="L340" s="3">
        <v>3</v>
      </c>
      <c r="M340" s="3" t="s">
        <v>422</v>
      </c>
      <c r="N340" s="3">
        <v>1</v>
      </c>
      <c r="O340" s="3" t="s">
        <v>373</v>
      </c>
      <c r="P340" s="3">
        <v>9</v>
      </c>
      <c r="Q340" s="7" t="d">
        <v>1973-02-24</v>
      </c>
      <c r="R340" s="3">
        <v>23</v>
      </c>
      <c r="S340" s="3"/>
      <c r="T340" s="4" t="s">
        <v>1123</v>
      </c>
      <c r="U340" s="3" t="str" cm="1">
        <f t="array" ref="U340">_xlfn.TEXTJOIN(",",TRUE,_xlfn.XLOOKUP(_xlfn.FILTERXML("&lt;t&gt;&lt;s&gt;" &amp; SUBSTITUTE(T340,",","&lt;/s&gt;&lt;s&gt;") &amp; "&lt;/s&gt;&lt;/t&gt;", "//s"),Writers!$A$3:$A$999,Writers!$B$3:$B$999,""))</f>
        <v>Malcolm Hulke</v>
      </c>
      <c r="V340" s="3"/>
      <c r="W340" s="3" t="str">
        <f>IF(V340="","",_xlfn.XLOOKUP(V340,Writers!$A$3:$A$999,Writers!$B$3:$B$999,""))</f>
        <v/>
      </c>
      <c r="X340" s="3">
        <v>9.1</v>
      </c>
      <c r="Y340" s="3"/>
      <c r="Z340" s="3"/>
      <c r="AA340" s="3">
        <f t="shared" si="15"/>
        <v>11.06</v>
      </c>
      <c r="AB340" s="3" t="str">
        <f t="shared" si="16"/>
        <v/>
      </c>
      <c r="AC340" s="3" t="str">
        <f t="shared" si="17"/>
        <v/>
      </c>
      <c r="AD340" s="3">
        <f>VLOOKUP(YEAR(Q340),Populations!$A$3:$B$999,2,0)</f>
        <v>56222900</v>
      </c>
      <c r="AE340" s="3">
        <f>(Calculations!B1/AD340)</f>
        <v>1.21489521173757</v>
      </c>
      <c r="AF340" s="3"/>
      <c r="AG340" s="3">
        <v>1</v>
      </c>
      <c r="AH340" s="3" t="str">
        <f>VLOOKUP(AG340,WikiFormats!$A$3:$B$999,2,0)</f>
        <v>Story</v>
      </c>
      <c r="AI340" s="3" t="s">
        <v>643</v>
      </c>
    </row>
    <row r="341" spans="1:35" s="8" customFormat="1" x14ac:dyDescent="0.55000000000000004">
      <c r="A341" s="3">
        <v>339</v>
      </c>
      <c r="B341" s="3">
        <v>1</v>
      </c>
      <c r="C341" s="3" t="str">
        <f>VLOOKUP(B341,Eras!$A$3:$B$999,2,0)</f>
        <v>Classic</v>
      </c>
      <c r="D341" s="3">
        <v>1</v>
      </c>
      <c r="E341" s="3" t="str">
        <f>VLOOKUP(D341,EpisodeFormats!$A$3:$B$999,2,0)</f>
        <v>Series</v>
      </c>
      <c r="F341" s="3">
        <v>3</v>
      </c>
      <c r="G341" s="3" t="str">
        <f>VLOOKUP(F341,Doctors!$A$3:$B$999,2,0)</f>
        <v>Jon Pertwee</v>
      </c>
      <c r="H341" s="3">
        <v>10</v>
      </c>
      <c r="I341" s="3">
        <v>1</v>
      </c>
      <c r="J341" s="3" t="str">
        <f>VLOOKUP(I341,SeasonFormats!$A$3:$B$999,2,0)</f>
        <v>Season</v>
      </c>
      <c r="K341" s="3">
        <v>67</v>
      </c>
      <c r="L341" s="3">
        <v>3</v>
      </c>
      <c r="M341" s="3" t="s">
        <v>422</v>
      </c>
      <c r="N341" s="3">
        <v>2</v>
      </c>
      <c r="O341" s="3" t="s">
        <v>374</v>
      </c>
      <c r="P341" s="3">
        <v>10</v>
      </c>
      <c r="Q341" s="7" t="d">
        <v>1973-03-03</v>
      </c>
      <c r="R341" s="3">
        <v>24</v>
      </c>
      <c r="S341" s="3"/>
      <c r="T341" s="4" t="s">
        <v>1123</v>
      </c>
      <c r="U341" s="3" t="str" cm="1">
        <f t="array" ref="U341">_xlfn.TEXTJOIN(",",TRUE,_xlfn.XLOOKUP(_xlfn.FILTERXML("&lt;t&gt;&lt;s&gt;" &amp; SUBSTITUTE(T341,",","&lt;/s&gt;&lt;s&gt;") &amp; "&lt;/s&gt;&lt;/t&gt;", "//s"),Writers!$A$3:$A$999,Writers!$B$3:$B$999,""))</f>
        <v>Malcolm Hulke</v>
      </c>
      <c r="V341" s="3"/>
      <c r="W341" s="3" t="str">
        <f>IF(V341="","",_xlfn.XLOOKUP(V341,Writers!$A$3:$A$999,Writers!$B$3:$B$999,""))</f>
        <v/>
      </c>
      <c r="X341" s="3">
        <v>7.8</v>
      </c>
      <c r="Y341" s="3"/>
      <c r="Z341" s="3"/>
      <c r="AA341" s="3">
        <f t="shared" si="15"/>
        <v>9.48</v>
      </c>
      <c r="AB341" s="3" t="str">
        <f t="shared" si="16"/>
        <v/>
      </c>
      <c r="AC341" s="3" t="str">
        <f t="shared" si="17"/>
        <v/>
      </c>
      <c r="AD341" s="3">
        <f>VLOOKUP(YEAR(Q341),Populations!$A$3:$B$999,2,0)</f>
        <v>56222900</v>
      </c>
      <c r="AE341" s="3">
        <f>(Calculations!B1/AD341)</f>
        <v>1.21489521173757</v>
      </c>
      <c r="AF341" s="3"/>
      <c r="AG341" s="3">
        <v>1</v>
      </c>
      <c r="AH341" s="3" t="str">
        <f>VLOOKUP(AG341,WikiFormats!$A$3:$B$999,2,0)</f>
        <v>Story</v>
      </c>
      <c r="AI341" s="3" t="s">
        <v>643</v>
      </c>
    </row>
    <row r="342" spans="1:35" s="8" customFormat="1" x14ac:dyDescent="0.55000000000000004">
      <c r="A342" s="3">
        <v>340</v>
      </c>
      <c r="B342" s="3">
        <v>1</v>
      </c>
      <c r="C342" s="3" t="str">
        <f>VLOOKUP(B342,Eras!$A$3:$B$999,2,0)</f>
        <v>Classic</v>
      </c>
      <c r="D342" s="3">
        <v>1</v>
      </c>
      <c r="E342" s="3" t="str">
        <f>VLOOKUP(D342,EpisodeFormats!$A$3:$B$999,2,0)</f>
        <v>Series</v>
      </c>
      <c r="F342" s="3">
        <v>3</v>
      </c>
      <c r="G342" s="3" t="str">
        <f>VLOOKUP(F342,Doctors!$A$3:$B$999,2,0)</f>
        <v>Jon Pertwee</v>
      </c>
      <c r="H342" s="3">
        <v>10</v>
      </c>
      <c r="I342" s="3">
        <v>1</v>
      </c>
      <c r="J342" s="3" t="str">
        <f>VLOOKUP(I342,SeasonFormats!$A$3:$B$999,2,0)</f>
        <v>Season</v>
      </c>
      <c r="K342" s="3">
        <v>67</v>
      </c>
      <c r="L342" s="3">
        <v>3</v>
      </c>
      <c r="M342" s="3" t="s">
        <v>422</v>
      </c>
      <c r="N342" s="3">
        <v>3</v>
      </c>
      <c r="O342" s="3" t="s">
        <v>375</v>
      </c>
      <c r="P342" s="3">
        <v>11</v>
      </c>
      <c r="Q342" s="7" t="d">
        <v>1973-03-10</v>
      </c>
      <c r="R342" s="3">
        <v>24</v>
      </c>
      <c r="S342" s="3"/>
      <c r="T342" s="4" t="s">
        <v>1123</v>
      </c>
      <c r="U342" s="3" t="str" cm="1">
        <f t="array" ref="U342">_xlfn.TEXTJOIN(",",TRUE,_xlfn.XLOOKUP(_xlfn.FILTERXML("&lt;t&gt;&lt;s&gt;" &amp; SUBSTITUTE(T342,",","&lt;/s&gt;&lt;s&gt;") &amp; "&lt;/s&gt;&lt;/t&gt;", "//s"),Writers!$A$3:$A$999,Writers!$B$3:$B$999,""))</f>
        <v>Malcolm Hulke</v>
      </c>
      <c r="V342" s="3"/>
      <c r="W342" s="3" t="str">
        <f>IF(V342="","",_xlfn.XLOOKUP(V342,Writers!$A$3:$A$999,Writers!$B$3:$B$999,""))</f>
        <v/>
      </c>
      <c r="X342" s="3">
        <v>7.5</v>
      </c>
      <c r="Y342" s="3"/>
      <c r="Z342" s="3"/>
      <c r="AA342" s="3">
        <f t="shared" si="15"/>
        <v>9.11</v>
      </c>
      <c r="AB342" s="3" t="str">
        <f t="shared" si="16"/>
        <v/>
      </c>
      <c r="AC342" s="3" t="str">
        <f t="shared" si="17"/>
        <v/>
      </c>
      <c r="AD342" s="3">
        <f>VLOOKUP(YEAR(Q342),Populations!$A$3:$B$999,2,0)</f>
        <v>56222900</v>
      </c>
      <c r="AE342" s="3">
        <f>(Calculations!B1/AD342)</f>
        <v>1.21489521173757</v>
      </c>
      <c r="AF342" s="3"/>
      <c r="AG342" s="3">
        <v>1</v>
      </c>
      <c r="AH342" s="3" t="str">
        <f>VLOOKUP(AG342,WikiFormats!$A$3:$B$999,2,0)</f>
        <v>Story</v>
      </c>
      <c r="AI342" s="3" t="s">
        <v>643</v>
      </c>
    </row>
    <row r="343" spans="1:35" s="8" customFormat="1" x14ac:dyDescent="0.55000000000000004">
      <c r="A343" s="3">
        <v>341</v>
      </c>
      <c r="B343" s="3">
        <v>1</v>
      </c>
      <c r="C343" s="3" t="str">
        <f>VLOOKUP(B343,Eras!$A$3:$B$999,2,0)</f>
        <v>Classic</v>
      </c>
      <c r="D343" s="3">
        <v>1</v>
      </c>
      <c r="E343" s="3" t="str">
        <f>VLOOKUP(D343,EpisodeFormats!$A$3:$B$999,2,0)</f>
        <v>Series</v>
      </c>
      <c r="F343" s="3">
        <v>3</v>
      </c>
      <c r="G343" s="3" t="str">
        <f>VLOOKUP(F343,Doctors!$A$3:$B$999,2,0)</f>
        <v>Jon Pertwee</v>
      </c>
      <c r="H343" s="3">
        <v>10</v>
      </c>
      <c r="I343" s="3">
        <v>1</v>
      </c>
      <c r="J343" s="3" t="str">
        <f>VLOOKUP(I343,SeasonFormats!$A$3:$B$999,2,0)</f>
        <v>Season</v>
      </c>
      <c r="K343" s="3">
        <v>67</v>
      </c>
      <c r="L343" s="3">
        <v>3</v>
      </c>
      <c r="M343" s="3" t="s">
        <v>422</v>
      </c>
      <c r="N343" s="3">
        <v>4</v>
      </c>
      <c r="O343" s="3" t="s">
        <v>376</v>
      </c>
      <c r="P343" s="3">
        <v>12</v>
      </c>
      <c r="Q343" s="7" t="d">
        <v>1973-03-17</v>
      </c>
      <c r="R343" s="3">
        <v>24</v>
      </c>
      <c r="S343" s="3"/>
      <c r="T343" s="4" t="s">
        <v>1123</v>
      </c>
      <c r="U343" s="3" t="str" cm="1">
        <f t="array" ref="U343">_xlfn.TEXTJOIN(",",TRUE,_xlfn.XLOOKUP(_xlfn.FILTERXML("&lt;t&gt;&lt;s&gt;" &amp; SUBSTITUTE(T343,",","&lt;/s&gt;&lt;s&gt;") &amp; "&lt;/s&gt;&lt;/t&gt;", "//s"),Writers!$A$3:$A$999,Writers!$B$3:$B$999,""))</f>
        <v>Malcolm Hulke</v>
      </c>
      <c r="V343" s="3"/>
      <c r="W343" s="3" t="str">
        <f>IF(V343="","",_xlfn.XLOOKUP(V343,Writers!$A$3:$A$999,Writers!$B$3:$B$999,""))</f>
        <v/>
      </c>
      <c r="X343" s="3">
        <v>7.1</v>
      </c>
      <c r="Y343" s="3"/>
      <c r="Z343" s="3"/>
      <c r="AA343" s="3">
        <f t="shared" si="15"/>
        <v>8.6300000000000008</v>
      </c>
      <c r="AB343" s="3" t="str">
        <f t="shared" si="16"/>
        <v/>
      </c>
      <c r="AC343" s="3" t="str">
        <f t="shared" si="17"/>
        <v/>
      </c>
      <c r="AD343" s="3">
        <f>VLOOKUP(YEAR(Q343),Populations!$A$3:$B$999,2,0)</f>
        <v>56222900</v>
      </c>
      <c r="AE343" s="3">
        <f>(Calculations!B1/AD343)</f>
        <v>1.21489521173757</v>
      </c>
      <c r="AF343" s="3"/>
      <c r="AG343" s="3">
        <v>1</v>
      </c>
      <c r="AH343" s="3" t="str">
        <f>VLOOKUP(AG343,WikiFormats!$A$3:$B$999,2,0)</f>
        <v>Story</v>
      </c>
      <c r="AI343" s="3" t="s">
        <v>643</v>
      </c>
    </row>
    <row r="344" spans="1:35" s="8" customFormat="1" x14ac:dyDescent="0.55000000000000004">
      <c r="A344" s="3">
        <v>342</v>
      </c>
      <c r="B344" s="3">
        <v>1</v>
      </c>
      <c r="C344" s="3" t="str">
        <f>VLOOKUP(B344,Eras!$A$3:$B$999,2,0)</f>
        <v>Classic</v>
      </c>
      <c r="D344" s="3">
        <v>1</v>
      </c>
      <c r="E344" s="3" t="str">
        <f>VLOOKUP(D344,EpisodeFormats!$A$3:$B$999,2,0)</f>
        <v>Series</v>
      </c>
      <c r="F344" s="3">
        <v>3</v>
      </c>
      <c r="G344" s="3" t="str">
        <f>VLOOKUP(F344,Doctors!$A$3:$B$999,2,0)</f>
        <v>Jon Pertwee</v>
      </c>
      <c r="H344" s="3">
        <v>10</v>
      </c>
      <c r="I344" s="3">
        <v>1</v>
      </c>
      <c r="J344" s="3" t="str">
        <f>VLOOKUP(I344,SeasonFormats!$A$3:$B$999,2,0)</f>
        <v>Season</v>
      </c>
      <c r="K344" s="3">
        <v>67</v>
      </c>
      <c r="L344" s="3">
        <v>3</v>
      </c>
      <c r="M344" s="3" t="s">
        <v>422</v>
      </c>
      <c r="N344" s="3">
        <v>5</v>
      </c>
      <c r="O344" s="3" t="s">
        <v>377</v>
      </c>
      <c r="P344" s="3">
        <v>13</v>
      </c>
      <c r="Q344" s="7" t="d">
        <v>1973-03-24</v>
      </c>
      <c r="R344" s="3">
        <v>24</v>
      </c>
      <c r="S344" s="3"/>
      <c r="T344" s="4" t="s">
        <v>1123</v>
      </c>
      <c r="U344" s="3" t="str" cm="1">
        <f t="array" ref="U344">_xlfn.TEXTJOIN(",",TRUE,_xlfn.XLOOKUP(_xlfn.FILTERXML("&lt;t&gt;&lt;s&gt;" &amp; SUBSTITUTE(T344,",","&lt;/s&gt;&lt;s&gt;") &amp; "&lt;/s&gt;&lt;/t&gt;", "//s"),Writers!$A$3:$A$999,Writers!$B$3:$B$999,""))</f>
        <v>Malcolm Hulke</v>
      </c>
      <c r="V344" s="3"/>
      <c r="W344" s="3" t="str">
        <f>IF(V344="","",_xlfn.XLOOKUP(V344,Writers!$A$3:$A$999,Writers!$B$3:$B$999,""))</f>
        <v/>
      </c>
      <c r="X344" s="3">
        <v>7.7</v>
      </c>
      <c r="Y344" s="3"/>
      <c r="Z344" s="3"/>
      <c r="AA344" s="3">
        <f t="shared" si="15"/>
        <v>9.35</v>
      </c>
      <c r="AB344" s="3" t="str">
        <f t="shared" si="16"/>
        <v/>
      </c>
      <c r="AC344" s="3" t="str">
        <f t="shared" si="17"/>
        <v/>
      </c>
      <c r="AD344" s="3">
        <f>VLOOKUP(YEAR(Q344),Populations!$A$3:$B$999,2,0)</f>
        <v>56222900</v>
      </c>
      <c r="AE344" s="3">
        <f>(Calculations!B1/AD344)</f>
        <v>1.21489521173757</v>
      </c>
      <c r="AF344" s="3"/>
      <c r="AG344" s="3">
        <v>1</v>
      </c>
      <c r="AH344" s="3" t="str">
        <f>VLOOKUP(AG344,WikiFormats!$A$3:$B$999,2,0)</f>
        <v>Story</v>
      </c>
      <c r="AI344" s="3" t="s">
        <v>643</v>
      </c>
    </row>
    <row r="345" spans="1:35" s="8" customFormat="1" x14ac:dyDescent="0.55000000000000004">
      <c r="A345" s="3">
        <v>343</v>
      </c>
      <c r="B345" s="3">
        <v>1</v>
      </c>
      <c r="C345" s="3" t="str">
        <f>VLOOKUP(B345,Eras!$A$3:$B$999,2,0)</f>
        <v>Classic</v>
      </c>
      <c r="D345" s="3">
        <v>1</v>
      </c>
      <c r="E345" s="3" t="str">
        <f>VLOOKUP(D345,EpisodeFormats!$A$3:$B$999,2,0)</f>
        <v>Series</v>
      </c>
      <c r="F345" s="3">
        <v>3</v>
      </c>
      <c r="G345" s="3" t="str">
        <f>VLOOKUP(F345,Doctors!$A$3:$B$999,2,0)</f>
        <v>Jon Pertwee</v>
      </c>
      <c r="H345" s="3">
        <v>10</v>
      </c>
      <c r="I345" s="3">
        <v>1</v>
      </c>
      <c r="J345" s="3" t="str">
        <f>VLOOKUP(I345,SeasonFormats!$A$3:$B$999,2,0)</f>
        <v>Season</v>
      </c>
      <c r="K345" s="3">
        <v>67</v>
      </c>
      <c r="L345" s="3">
        <v>3</v>
      </c>
      <c r="M345" s="3" t="s">
        <v>422</v>
      </c>
      <c r="N345" s="3">
        <v>6</v>
      </c>
      <c r="O345" s="3" t="s">
        <v>378</v>
      </c>
      <c r="P345" s="3">
        <v>14</v>
      </c>
      <c r="Q345" s="7" t="d">
        <v>1973-03-31</v>
      </c>
      <c r="R345" s="3">
        <v>25</v>
      </c>
      <c r="S345" s="3"/>
      <c r="T345" s="4" t="s">
        <v>1123</v>
      </c>
      <c r="U345" s="3" t="str" cm="1">
        <f t="array" ref="U345">_xlfn.TEXTJOIN(",",TRUE,_xlfn.XLOOKUP(_xlfn.FILTERXML("&lt;t&gt;&lt;s&gt;" &amp; SUBSTITUTE(T345,",","&lt;/s&gt;&lt;s&gt;") &amp; "&lt;/s&gt;&lt;/t&gt;", "//s"),Writers!$A$3:$A$999,Writers!$B$3:$B$999,""))</f>
        <v>Malcolm Hulke</v>
      </c>
      <c r="V345" s="3"/>
      <c r="W345" s="3" t="str">
        <f>IF(V345="","",_xlfn.XLOOKUP(V345,Writers!$A$3:$A$999,Writers!$B$3:$B$999,""))</f>
        <v/>
      </c>
      <c r="X345" s="3">
        <v>8.9</v>
      </c>
      <c r="Y345" s="3"/>
      <c r="Z345" s="3"/>
      <c r="AA345" s="3">
        <f t="shared" si="15"/>
        <v>10.81</v>
      </c>
      <c r="AB345" s="3" t="str">
        <f t="shared" si="16"/>
        <v/>
      </c>
      <c r="AC345" s="3" t="str">
        <f t="shared" si="17"/>
        <v/>
      </c>
      <c r="AD345" s="3">
        <f>VLOOKUP(YEAR(Q345),Populations!$A$3:$B$999,2,0)</f>
        <v>56222900</v>
      </c>
      <c r="AE345" s="3">
        <f>(Calculations!B1/AD345)</f>
        <v>1.21489521173757</v>
      </c>
      <c r="AF345" s="3"/>
      <c r="AG345" s="3">
        <v>1</v>
      </c>
      <c r="AH345" s="3" t="str">
        <f>VLOOKUP(AG345,WikiFormats!$A$3:$B$999,2,0)</f>
        <v>Story</v>
      </c>
      <c r="AI345" s="3" t="s">
        <v>643</v>
      </c>
    </row>
    <row r="346" spans="1:35" s="2" customFormat="1" x14ac:dyDescent="0.55000000000000004">
      <c r="A346">
        <v>344</v>
      </c>
      <c r="B346">
        <v>1</v>
      </c>
      <c r="C346" t="str">
        <f>VLOOKUP(B346,Eras!$A$3:$B$999,2,0)</f>
        <v>Classic</v>
      </c>
      <c r="D346">
        <v>1</v>
      </c>
      <c r="E346" t="str">
        <f>VLOOKUP(D346,EpisodeFormats!$A$3:$B$999,2,0)</f>
        <v>Series</v>
      </c>
      <c r="F346">
        <v>3</v>
      </c>
      <c r="G346" t="str">
        <f>VLOOKUP(F346,Doctors!$A$3:$B$999,2,0)</f>
        <v>Jon Pertwee</v>
      </c>
      <c r="H346">
        <v>10</v>
      </c>
      <c r="I346">
        <v>1</v>
      </c>
      <c r="J346" t="str">
        <f>VLOOKUP(I346,SeasonFormats!$A$3:$B$999,2,0)</f>
        <v>Season</v>
      </c>
      <c r="K346">
        <v>68</v>
      </c>
      <c r="L346">
        <v>4</v>
      </c>
      <c r="M346" t="s">
        <v>423</v>
      </c>
      <c r="N346">
        <v>1</v>
      </c>
      <c r="O346" t="s">
        <v>373</v>
      </c>
      <c r="P346">
        <v>15</v>
      </c>
      <c r="Q346" s="6" t="d">
        <v>1973-04-07</v>
      </c>
      <c r="R346">
        <v>25</v>
      </c>
      <c r="S346"/>
      <c r="T346" s="15" t="s">
        <v>1132</v>
      </c>
      <c r="U346" t="str" cm="1">
        <f t="array" ref="U346">_xlfn.TEXTJOIN(",",TRUE,_xlfn.XLOOKUP(_xlfn.FILTERXML("&lt;t&gt;&lt;s&gt;" &amp; SUBSTITUTE(T346,",","&lt;/s&gt;&lt;s&gt;") &amp; "&lt;/s&gt;&lt;/t&gt;", "//s"),Writers!$A$3:$A$999,Writers!$B$3:$B$999,""))</f>
        <v>Terry Nation</v>
      </c>
      <c r="V346"/>
      <c r="W346" t="str">
        <f>IF(V346="","",_xlfn.XLOOKUP(V346,Writers!$A$3:$A$999,Writers!$B$3:$B$999,""))</f>
        <v/>
      </c>
      <c r="X346">
        <v>11</v>
      </c>
      <c r="Y346"/>
      <c r="Z346"/>
      <c r="AA346">
        <f t="shared" si="15"/>
        <v>13.36</v>
      </c>
      <c r="AB346" t="str">
        <f t="shared" si="16"/>
        <v/>
      </c>
      <c r="AC346" t="str">
        <f t="shared" si="17"/>
        <v/>
      </c>
      <c r="AD346">
        <f>VLOOKUP(YEAR(Q346),Populations!$A$3:$B$999,2,0)</f>
        <v>56222900</v>
      </c>
      <c r="AE346">
        <f>(Calculations!B1/AD346)</f>
        <v>1.21489521173757</v>
      </c>
      <c r="AF346"/>
      <c r="AG346">
        <v>1</v>
      </c>
      <c r="AH346" t="str">
        <f>VLOOKUP(AG346,WikiFormats!$A$3:$B$999,2,0)</f>
        <v>Story</v>
      </c>
      <c r="AI346" t="s">
        <v>644</v>
      </c>
    </row>
    <row r="347" spans="1:35" s="2" customFormat="1" x14ac:dyDescent="0.55000000000000004">
      <c r="A347">
        <v>345</v>
      </c>
      <c r="B347">
        <v>1</v>
      </c>
      <c r="C347" t="str">
        <f>VLOOKUP(B347,Eras!$A$3:$B$999,2,0)</f>
        <v>Classic</v>
      </c>
      <c r="D347">
        <v>1</v>
      </c>
      <c r="E347" t="str">
        <f>VLOOKUP(D347,EpisodeFormats!$A$3:$B$999,2,0)</f>
        <v>Series</v>
      </c>
      <c r="F347">
        <v>3</v>
      </c>
      <c r="G347" t="str">
        <f>VLOOKUP(F347,Doctors!$A$3:$B$999,2,0)</f>
        <v>Jon Pertwee</v>
      </c>
      <c r="H347">
        <v>10</v>
      </c>
      <c r="I347">
        <v>1</v>
      </c>
      <c r="J347" t="str">
        <f>VLOOKUP(I347,SeasonFormats!$A$3:$B$999,2,0)</f>
        <v>Season</v>
      </c>
      <c r="K347">
        <v>68</v>
      </c>
      <c r="L347">
        <v>4</v>
      </c>
      <c r="M347" t="s">
        <v>423</v>
      </c>
      <c r="N347">
        <v>2</v>
      </c>
      <c r="O347" t="s">
        <v>374</v>
      </c>
      <c r="P347">
        <v>16</v>
      </c>
      <c r="Q347" s="6" t="d">
        <v>1973-04-14</v>
      </c>
      <c r="R347">
        <v>24</v>
      </c>
      <c r="S347"/>
      <c r="T347" s="15" t="s">
        <v>1132</v>
      </c>
      <c r="U347" t="str" cm="1">
        <f t="array" ref="U347">_xlfn.TEXTJOIN(",",TRUE,_xlfn.XLOOKUP(_xlfn.FILTERXML("&lt;t&gt;&lt;s&gt;" &amp; SUBSTITUTE(T347,",","&lt;/s&gt;&lt;s&gt;") &amp; "&lt;/s&gt;&lt;/t&gt;", "//s"),Writers!$A$3:$A$999,Writers!$B$3:$B$999,""))</f>
        <v>Terry Nation</v>
      </c>
      <c r="V347"/>
      <c r="W347" t="str">
        <f>IF(V347="","",_xlfn.XLOOKUP(V347,Writers!$A$3:$A$999,Writers!$B$3:$B$999,""))</f>
        <v/>
      </c>
      <c r="X347">
        <v>10.7</v>
      </c>
      <c r="Y347"/>
      <c r="Z347"/>
      <c r="AA347">
        <f t="shared" si="15"/>
        <v>13</v>
      </c>
      <c r="AB347" t="str">
        <f t="shared" si="16"/>
        <v/>
      </c>
      <c r="AC347" t="str">
        <f t="shared" si="17"/>
        <v/>
      </c>
      <c r="AD347">
        <f>VLOOKUP(YEAR(Q347),Populations!$A$3:$B$999,2,0)</f>
        <v>56222900</v>
      </c>
      <c r="AE347">
        <f>(Calculations!B1/AD347)</f>
        <v>1.21489521173757</v>
      </c>
      <c r="AF347"/>
      <c r="AG347">
        <v>1</v>
      </c>
      <c r="AH347" t="str">
        <f>VLOOKUP(AG347,WikiFormats!$A$3:$B$999,2,0)</f>
        <v>Story</v>
      </c>
      <c r="AI347" t="s">
        <v>644</v>
      </c>
    </row>
    <row r="348" spans="1:35" s="2" customFormat="1" x14ac:dyDescent="0.55000000000000004">
      <c r="A348">
        <v>346</v>
      </c>
      <c r="B348">
        <v>1</v>
      </c>
      <c r="C348" t="str">
        <f>VLOOKUP(B348,Eras!$A$3:$B$999,2,0)</f>
        <v>Classic</v>
      </c>
      <c r="D348">
        <v>1</v>
      </c>
      <c r="E348" t="str">
        <f>VLOOKUP(D348,EpisodeFormats!$A$3:$B$999,2,0)</f>
        <v>Series</v>
      </c>
      <c r="F348">
        <v>3</v>
      </c>
      <c r="G348" t="str">
        <f>VLOOKUP(F348,Doctors!$A$3:$B$999,2,0)</f>
        <v>Jon Pertwee</v>
      </c>
      <c r="H348">
        <v>10</v>
      </c>
      <c r="I348">
        <v>1</v>
      </c>
      <c r="J348" t="str">
        <f>VLOOKUP(I348,SeasonFormats!$A$3:$B$999,2,0)</f>
        <v>Season</v>
      </c>
      <c r="K348">
        <v>68</v>
      </c>
      <c r="L348">
        <v>4</v>
      </c>
      <c r="M348" t="s">
        <v>423</v>
      </c>
      <c r="N348">
        <v>3</v>
      </c>
      <c r="O348" t="s">
        <v>375</v>
      </c>
      <c r="P348">
        <v>17</v>
      </c>
      <c r="Q348" s="6" t="d">
        <v>1973-04-21</v>
      </c>
      <c r="R348">
        <v>23</v>
      </c>
      <c r="S348"/>
      <c r="T348" s="15" t="s">
        <v>1132</v>
      </c>
      <c r="U348" t="str" cm="1">
        <f t="array" ref="U348">_xlfn.TEXTJOIN(",",TRUE,_xlfn.XLOOKUP(_xlfn.FILTERXML("&lt;t&gt;&lt;s&gt;" &amp; SUBSTITUTE(T348,",","&lt;/s&gt;&lt;s&gt;") &amp; "&lt;/s&gt;&lt;/t&gt;", "//s"),Writers!$A$3:$A$999,Writers!$B$3:$B$999,""))</f>
        <v>Terry Nation</v>
      </c>
      <c r="V348"/>
      <c r="W348" t="str">
        <f>IF(V348="","",_xlfn.XLOOKUP(V348,Writers!$A$3:$A$999,Writers!$B$3:$B$999,""))</f>
        <v/>
      </c>
      <c r="X348">
        <v>10.1</v>
      </c>
      <c r="Y348"/>
      <c r="Z348"/>
      <c r="AA348">
        <f t="shared" si="15"/>
        <v>12.27</v>
      </c>
      <c r="AB348" t="str">
        <f t="shared" si="16"/>
        <v/>
      </c>
      <c r="AC348" t="str">
        <f t="shared" si="17"/>
        <v/>
      </c>
      <c r="AD348">
        <f>VLOOKUP(YEAR(Q348),Populations!$A$3:$B$999,2,0)</f>
        <v>56222900</v>
      </c>
      <c r="AE348">
        <f>(Calculations!B1/AD348)</f>
        <v>1.21489521173757</v>
      </c>
      <c r="AF348"/>
      <c r="AG348">
        <v>1</v>
      </c>
      <c r="AH348" t="str">
        <f>VLOOKUP(AG348,WikiFormats!$A$3:$B$999,2,0)</f>
        <v>Story</v>
      </c>
      <c r="AI348" t="s">
        <v>644</v>
      </c>
    </row>
    <row r="349" spans="1:35" s="2" customFormat="1" x14ac:dyDescent="0.55000000000000004">
      <c r="A349">
        <v>347</v>
      </c>
      <c r="B349">
        <v>1</v>
      </c>
      <c r="C349" t="str">
        <f>VLOOKUP(B349,Eras!$A$3:$B$999,2,0)</f>
        <v>Classic</v>
      </c>
      <c r="D349">
        <v>1</v>
      </c>
      <c r="E349" t="str">
        <f>VLOOKUP(D349,EpisodeFormats!$A$3:$B$999,2,0)</f>
        <v>Series</v>
      </c>
      <c r="F349">
        <v>3</v>
      </c>
      <c r="G349" t="str">
        <f>VLOOKUP(F349,Doctors!$A$3:$B$999,2,0)</f>
        <v>Jon Pertwee</v>
      </c>
      <c r="H349">
        <v>10</v>
      </c>
      <c r="I349">
        <v>1</v>
      </c>
      <c r="J349" t="str">
        <f>VLOOKUP(I349,SeasonFormats!$A$3:$B$999,2,0)</f>
        <v>Season</v>
      </c>
      <c r="K349">
        <v>68</v>
      </c>
      <c r="L349">
        <v>4</v>
      </c>
      <c r="M349" t="s">
        <v>423</v>
      </c>
      <c r="N349">
        <v>4</v>
      </c>
      <c r="O349" t="s">
        <v>376</v>
      </c>
      <c r="P349">
        <v>18</v>
      </c>
      <c r="Q349" s="6" t="d">
        <v>1973-04-28</v>
      </c>
      <c r="R349">
        <v>24</v>
      </c>
      <c r="S349"/>
      <c r="T349" s="15" t="s">
        <v>1132</v>
      </c>
      <c r="U349" t="str" cm="1">
        <f t="array" ref="U349">_xlfn.TEXTJOIN(",",TRUE,_xlfn.XLOOKUP(_xlfn.FILTERXML("&lt;t&gt;&lt;s&gt;" &amp; SUBSTITUTE(T349,",","&lt;/s&gt;&lt;s&gt;") &amp; "&lt;/s&gt;&lt;/t&gt;", "//s"),Writers!$A$3:$A$999,Writers!$B$3:$B$999,""))</f>
        <v>Terry Nation</v>
      </c>
      <c r="V349"/>
      <c r="W349" t="str">
        <f>IF(V349="","",_xlfn.XLOOKUP(V349,Writers!$A$3:$A$999,Writers!$B$3:$B$999,""))</f>
        <v/>
      </c>
      <c r="X349">
        <v>8.3000000000000007</v>
      </c>
      <c r="Y349"/>
      <c r="Z349"/>
      <c r="AA349">
        <f t="shared" si="15"/>
        <v>10.08</v>
      </c>
      <c r="AB349" t="str">
        <f t="shared" si="16"/>
        <v/>
      </c>
      <c r="AC349" t="str">
        <f t="shared" si="17"/>
        <v/>
      </c>
      <c r="AD349">
        <f>VLOOKUP(YEAR(Q349),Populations!$A$3:$B$999,2,0)</f>
        <v>56222900</v>
      </c>
      <c r="AE349">
        <f>(Calculations!B1/AD349)</f>
        <v>1.21489521173757</v>
      </c>
      <c r="AF349"/>
      <c r="AG349">
        <v>1</v>
      </c>
      <c r="AH349" t="str">
        <f>VLOOKUP(AG349,WikiFormats!$A$3:$B$999,2,0)</f>
        <v>Story</v>
      </c>
      <c r="AI349" t="s">
        <v>644</v>
      </c>
    </row>
    <row r="350" spans="1:35" s="2" customFormat="1" x14ac:dyDescent="0.55000000000000004">
      <c r="A350">
        <v>348</v>
      </c>
      <c r="B350">
        <v>1</v>
      </c>
      <c r="C350" t="str">
        <f>VLOOKUP(B350,Eras!$A$3:$B$999,2,0)</f>
        <v>Classic</v>
      </c>
      <c r="D350">
        <v>1</v>
      </c>
      <c r="E350" t="str">
        <f>VLOOKUP(D350,EpisodeFormats!$A$3:$B$999,2,0)</f>
        <v>Series</v>
      </c>
      <c r="F350">
        <v>3</v>
      </c>
      <c r="G350" t="str">
        <f>VLOOKUP(F350,Doctors!$A$3:$B$999,2,0)</f>
        <v>Jon Pertwee</v>
      </c>
      <c r="H350">
        <v>10</v>
      </c>
      <c r="I350">
        <v>1</v>
      </c>
      <c r="J350" t="str">
        <f>VLOOKUP(I350,SeasonFormats!$A$3:$B$999,2,0)</f>
        <v>Season</v>
      </c>
      <c r="K350">
        <v>68</v>
      </c>
      <c r="L350">
        <v>4</v>
      </c>
      <c r="M350" t="s">
        <v>423</v>
      </c>
      <c r="N350">
        <v>5</v>
      </c>
      <c r="O350" t="s">
        <v>377</v>
      </c>
      <c r="P350">
        <v>19</v>
      </c>
      <c r="Q350" s="6" t="d">
        <v>1973-05-05</v>
      </c>
      <c r="R350">
        <v>23</v>
      </c>
      <c r="S350"/>
      <c r="T350" s="15" t="s">
        <v>1132</v>
      </c>
      <c r="U350" t="str" cm="1">
        <f t="array" ref="U350">_xlfn.TEXTJOIN(",",TRUE,_xlfn.XLOOKUP(_xlfn.FILTERXML("&lt;t&gt;&lt;s&gt;" &amp; SUBSTITUTE(T350,",","&lt;/s&gt;&lt;s&gt;") &amp; "&lt;/s&gt;&lt;/t&gt;", "//s"),Writers!$A$3:$A$999,Writers!$B$3:$B$999,""))</f>
        <v>Terry Nation</v>
      </c>
      <c r="V350"/>
      <c r="W350" t="str">
        <f>IF(V350="","",_xlfn.XLOOKUP(V350,Writers!$A$3:$A$999,Writers!$B$3:$B$999,""))</f>
        <v/>
      </c>
      <c r="X350">
        <v>9.6999999999999993</v>
      </c>
      <c r="Y350"/>
      <c r="Z350"/>
      <c r="AA350">
        <f t="shared" si="15"/>
        <v>11.78</v>
      </c>
      <c r="AB350" t="str">
        <f t="shared" si="16"/>
        <v/>
      </c>
      <c r="AC350" t="str">
        <f t="shared" si="17"/>
        <v/>
      </c>
      <c r="AD350">
        <f>VLOOKUP(YEAR(Q350),Populations!$A$3:$B$999,2,0)</f>
        <v>56222900</v>
      </c>
      <c r="AE350">
        <f>(Calculations!B1/AD350)</f>
        <v>1.21489521173757</v>
      </c>
      <c r="AF350"/>
      <c r="AG350">
        <v>1</v>
      </c>
      <c r="AH350" t="str">
        <f>VLOOKUP(AG350,WikiFormats!$A$3:$B$999,2,0)</f>
        <v>Story</v>
      </c>
      <c r="AI350" t="s">
        <v>644</v>
      </c>
    </row>
    <row r="351" spans="1:35" s="2" customFormat="1" x14ac:dyDescent="0.55000000000000004">
      <c r="A351">
        <v>349</v>
      </c>
      <c r="B351">
        <v>1</v>
      </c>
      <c r="C351" t="str">
        <f>VLOOKUP(B351,Eras!$A$3:$B$999,2,0)</f>
        <v>Classic</v>
      </c>
      <c r="D351">
        <v>1</v>
      </c>
      <c r="E351" t="str">
        <f>VLOOKUP(D351,EpisodeFormats!$A$3:$B$999,2,0)</f>
        <v>Series</v>
      </c>
      <c r="F351">
        <v>3</v>
      </c>
      <c r="G351" t="str">
        <f>VLOOKUP(F351,Doctors!$A$3:$B$999,2,0)</f>
        <v>Jon Pertwee</v>
      </c>
      <c r="H351">
        <v>10</v>
      </c>
      <c r="I351">
        <v>1</v>
      </c>
      <c r="J351" t="str">
        <f>VLOOKUP(I351,SeasonFormats!$A$3:$B$999,2,0)</f>
        <v>Season</v>
      </c>
      <c r="K351">
        <v>68</v>
      </c>
      <c r="L351">
        <v>4</v>
      </c>
      <c r="M351" t="s">
        <v>423</v>
      </c>
      <c r="N351">
        <v>6</v>
      </c>
      <c r="O351" t="s">
        <v>378</v>
      </c>
      <c r="P351">
        <v>20</v>
      </c>
      <c r="Q351" s="6" t="d">
        <v>1973-05-12</v>
      </c>
      <c r="R351">
        <v>23</v>
      </c>
      <c r="S351"/>
      <c r="T351" s="15" t="s">
        <v>1132</v>
      </c>
      <c r="U351" t="str" cm="1">
        <f t="array" ref="U351">_xlfn.TEXTJOIN(",",TRUE,_xlfn.XLOOKUP(_xlfn.FILTERXML("&lt;t&gt;&lt;s&gt;" &amp; SUBSTITUTE(T351,",","&lt;/s&gt;&lt;s&gt;") &amp; "&lt;/s&gt;&lt;/t&gt;", "//s"),Writers!$A$3:$A$999,Writers!$B$3:$B$999,""))</f>
        <v>Terry Nation</v>
      </c>
      <c r="V351"/>
      <c r="W351" t="str">
        <f>IF(V351="","",_xlfn.XLOOKUP(V351,Writers!$A$3:$A$999,Writers!$B$3:$B$999,""))</f>
        <v/>
      </c>
      <c r="X351">
        <v>8.5</v>
      </c>
      <c r="Y351"/>
      <c r="Z351"/>
      <c r="AA351">
        <f t="shared" si="15"/>
        <v>10.33</v>
      </c>
      <c r="AB351" t="str">
        <f t="shared" si="16"/>
        <v/>
      </c>
      <c r="AC351" t="str">
        <f t="shared" si="17"/>
        <v/>
      </c>
      <c r="AD351">
        <f>VLOOKUP(YEAR(Q351),Populations!$A$3:$B$999,2,0)</f>
        <v>56222900</v>
      </c>
      <c r="AE351">
        <f>(Calculations!B1/AD351)</f>
        <v>1.21489521173757</v>
      </c>
      <c r="AF351"/>
      <c r="AG351">
        <v>1</v>
      </c>
      <c r="AH351" t="str">
        <f>VLOOKUP(AG351,WikiFormats!$A$3:$B$999,2,0)</f>
        <v>Story</v>
      </c>
      <c r="AI351" t="s">
        <v>644</v>
      </c>
    </row>
    <row r="352" spans="1:35" s="8" customFormat="1" x14ac:dyDescent="0.55000000000000004">
      <c r="A352" s="3">
        <v>350</v>
      </c>
      <c r="B352" s="3">
        <v>1</v>
      </c>
      <c r="C352" s="3" t="str">
        <f>VLOOKUP(B352,Eras!$A$3:$B$999,2,0)</f>
        <v>Classic</v>
      </c>
      <c r="D352" s="3">
        <v>1</v>
      </c>
      <c r="E352" s="3" t="str">
        <f>VLOOKUP(D352,EpisodeFormats!$A$3:$B$999,2,0)</f>
        <v>Series</v>
      </c>
      <c r="F352" s="3">
        <v>3</v>
      </c>
      <c r="G352" s="3" t="str">
        <f>VLOOKUP(F352,Doctors!$A$3:$B$999,2,0)</f>
        <v>Jon Pertwee</v>
      </c>
      <c r="H352" s="3">
        <v>10</v>
      </c>
      <c r="I352" s="3">
        <v>1</v>
      </c>
      <c r="J352" s="3" t="str">
        <f>VLOOKUP(I352,SeasonFormats!$A$3:$B$999,2,0)</f>
        <v>Season</v>
      </c>
      <c r="K352" s="3">
        <v>69</v>
      </c>
      <c r="L352" s="3">
        <v>5</v>
      </c>
      <c r="M352" s="3" t="s">
        <v>424</v>
      </c>
      <c r="N352" s="3">
        <v>1</v>
      </c>
      <c r="O352" s="3" t="s">
        <v>373</v>
      </c>
      <c r="P352" s="3">
        <v>21</v>
      </c>
      <c r="Q352" s="7" t="d">
        <v>1973-05-19</v>
      </c>
      <c r="R352" s="3">
        <v>26</v>
      </c>
      <c r="S352" s="3"/>
      <c r="T352" s="4" t="s">
        <v>1168</v>
      </c>
      <c r="U352" s="3" t="str" cm="1">
        <f t="array" ref="U352">_xlfn.TEXTJOIN(",",TRUE,_xlfn.XLOOKUP(_xlfn.FILTERXML("&lt;t&gt;&lt;s&gt;" &amp; SUBSTITUTE(T352,",","&lt;/s&gt;&lt;s&gt;") &amp; "&lt;/s&gt;&lt;/t&gt;", "//s"),Writers!$A$3:$A$999,Writers!$B$3:$B$999,""))</f>
        <v>Robert Sloman</v>
      </c>
      <c r="V352" s="3"/>
      <c r="W352" s="3" t="str">
        <f>IF(V352="","",_xlfn.XLOOKUP(V352,Writers!$A$3:$A$999,Writers!$B$3:$B$999,""))</f>
        <v/>
      </c>
      <c r="X352" s="3">
        <v>9.1999999999999993</v>
      </c>
      <c r="Y352" s="3"/>
      <c r="Z352" s="3"/>
      <c r="AA352" s="3">
        <f t="shared" si="15"/>
        <v>11.18</v>
      </c>
      <c r="AB352" s="3" t="str">
        <f t="shared" si="16"/>
        <v/>
      </c>
      <c r="AC352" s="3" t="str">
        <f t="shared" si="17"/>
        <v/>
      </c>
      <c r="AD352" s="3">
        <f>VLOOKUP(YEAR(Q352),Populations!$A$3:$B$999,2,0)</f>
        <v>56222900</v>
      </c>
      <c r="AE352" s="3">
        <f>(Calculations!B1/AD352)</f>
        <v>1.21489521173757</v>
      </c>
      <c r="AF352" s="3"/>
      <c r="AG352" s="3">
        <v>1</v>
      </c>
      <c r="AH352" s="3" t="str">
        <f>VLOOKUP(AG352,WikiFormats!$A$3:$B$999,2,0)</f>
        <v>Story</v>
      </c>
      <c r="AI352" s="3" t="s">
        <v>645</v>
      </c>
    </row>
    <row r="353" spans="1:35" s="8" customFormat="1" x14ac:dyDescent="0.55000000000000004">
      <c r="A353" s="3">
        <v>351</v>
      </c>
      <c r="B353" s="3">
        <v>1</v>
      </c>
      <c r="C353" s="3" t="str">
        <f>VLOOKUP(B353,Eras!$A$3:$B$999,2,0)</f>
        <v>Classic</v>
      </c>
      <c r="D353" s="3">
        <v>1</v>
      </c>
      <c r="E353" s="3" t="str">
        <f>VLOOKUP(D353,EpisodeFormats!$A$3:$B$999,2,0)</f>
        <v>Series</v>
      </c>
      <c r="F353" s="3">
        <v>3</v>
      </c>
      <c r="G353" s="3" t="str">
        <f>VLOOKUP(F353,Doctors!$A$3:$B$999,2,0)</f>
        <v>Jon Pertwee</v>
      </c>
      <c r="H353" s="3">
        <v>10</v>
      </c>
      <c r="I353" s="3">
        <v>1</v>
      </c>
      <c r="J353" s="3" t="str">
        <f>VLOOKUP(I353,SeasonFormats!$A$3:$B$999,2,0)</f>
        <v>Season</v>
      </c>
      <c r="K353" s="3">
        <v>69</v>
      </c>
      <c r="L353" s="3">
        <v>5</v>
      </c>
      <c r="M353" s="3" t="s">
        <v>424</v>
      </c>
      <c r="N353" s="3">
        <v>2</v>
      </c>
      <c r="O353" s="3" t="s">
        <v>374</v>
      </c>
      <c r="P353" s="3">
        <v>22</v>
      </c>
      <c r="Q353" s="7" t="d">
        <v>1973-05-26</v>
      </c>
      <c r="R353" s="3">
        <v>26</v>
      </c>
      <c r="S353" s="3"/>
      <c r="T353" s="4" t="s">
        <v>1168</v>
      </c>
      <c r="U353" s="3" t="str" cm="1">
        <f t="array" ref="U353">_xlfn.TEXTJOIN(",",TRUE,_xlfn.XLOOKUP(_xlfn.FILTERXML("&lt;t&gt;&lt;s&gt;" &amp; SUBSTITUTE(T353,",","&lt;/s&gt;&lt;s&gt;") &amp; "&lt;/s&gt;&lt;/t&gt;", "//s"),Writers!$A$3:$A$999,Writers!$B$3:$B$999,""))</f>
        <v>Robert Sloman</v>
      </c>
      <c r="V353" s="3"/>
      <c r="W353" s="3" t="str">
        <f>IF(V353="","",_xlfn.XLOOKUP(V353,Writers!$A$3:$A$999,Writers!$B$3:$B$999,""))</f>
        <v/>
      </c>
      <c r="X353" s="3">
        <v>7.2</v>
      </c>
      <c r="Y353" s="3"/>
      <c r="Z353" s="3"/>
      <c r="AA353" s="3">
        <f t="shared" si="15"/>
        <v>8.75</v>
      </c>
      <c r="AB353" s="3" t="str">
        <f t="shared" si="16"/>
        <v/>
      </c>
      <c r="AC353" s="3" t="str">
        <f t="shared" si="17"/>
        <v/>
      </c>
      <c r="AD353" s="3">
        <f>VLOOKUP(YEAR(Q353),Populations!$A$3:$B$999,2,0)</f>
        <v>56222900</v>
      </c>
      <c r="AE353" s="3">
        <f>(Calculations!B1/AD353)</f>
        <v>1.21489521173757</v>
      </c>
      <c r="AF353" s="3"/>
      <c r="AG353" s="3">
        <v>1</v>
      </c>
      <c r="AH353" s="3" t="str">
        <f>VLOOKUP(AG353,WikiFormats!$A$3:$B$999,2,0)</f>
        <v>Story</v>
      </c>
      <c r="AI353" s="3" t="s">
        <v>645</v>
      </c>
    </row>
    <row r="354" spans="1:35" s="8" customFormat="1" x14ac:dyDescent="0.55000000000000004">
      <c r="A354" s="3">
        <v>352</v>
      </c>
      <c r="B354" s="3">
        <v>1</v>
      </c>
      <c r="C354" s="3" t="str">
        <f>VLOOKUP(B354,Eras!$A$3:$B$999,2,0)</f>
        <v>Classic</v>
      </c>
      <c r="D354" s="3">
        <v>1</v>
      </c>
      <c r="E354" s="3" t="str">
        <f>VLOOKUP(D354,EpisodeFormats!$A$3:$B$999,2,0)</f>
        <v>Series</v>
      </c>
      <c r="F354" s="3">
        <v>3</v>
      </c>
      <c r="G354" s="3" t="str">
        <f>VLOOKUP(F354,Doctors!$A$3:$B$999,2,0)</f>
        <v>Jon Pertwee</v>
      </c>
      <c r="H354" s="3">
        <v>10</v>
      </c>
      <c r="I354" s="3">
        <v>1</v>
      </c>
      <c r="J354" s="3" t="str">
        <f>VLOOKUP(I354,SeasonFormats!$A$3:$B$999,2,0)</f>
        <v>Season</v>
      </c>
      <c r="K354" s="3">
        <v>69</v>
      </c>
      <c r="L354" s="3">
        <v>5</v>
      </c>
      <c r="M354" s="3" t="s">
        <v>424</v>
      </c>
      <c r="N354" s="3">
        <v>3</v>
      </c>
      <c r="O354" s="3" t="s">
        <v>375</v>
      </c>
      <c r="P354" s="3">
        <v>23</v>
      </c>
      <c r="Q354" s="7" t="d">
        <v>1973-06-02</v>
      </c>
      <c r="R354" s="3">
        <v>25</v>
      </c>
      <c r="S354" s="3"/>
      <c r="T354" s="4" t="s">
        <v>1168</v>
      </c>
      <c r="U354" s="3" t="str" cm="1">
        <f t="array" ref="U354">_xlfn.TEXTJOIN(",",TRUE,_xlfn.XLOOKUP(_xlfn.FILTERXML("&lt;t&gt;&lt;s&gt;" &amp; SUBSTITUTE(T354,",","&lt;/s&gt;&lt;s&gt;") &amp; "&lt;/s&gt;&lt;/t&gt;", "//s"),Writers!$A$3:$A$999,Writers!$B$3:$B$999,""))</f>
        <v>Robert Sloman</v>
      </c>
      <c r="V354" s="3"/>
      <c r="W354" s="3" t="str">
        <f>IF(V354="","",_xlfn.XLOOKUP(V354,Writers!$A$3:$A$999,Writers!$B$3:$B$999,""))</f>
        <v/>
      </c>
      <c r="X354" s="3">
        <v>7.8</v>
      </c>
      <c r="Y354" s="3"/>
      <c r="Z354" s="3"/>
      <c r="AA354" s="3">
        <f t="shared" si="15"/>
        <v>9.48</v>
      </c>
      <c r="AB354" s="3" t="str">
        <f t="shared" si="16"/>
        <v/>
      </c>
      <c r="AC354" s="3" t="str">
        <f t="shared" si="17"/>
        <v/>
      </c>
      <c r="AD354" s="3">
        <f>VLOOKUP(YEAR(Q354),Populations!$A$3:$B$999,2,0)</f>
        <v>56222900</v>
      </c>
      <c r="AE354" s="3">
        <f>(Calculations!B1/AD354)</f>
        <v>1.21489521173757</v>
      </c>
      <c r="AF354" s="3"/>
      <c r="AG354" s="3">
        <v>1</v>
      </c>
      <c r="AH354" s="3" t="str">
        <f>VLOOKUP(AG354,WikiFormats!$A$3:$B$999,2,0)</f>
        <v>Story</v>
      </c>
      <c r="AI354" s="3" t="s">
        <v>645</v>
      </c>
    </row>
    <row r="355" spans="1:35" s="8" customFormat="1" x14ac:dyDescent="0.55000000000000004">
      <c r="A355" s="3">
        <v>353</v>
      </c>
      <c r="B355" s="3">
        <v>1</v>
      </c>
      <c r="C355" s="3" t="str">
        <f>VLOOKUP(B355,Eras!$A$3:$B$999,2,0)</f>
        <v>Classic</v>
      </c>
      <c r="D355" s="3">
        <v>1</v>
      </c>
      <c r="E355" s="3" t="str">
        <f>VLOOKUP(D355,EpisodeFormats!$A$3:$B$999,2,0)</f>
        <v>Series</v>
      </c>
      <c r="F355" s="3">
        <v>3</v>
      </c>
      <c r="G355" s="3" t="str">
        <f>VLOOKUP(F355,Doctors!$A$3:$B$999,2,0)</f>
        <v>Jon Pertwee</v>
      </c>
      <c r="H355" s="3">
        <v>10</v>
      </c>
      <c r="I355" s="3">
        <v>1</v>
      </c>
      <c r="J355" s="3" t="str">
        <f>VLOOKUP(I355,SeasonFormats!$A$3:$B$999,2,0)</f>
        <v>Season</v>
      </c>
      <c r="K355" s="3">
        <v>69</v>
      </c>
      <c r="L355" s="3">
        <v>5</v>
      </c>
      <c r="M355" s="3" t="s">
        <v>424</v>
      </c>
      <c r="N355" s="3">
        <v>4</v>
      </c>
      <c r="O355" s="3" t="s">
        <v>376</v>
      </c>
      <c r="P355" s="3">
        <v>24</v>
      </c>
      <c r="Q355" s="7" t="d">
        <v>1973-06-09</v>
      </c>
      <c r="R355" s="3">
        <v>26</v>
      </c>
      <c r="S355" s="3"/>
      <c r="T355" s="4" t="s">
        <v>1168</v>
      </c>
      <c r="U355" s="3" t="str" cm="1">
        <f t="array" ref="U355">_xlfn.TEXTJOIN(",",TRUE,_xlfn.XLOOKUP(_xlfn.FILTERXML("&lt;t&gt;&lt;s&gt;" &amp; SUBSTITUTE(T355,",","&lt;/s&gt;&lt;s&gt;") &amp; "&lt;/s&gt;&lt;/t&gt;", "//s"),Writers!$A$3:$A$999,Writers!$B$3:$B$999,""))</f>
        <v>Robert Sloman</v>
      </c>
      <c r="V355" s="3"/>
      <c r="W355" s="3" t="str">
        <f>IF(V355="","",_xlfn.XLOOKUP(V355,Writers!$A$3:$A$999,Writers!$B$3:$B$999,""))</f>
        <v/>
      </c>
      <c r="X355" s="3">
        <v>6.8</v>
      </c>
      <c r="Y355" s="3"/>
      <c r="Z355" s="3"/>
      <c r="AA355" s="3">
        <f t="shared" si="15"/>
        <v>8.26</v>
      </c>
      <c r="AB355" s="3" t="str">
        <f t="shared" si="16"/>
        <v/>
      </c>
      <c r="AC355" s="3" t="str">
        <f t="shared" si="17"/>
        <v/>
      </c>
      <c r="AD355" s="3">
        <f>VLOOKUP(YEAR(Q355),Populations!$A$3:$B$999,2,0)</f>
        <v>56222900</v>
      </c>
      <c r="AE355" s="3">
        <f>(Calculations!B1/AD355)</f>
        <v>1.21489521173757</v>
      </c>
      <c r="AF355" s="3"/>
      <c r="AG355" s="3">
        <v>1</v>
      </c>
      <c r="AH355" s="3" t="str">
        <f>VLOOKUP(AG355,WikiFormats!$A$3:$B$999,2,0)</f>
        <v>Story</v>
      </c>
      <c r="AI355" s="3" t="s">
        <v>645</v>
      </c>
    </row>
    <row r="356" spans="1:35" s="8" customFormat="1" x14ac:dyDescent="0.55000000000000004">
      <c r="A356" s="3">
        <v>354</v>
      </c>
      <c r="B356" s="3">
        <v>1</v>
      </c>
      <c r="C356" s="3" t="str">
        <f>VLOOKUP(B356,Eras!$A$3:$B$999,2,0)</f>
        <v>Classic</v>
      </c>
      <c r="D356" s="3">
        <v>1</v>
      </c>
      <c r="E356" s="3" t="str">
        <f>VLOOKUP(D356,EpisodeFormats!$A$3:$B$999,2,0)</f>
        <v>Series</v>
      </c>
      <c r="F356" s="3">
        <v>3</v>
      </c>
      <c r="G356" s="3" t="str">
        <f>VLOOKUP(F356,Doctors!$A$3:$B$999,2,0)</f>
        <v>Jon Pertwee</v>
      </c>
      <c r="H356" s="3">
        <v>10</v>
      </c>
      <c r="I356" s="3">
        <v>1</v>
      </c>
      <c r="J356" s="3" t="str">
        <f>VLOOKUP(I356,SeasonFormats!$A$3:$B$999,2,0)</f>
        <v>Season</v>
      </c>
      <c r="K356" s="3">
        <v>69</v>
      </c>
      <c r="L356" s="3">
        <v>5</v>
      </c>
      <c r="M356" s="3" t="s">
        <v>424</v>
      </c>
      <c r="N356" s="3">
        <v>5</v>
      </c>
      <c r="O356" s="3" t="s">
        <v>377</v>
      </c>
      <c r="P356" s="3">
        <v>25</v>
      </c>
      <c r="Q356" s="7" t="d">
        <v>1973-06-16</v>
      </c>
      <c r="R356" s="3">
        <v>25</v>
      </c>
      <c r="S356" s="3"/>
      <c r="T356" s="4" t="s">
        <v>1168</v>
      </c>
      <c r="U356" s="3" t="str" cm="1">
        <f t="array" ref="U356">_xlfn.TEXTJOIN(",",TRUE,_xlfn.XLOOKUP(_xlfn.FILTERXML("&lt;t&gt;&lt;s&gt;" &amp; SUBSTITUTE(T356,",","&lt;/s&gt;&lt;s&gt;") &amp; "&lt;/s&gt;&lt;/t&gt;", "//s"),Writers!$A$3:$A$999,Writers!$B$3:$B$999,""))</f>
        <v>Robert Sloman</v>
      </c>
      <c r="V356" s="3"/>
      <c r="W356" s="3" t="str">
        <f>IF(V356="","",_xlfn.XLOOKUP(V356,Writers!$A$3:$A$999,Writers!$B$3:$B$999,""))</f>
        <v/>
      </c>
      <c r="X356" s="3">
        <v>8.3000000000000007</v>
      </c>
      <c r="Y356" s="3"/>
      <c r="Z356" s="3"/>
      <c r="AA356" s="3">
        <f t="shared" si="15"/>
        <v>10.08</v>
      </c>
      <c r="AB356" s="3" t="str">
        <f t="shared" si="16"/>
        <v/>
      </c>
      <c r="AC356" s="3" t="str">
        <f t="shared" si="17"/>
        <v/>
      </c>
      <c r="AD356" s="3">
        <f>VLOOKUP(YEAR(Q356),Populations!$A$3:$B$999,2,0)</f>
        <v>56222900</v>
      </c>
      <c r="AE356" s="3">
        <f>(Calculations!B1/AD356)</f>
        <v>1.21489521173757</v>
      </c>
      <c r="AF356" s="3"/>
      <c r="AG356" s="3">
        <v>1</v>
      </c>
      <c r="AH356" s="3" t="str">
        <f>VLOOKUP(AG356,WikiFormats!$A$3:$B$999,2,0)</f>
        <v>Story</v>
      </c>
      <c r="AI356" s="3" t="s">
        <v>645</v>
      </c>
    </row>
    <row r="357" spans="1:35" s="8" customFormat="1" x14ac:dyDescent="0.55000000000000004">
      <c r="A357" s="3">
        <v>355</v>
      </c>
      <c r="B357" s="3">
        <v>1</v>
      </c>
      <c r="C357" s="3" t="str">
        <f>VLOOKUP(B357,Eras!$A$3:$B$999,2,0)</f>
        <v>Classic</v>
      </c>
      <c r="D357" s="3">
        <v>1</v>
      </c>
      <c r="E357" s="3" t="str">
        <f>VLOOKUP(D357,EpisodeFormats!$A$3:$B$999,2,0)</f>
        <v>Series</v>
      </c>
      <c r="F357" s="3">
        <v>3</v>
      </c>
      <c r="G357" s="3" t="str">
        <f>VLOOKUP(F357,Doctors!$A$3:$B$999,2,0)</f>
        <v>Jon Pertwee</v>
      </c>
      <c r="H357" s="3">
        <v>10</v>
      </c>
      <c r="I357" s="3">
        <v>1</v>
      </c>
      <c r="J357" s="3" t="str">
        <f>VLOOKUP(I357,SeasonFormats!$A$3:$B$999,2,0)</f>
        <v>Season</v>
      </c>
      <c r="K357" s="3">
        <v>69</v>
      </c>
      <c r="L357" s="3">
        <v>5</v>
      </c>
      <c r="M357" s="3" t="s">
        <v>424</v>
      </c>
      <c r="N357" s="3">
        <v>6</v>
      </c>
      <c r="O357" s="3" t="s">
        <v>378</v>
      </c>
      <c r="P357" s="3">
        <v>26</v>
      </c>
      <c r="Q357" s="7" t="d">
        <v>1973-06-23</v>
      </c>
      <c r="R357" s="3">
        <v>26</v>
      </c>
      <c r="S357" s="3"/>
      <c r="T357" s="4" t="s">
        <v>1168</v>
      </c>
      <c r="U357" s="3" t="str" cm="1">
        <f t="array" ref="U357">_xlfn.TEXTJOIN(",",TRUE,_xlfn.XLOOKUP(_xlfn.FILTERXML("&lt;t&gt;&lt;s&gt;" &amp; SUBSTITUTE(T357,",","&lt;/s&gt;&lt;s&gt;") &amp; "&lt;/s&gt;&lt;/t&gt;", "//s"),Writers!$A$3:$A$999,Writers!$B$3:$B$999,""))</f>
        <v>Robert Sloman</v>
      </c>
      <c r="V357" s="3"/>
      <c r="W357" s="3" t="str">
        <f>IF(V357="","",_xlfn.XLOOKUP(V357,Writers!$A$3:$A$999,Writers!$B$3:$B$999,""))</f>
        <v/>
      </c>
      <c r="X357" s="3">
        <v>7</v>
      </c>
      <c r="Y357" s="3"/>
      <c r="Z357" s="3"/>
      <c r="AA357" s="3">
        <f t="shared" si="15"/>
        <v>8.5</v>
      </c>
      <c r="AB357" s="3" t="str">
        <f t="shared" si="16"/>
        <v/>
      </c>
      <c r="AC357" s="3" t="str">
        <f t="shared" si="17"/>
        <v/>
      </c>
      <c r="AD357" s="3">
        <f>VLOOKUP(YEAR(Q357),Populations!$A$3:$B$999,2,0)</f>
        <v>56222900</v>
      </c>
      <c r="AE357" s="3">
        <f>(Calculations!B1/AD357)</f>
        <v>1.21489521173757</v>
      </c>
      <c r="AF357" s="3"/>
      <c r="AG357" s="3">
        <v>1</v>
      </c>
      <c r="AH357" s="3" t="str">
        <f>VLOOKUP(AG357,WikiFormats!$A$3:$B$999,2,0)</f>
        <v>Story</v>
      </c>
      <c r="AI357" s="3" t="s">
        <v>645</v>
      </c>
    </row>
    <row r="358" spans="1:35" s="2" customFormat="1" x14ac:dyDescent="0.55000000000000004">
      <c r="A358">
        <v>356</v>
      </c>
      <c r="B358">
        <v>1</v>
      </c>
      <c r="C358" t="str">
        <f>VLOOKUP(B358,Eras!$A$3:$B$999,2,0)</f>
        <v>Classic</v>
      </c>
      <c r="D358">
        <v>1</v>
      </c>
      <c r="E358" t="str">
        <f>VLOOKUP(D358,EpisodeFormats!$A$3:$B$999,2,0)</f>
        <v>Series</v>
      </c>
      <c r="F358">
        <v>3</v>
      </c>
      <c r="G358" t="str">
        <f>VLOOKUP(F358,Doctors!$A$3:$B$999,2,0)</f>
        <v>Jon Pertwee</v>
      </c>
      <c r="H358">
        <v>11</v>
      </c>
      <c r="I358">
        <v>1</v>
      </c>
      <c r="J358" t="str">
        <f>VLOOKUP(I358,SeasonFormats!$A$3:$B$999,2,0)</f>
        <v>Season</v>
      </c>
      <c r="K358">
        <v>70</v>
      </c>
      <c r="L358">
        <v>1</v>
      </c>
      <c r="M358" t="s">
        <v>425</v>
      </c>
      <c r="N358">
        <v>1</v>
      </c>
      <c r="O358" t="s">
        <v>9</v>
      </c>
      <c r="P358">
        <v>1</v>
      </c>
      <c r="Q358" s="6" t="d">
        <v>1973-12-15</v>
      </c>
      <c r="R358">
        <v>24</v>
      </c>
      <c r="S358"/>
      <c r="T358" s="15" t="s">
        <v>1122</v>
      </c>
      <c r="U358" t="str" cm="1">
        <f t="array" ref="U358">_xlfn.TEXTJOIN(",",TRUE,_xlfn.XLOOKUP(_xlfn.FILTERXML("&lt;t&gt;&lt;s&gt;" &amp; SUBSTITUTE(T358,",","&lt;/s&gt;&lt;s&gt;") &amp; "&lt;/s&gt;&lt;/t&gt;", "//s"),Writers!$A$3:$A$999,Writers!$B$3:$B$999,""))</f>
        <v>Robert Holmes</v>
      </c>
      <c r="V358"/>
      <c r="W358" t="str">
        <f>IF(V358="","",_xlfn.XLOOKUP(V358,Writers!$A$3:$A$999,Writers!$B$3:$B$999,""))</f>
        <v/>
      </c>
      <c r="X358">
        <v>8.6999999999999993</v>
      </c>
      <c r="Y358"/>
      <c r="Z358"/>
      <c r="AA358">
        <f t="shared" si="15"/>
        <v>10.57</v>
      </c>
      <c r="AB358" t="str">
        <f t="shared" si="16"/>
        <v/>
      </c>
      <c r="AC358" t="str">
        <f t="shared" si="17"/>
        <v/>
      </c>
      <c r="AD358">
        <f>VLOOKUP(YEAR(Q358),Populations!$A$3:$B$999,2,0)</f>
        <v>56222900</v>
      </c>
      <c r="AE358">
        <f>(Calculations!B1/AD358)</f>
        <v>1.21489521173757</v>
      </c>
      <c r="AF358"/>
      <c r="AG358">
        <v>1</v>
      </c>
      <c r="AH358" t="str">
        <f>VLOOKUP(AG358,WikiFormats!$A$3:$B$999,2,0)</f>
        <v>Story</v>
      </c>
      <c r="AI358" t="s">
        <v>646</v>
      </c>
    </row>
    <row r="359" spans="1:35" s="2" customFormat="1" x14ac:dyDescent="0.55000000000000004">
      <c r="A359">
        <v>357</v>
      </c>
      <c r="B359">
        <v>1</v>
      </c>
      <c r="C359" t="str">
        <f>VLOOKUP(B359,Eras!$A$3:$B$999,2,0)</f>
        <v>Classic</v>
      </c>
      <c r="D359">
        <v>1</v>
      </c>
      <c r="E359" t="str">
        <f>VLOOKUP(D359,EpisodeFormats!$A$3:$B$999,2,0)</f>
        <v>Series</v>
      </c>
      <c r="F359">
        <v>3</v>
      </c>
      <c r="G359" t="str">
        <f>VLOOKUP(F359,Doctors!$A$3:$B$999,2,0)</f>
        <v>Jon Pertwee</v>
      </c>
      <c r="H359">
        <v>11</v>
      </c>
      <c r="I359">
        <v>1</v>
      </c>
      <c r="J359" t="str">
        <f>VLOOKUP(I359,SeasonFormats!$A$3:$B$999,2,0)</f>
        <v>Season</v>
      </c>
      <c r="K359">
        <v>70</v>
      </c>
      <c r="L359">
        <v>1</v>
      </c>
      <c r="M359" t="s">
        <v>425</v>
      </c>
      <c r="N359">
        <v>2</v>
      </c>
      <c r="O359" t="s">
        <v>10</v>
      </c>
      <c r="P359">
        <v>2</v>
      </c>
      <c r="Q359" s="6" t="d">
        <v>1973-12-22</v>
      </c>
      <c r="R359">
        <v>24</v>
      </c>
      <c r="S359"/>
      <c r="T359" s="15" t="s">
        <v>1122</v>
      </c>
      <c r="U359" t="str" cm="1">
        <f t="array" ref="U359">_xlfn.TEXTJOIN(",",TRUE,_xlfn.XLOOKUP(_xlfn.FILTERXML("&lt;t&gt;&lt;s&gt;" &amp; SUBSTITUTE(T359,",","&lt;/s&gt;&lt;s&gt;") &amp; "&lt;/s&gt;&lt;/t&gt;", "//s"),Writers!$A$3:$A$999,Writers!$B$3:$B$999,""))</f>
        <v>Robert Holmes</v>
      </c>
      <c r="V359"/>
      <c r="W359" t="str">
        <f>IF(V359="","",_xlfn.XLOOKUP(V359,Writers!$A$3:$A$999,Writers!$B$3:$B$999,""))</f>
        <v/>
      </c>
      <c r="X359">
        <v>7</v>
      </c>
      <c r="Y359"/>
      <c r="Z359"/>
      <c r="AA359">
        <f t="shared" si="15"/>
        <v>8.5</v>
      </c>
      <c r="AB359" t="str">
        <f t="shared" si="16"/>
        <v/>
      </c>
      <c r="AC359" t="str">
        <f t="shared" si="17"/>
        <v/>
      </c>
      <c r="AD359">
        <f>VLOOKUP(YEAR(Q359),Populations!$A$3:$B$999,2,0)</f>
        <v>56222900</v>
      </c>
      <c r="AE359">
        <f>(Calculations!B1/AD359)</f>
        <v>1.21489521173757</v>
      </c>
      <c r="AF359"/>
      <c r="AG359">
        <v>1</v>
      </c>
      <c r="AH359" t="str">
        <f>VLOOKUP(AG359,WikiFormats!$A$3:$B$999,2,0)</f>
        <v>Story</v>
      </c>
      <c r="AI359" t="s">
        <v>646</v>
      </c>
    </row>
    <row r="360" spans="1:35" s="2" customFormat="1" x14ac:dyDescent="0.55000000000000004">
      <c r="A360">
        <v>358</v>
      </c>
      <c r="B360">
        <v>1</v>
      </c>
      <c r="C360" t="str">
        <f>VLOOKUP(B360,Eras!$A$3:$B$999,2,0)</f>
        <v>Classic</v>
      </c>
      <c r="D360">
        <v>1</v>
      </c>
      <c r="E360" t="str">
        <f>VLOOKUP(D360,EpisodeFormats!$A$3:$B$999,2,0)</f>
        <v>Series</v>
      </c>
      <c r="F360">
        <v>3</v>
      </c>
      <c r="G360" t="str">
        <f>VLOOKUP(F360,Doctors!$A$3:$B$999,2,0)</f>
        <v>Jon Pertwee</v>
      </c>
      <c r="H360">
        <v>11</v>
      </c>
      <c r="I360">
        <v>1</v>
      </c>
      <c r="J360" t="str">
        <f>VLOOKUP(I360,SeasonFormats!$A$3:$B$999,2,0)</f>
        <v>Season</v>
      </c>
      <c r="K360">
        <v>70</v>
      </c>
      <c r="L360">
        <v>1</v>
      </c>
      <c r="M360" t="s">
        <v>425</v>
      </c>
      <c r="N360">
        <v>3</v>
      </c>
      <c r="O360" t="s">
        <v>11</v>
      </c>
      <c r="P360">
        <v>3</v>
      </c>
      <c r="Q360" s="6" t="d">
        <v>1973-12-29</v>
      </c>
      <c r="R360">
        <v>24</v>
      </c>
      <c r="S360"/>
      <c r="T360" s="15" t="s">
        <v>1122</v>
      </c>
      <c r="U360" t="str" cm="1">
        <f t="array" ref="U360">_xlfn.TEXTJOIN(",",TRUE,_xlfn.XLOOKUP(_xlfn.FILTERXML("&lt;t&gt;&lt;s&gt;" &amp; SUBSTITUTE(T360,",","&lt;/s&gt;&lt;s&gt;") &amp; "&lt;/s&gt;&lt;/t&gt;", "//s"),Writers!$A$3:$A$999,Writers!$B$3:$B$999,""))</f>
        <v>Robert Holmes</v>
      </c>
      <c r="V360"/>
      <c r="W360" t="str">
        <f>IF(V360="","",_xlfn.XLOOKUP(V360,Writers!$A$3:$A$999,Writers!$B$3:$B$999,""))</f>
        <v/>
      </c>
      <c r="X360">
        <v>6.6</v>
      </c>
      <c r="Y360"/>
      <c r="Z360"/>
      <c r="AA360">
        <f t="shared" si="15"/>
        <v>8.02</v>
      </c>
      <c r="AB360" t="str">
        <f t="shared" si="16"/>
        <v/>
      </c>
      <c r="AC360" t="str">
        <f t="shared" si="17"/>
        <v/>
      </c>
      <c r="AD360">
        <f>VLOOKUP(YEAR(Q360),Populations!$A$3:$B$999,2,0)</f>
        <v>56222900</v>
      </c>
      <c r="AE360">
        <f>(Calculations!B1/AD360)</f>
        <v>1.21489521173757</v>
      </c>
      <c r="AF360"/>
      <c r="AG360">
        <v>1</v>
      </c>
      <c r="AH360" t="str">
        <f>VLOOKUP(AG360,WikiFormats!$A$3:$B$999,2,0)</f>
        <v>Story</v>
      </c>
      <c r="AI360" t="s">
        <v>646</v>
      </c>
    </row>
    <row r="361" spans="1:35" s="2" customFormat="1" x14ac:dyDescent="0.55000000000000004">
      <c r="A361">
        <v>359</v>
      </c>
      <c r="B361">
        <v>1</v>
      </c>
      <c r="C361" t="str">
        <f>VLOOKUP(B361,Eras!$A$3:$B$999,2,0)</f>
        <v>Classic</v>
      </c>
      <c r="D361">
        <v>1</v>
      </c>
      <c r="E361" t="str">
        <f>VLOOKUP(D361,EpisodeFormats!$A$3:$B$999,2,0)</f>
        <v>Series</v>
      </c>
      <c r="F361">
        <v>3</v>
      </c>
      <c r="G361" t="str">
        <f>VLOOKUP(F361,Doctors!$A$3:$B$999,2,0)</f>
        <v>Jon Pertwee</v>
      </c>
      <c r="H361">
        <v>11</v>
      </c>
      <c r="I361">
        <v>1</v>
      </c>
      <c r="J361" t="str">
        <f>VLOOKUP(I361,SeasonFormats!$A$3:$B$999,2,0)</f>
        <v>Season</v>
      </c>
      <c r="K361">
        <v>70</v>
      </c>
      <c r="L361">
        <v>1</v>
      </c>
      <c r="M361" t="s">
        <v>425</v>
      </c>
      <c r="N361">
        <v>4</v>
      </c>
      <c r="O361" t="s">
        <v>12</v>
      </c>
      <c r="P361">
        <v>4</v>
      </c>
      <c r="Q361" s="6" t="d">
        <v>1974-01-05</v>
      </c>
      <c r="R361">
        <v>25</v>
      </c>
      <c r="S361"/>
      <c r="T361" s="15" t="s">
        <v>1122</v>
      </c>
      <c r="U361" t="str" cm="1">
        <f t="array" ref="U361">_xlfn.TEXTJOIN(",",TRUE,_xlfn.XLOOKUP(_xlfn.FILTERXML("&lt;t&gt;&lt;s&gt;" &amp; SUBSTITUTE(T361,",","&lt;/s&gt;&lt;s&gt;") &amp; "&lt;/s&gt;&lt;/t&gt;", "//s"),Writers!$A$3:$A$999,Writers!$B$3:$B$999,""))</f>
        <v>Robert Holmes</v>
      </c>
      <c r="V361"/>
      <c r="W361" t="str">
        <f>IF(V361="","",_xlfn.XLOOKUP(V361,Writers!$A$3:$A$999,Writers!$B$3:$B$999,""))</f>
        <v/>
      </c>
      <c r="X361">
        <v>10.6</v>
      </c>
      <c r="Y361"/>
      <c r="Z361"/>
      <c r="AA361">
        <f t="shared" si="15"/>
        <v>12.87</v>
      </c>
      <c r="AB361" t="str">
        <f t="shared" si="16"/>
        <v/>
      </c>
      <c r="AC361" t="str">
        <f t="shared" si="17"/>
        <v/>
      </c>
      <c r="AD361">
        <f>VLOOKUP(YEAR(Q361),Populations!$A$3:$B$999,2,0)</f>
        <v>56235600</v>
      </c>
      <c r="AE361">
        <f>(Calculations!B1/AD361)</f>
        <v>1.21462084515858</v>
      </c>
      <c r="AF361"/>
      <c r="AG361">
        <v>1</v>
      </c>
      <c r="AH361" t="str">
        <f>VLOOKUP(AG361,WikiFormats!$A$3:$B$999,2,0)</f>
        <v>Story</v>
      </c>
      <c r="AI361" t="s">
        <v>646</v>
      </c>
    </row>
    <row r="362" spans="1:35" s="8" customFormat="1" x14ac:dyDescent="0.55000000000000004">
      <c r="A362" s="3">
        <v>360</v>
      </c>
      <c r="B362" s="3">
        <v>1</v>
      </c>
      <c r="C362" s="3" t="str">
        <f>VLOOKUP(B362,Eras!$A$3:$B$999,2,0)</f>
        <v>Classic</v>
      </c>
      <c r="D362" s="3">
        <v>1</v>
      </c>
      <c r="E362" s="3" t="str">
        <f>VLOOKUP(D362,EpisodeFormats!$A$3:$B$999,2,0)</f>
        <v>Series</v>
      </c>
      <c r="F362" s="3">
        <v>3</v>
      </c>
      <c r="G362" s="3" t="str">
        <f>VLOOKUP(F362,Doctors!$A$3:$B$999,2,0)</f>
        <v>Jon Pertwee</v>
      </c>
      <c r="H362" s="3">
        <v>11</v>
      </c>
      <c r="I362" s="3">
        <v>1</v>
      </c>
      <c r="J362" s="3" t="str">
        <f>VLOOKUP(I362,SeasonFormats!$A$3:$B$999,2,0)</f>
        <v>Season</v>
      </c>
      <c r="K362" s="3">
        <v>71</v>
      </c>
      <c r="L362" s="3">
        <v>2</v>
      </c>
      <c r="M362" s="3" t="s">
        <v>426</v>
      </c>
      <c r="N362" s="3">
        <v>1</v>
      </c>
      <c r="O362" s="3" t="s">
        <v>9</v>
      </c>
      <c r="P362" s="3">
        <v>5</v>
      </c>
      <c r="Q362" s="7" t="d">
        <v>1974-01-12</v>
      </c>
      <c r="R362" s="3">
        <v>26</v>
      </c>
      <c r="S362" s="3"/>
      <c r="T362" s="4" t="s">
        <v>1123</v>
      </c>
      <c r="U362" s="3" t="str" cm="1">
        <f t="array" ref="U362">_xlfn.TEXTJOIN(",",TRUE,_xlfn.XLOOKUP(_xlfn.FILTERXML("&lt;t&gt;&lt;s&gt;" &amp; SUBSTITUTE(T362,",","&lt;/s&gt;&lt;s&gt;") &amp; "&lt;/s&gt;&lt;/t&gt;", "//s"),Writers!$A$3:$A$999,Writers!$B$3:$B$999,""))</f>
        <v>Malcolm Hulke</v>
      </c>
      <c r="V362" s="3"/>
      <c r="W362" s="3" t="str">
        <f>IF(V362="","",_xlfn.XLOOKUP(V362,Writers!$A$3:$A$999,Writers!$B$3:$B$999,""))</f>
        <v/>
      </c>
      <c r="X362" s="3">
        <v>11</v>
      </c>
      <c r="Y362" s="3"/>
      <c r="Z362" s="3"/>
      <c r="AA362" s="3">
        <f t="shared" si="15"/>
        <v>13.36</v>
      </c>
      <c r="AB362" s="3" t="str">
        <f t="shared" si="16"/>
        <v/>
      </c>
      <c r="AC362" s="3" t="str">
        <f t="shared" si="17"/>
        <v/>
      </c>
      <c r="AD362" s="3">
        <f>VLOOKUP(YEAR(Q362),Populations!$A$3:$B$999,2,0)</f>
        <v>56235600</v>
      </c>
      <c r="AE362" s="3">
        <f>(Calculations!B1/AD362)</f>
        <v>1.21462084515858</v>
      </c>
      <c r="AF362" s="3"/>
      <c r="AG362" s="3">
        <v>1</v>
      </c>
      <c r="AH362" s="3" t="str">
        <f>VLOOKUP(AG362,WikiFormats!$A$3:$B$999,2,0)</f>
        <v>Story</v>
      </c>
      <c r="AI362" s="3" t="s">
        <v>647</v>
      </c>
    </row>
    <row r="363" spans="1:35" s="8" customFormat="1" x14ac:dyDescent="0.55000000000000004">
      <c r="A363" s="3">
        <v>361</v>
      </c>
      <c r="B363" s="3">
        <v>1</v>
      </c>
      <c r="C363" s="3" t="str">
        <f>VLOOKUP(B363,Eras!$A$3:$B$999,2,0)</f>
        <v>Classic</v>
      </c>
      <c r="D363" s="3">
        <v>1</v>
      </c>
      <c r="E363" s="3" t="str">
        <f>VLOOKUP(D363,EpisodeFormats!$A$3:$B$999,2,0)</f>
        <v>Series</v>
      </c>
      <c r="F363" s="3">
        <v>3</v>
      </c>
      <c r="G363" s="3" t="str">
        <f>VLOOKUP(F363,Doctors!$A$3:$B$999,2,0)</f>
        <v>Jon Pertwee</v>
      </c>
      <c r="H363" s="3">
        <v>11</v>
      </c>
      <c r="I363" s="3">
        <v>1</v>
      </c>
      <c r="J363" s="3" t="str">
        <f>VLOOKUP(I363,SeasonFormats!$A$3:$B$999,2,0)</f>
        <v>Season</v>
      </c>
      <c r="K363" s="3">
        <v>71</v>
      </c>
      <c r="L363" s="3">
        <v>2</v>
      </c>
      <c r="M363" s="3" t="s">
        <v>426</v>
      </c>
      <c r="N363" s="3">
        <v>2</v>
      </c>
      <c r="O363" s="3" t="s">
        <v>10</v>
      </c>
      <c r="P363" s="3">
        <v>6</v>
      </c>
      <c r="Q363" s="7" t="d">
        <v>1974-01-19</v>
      </c>
      <c r="R363" s="3">
        <v>25</v>
      </c>
      <c r="S363" s="3"/>
      <c r="T363" s="4" t="s">
        <v>1123</v>
      </c>
      <c r="U363" s="3" t="str" cm="1">
        <f t="array" ref="U363">_xlfn.TEXTJOIN(",",TRUE,_xlfn.XLOOKUP(_xlfn.FILTERXML("&lt;t&gt;&lt;s&gt;" &amp; SUBSTITUTE(T363,",","&lt;/s&gt;&lt;s&gt;") &amp; "&lt;/s&gt;&lt;/t&gt;", "//s"),Writers!$A$3:$A$999,Writers!$B$3:$B$999,""))</f>
        <v>Malcolm Hulke</v>
      </c>
      <c r="V363" s="3"/>
      <c r="W363" s="3" t="str">
        <f>IF(V363="","",_xlfn.XLOOKUP(V363,Writers!$A$3:$A$999,Writers!$B$3:$B$999,""))</f>
        <v/>
      </c>
      <c r="X363" s="3">
        <v>10.1</v>
      </c>
      <c r="Y363" s="3"/>
      <c r="Z363" s="3"/>
      <c r="AA363" s="3">
        <f t="shared" si="15"/>
        <v>12.27</v>
      </c>
      <c r="AB363" s="3" t="str">
        <f t="shared" si="16"/>
        <v/>
      </c>
      <c r="AC363" s="3" t="str">
        <f t="shared" si="17"/>
        <v/>
      </c>
      <c r="AD363" s="3">
        <f>VLOOKUP(YEAR(Q363),Populations!$A$3:$B$999,2,0)</f>
        <v>56235600</v>
      </c>
      <c r="AE363" s="3">
        <f>(Calculations!B1/AD363)</f>
        <v>1.21462084515858</v>
      </c>
      <c r="AF363" s="3"/>
      <c r="AG363" s="3">
        <v>1</v>
      </c>
      <c r="AH363" s="3" t="str">
        <f>VLOOKUP(AG363,WikiFormats!$A$3:$B$999,2,0)</f>
        <v>Story</v>
      </c>
      <c r="AI363" s="3" t="s">
        <v>647</v>
      </c>
    </row>
    <row r="364" spans="1:35" s="8" customFormat="1" x14ac:dyDescent="0.55000000000000004">
      <c r="A364" s="3">
        <v>362</v>
      </c>
      <c r="B364" s="3">
        <v>1</v>
      </c>
      <c r="C364" s="3" t="str">
        <f>VLOOKUP(B364,Eras!$A$3:$B$999,2,0)</f>
        <v>Classic</v>
      </c>
      <c r="D364" s="3">
        <v>1</v>
      </c>
      <c r="E364" s="3" t="str">
        <f>VLOOKUP(D364,EpisodeFormats!$A$3:$B$999,2,0)</f>
        <v>Series</v>
      </c>
      <c r="F364" s="3">
        <v>3</v>
      </c>
      <c r="G364" s="3" t="str">
        <f>VLOOKUP(F364,Doctors!$A$3:$B$999,2,0)</f>
        <v>Jon Pertwee</v>
      </c>
      <c r="H364" s="3">
        <v>11</v>
      </c>
      <c r="I364" s="3">
        <v>1</v>
      </c>
      <c r="J364" s="3" t="str">
        <f>VLOOKUP(I364,SeasonFormats!$A$3:$B$999,2,0)</f>
        <v>Season</v>
      </c>
      <c r="K364" s="3">
        <v>71</v>
      </c>
      <c r="L364" s="3">
        <v>2</v>
      </c>
      <c r="M364" s="3" t="s">
        <v>426</v>
      </c>
      <c r="N364" s="3">
        <v>3</v>
      </c>
      <c r="O364" s="3" t="s">
        <v>11</v>
      </c>
      <c r="P364" s="3">
        <v>7</v>
      </c>
      <c r="Q364" s="7" t="d">
        <v>1974-01-26</v>
      </c>
      <c r="R364" s="3">
        <v>23</v>
      </c>
      <c r="S364" s="3"/>
      <c r="T364" s="4" t="s">
        <v>1123</v>
      </c>
      <c r="U364" s="3" t="str" cm="1">
        <f t="array" ref="U364">_xlfn.TEXTJOIN(",",TRUE,_xlfn.XLOOKUP(_xlfn.FILTERXML("&lt;t&gt;&lt;s&gt;" &amp; SUBSTITUTE(T364,",","&lt;/s&gt;&lt;s&gt;") &amp; "&lt;/s&gt;&lt;/t&gt;", "//s"),Writers!$A$3:$A$999,Writers!$B$3:$B$999,""))</f>
        <v>Malcolm Hulke</v>
      </c>
      <c r="V364" s="3"/>
      <c r="W364" s="3" t="str">
        <f>IF(V364="","",_xlfn.XLOOKUP(V364,Writers!$A$3:$A$999,Writers!$B$3:$B$999,""))</f>
        <v/>
      </c>
      <c r="X364" s="3">
        <v>11</v>
      </c>
      <c r="Y364" s="3"/>
      <c r="Z364" s="3"/>
      <c r="AA364" s="3">
        <f t="shared" si="15"/>
        <v>13.36</v>
      </c>
      <c r="AB364" s="3" t="str">
        <f t="shared" si="16"/>
        <v/>
      </c>
      <c r="AC364" s="3" t="str">
        <f t="shared" si="17"/>
        <v/>
      </c>
      <c r="AD364" s="3">
        <f>VLOOKUP(YEAR(Q364),Populations!$A$3:$B$999,2,0)</f>
        <v>56235600</v>
      </c>
      <c r="AE364" s="3">
        <f>(Calculations!B1/AD364)</f>
        <v>1.21462084515858</v>
      </c>
      <c r="AF364" s="3"/>
      <c r="AG364" s="3">
        <v>1</v>
      </c>
      <c r="AH364" s="3" t="str">
        <f>VLOOKUP(AG364,WikiFormats!$A$3:$B$999,2,0)</f>
        <v>Story</v>
      </c>
      <c r="AI364" s="3" t="s">
        <v>647</v>
      </c>
    </row>
    <row r="365" spans="1:35" s="8" customFormat="1" x14ac:dyDescent="0.55000000000000004">
      <c r="A365" s="3">
        <v>363</v>
      </c>
      <c r="B365" s="3">
        <v>1</v>
      </c>
      <c r="C365" s="3" t="str">
        <f>VLOOKUP(B365,Eras!$A$3:$B$999,2,0)</f>
        <v>Classic</v>
      </c>
      <c r="D365" s="3">
        <v>1</v>
      </c>
      <c r="E365" s="3" t="str">
        <f>VLOOKUP(D365,EpisodeFormats!$A$3:$B$999,2,0)</f>
        <v>Series</v>
      </c>
      <c r="F365" s="3">
        <v>3</v>
      </c>
      <c r="G365" s="3" t="str">
        <f>VLOOKUP(F365,Doctors!$A$3:$B$999,2,0)</f>
        <v>Jon Pertwee</v>
      </c>
      <c r="H365" s="3">
        <v>11</v>
      </c>
      <c r="I365" s="3">
        <v>1</v>
      </c>
      <c r="J365" s="3" t="str">
        <f>VLOOKUP(I365,SeasonFormats!$A$3:$B$999,2,0)</f>
        <v>Season</v>
      </c>
      <c r="K365" s="3">
        <v>71</v>
      </c>
      <c r="L365" s="3">
        <v>2</v>
      </c>
      <c r="M365" s="3" t="s">
        <v>426</v>
      </c>
      <c r="N365" s="3">
        <v>4</v>
      </c>
      <c r="O365" s="3" t="s">
        <v>12</v>
      </c>
      <c r="P365" s="3">
        <v>8</v>
      </c>
      <c r="Q365" s="7" t="d">
        <v>1974-02-02</v>
      </c>
      <c r="R365" s="3">
        <v>24</v>
      </c>
      <c r="S365" s="3"/>
      <c r="T365" s="4" t="s">
        <v>1123</v>
      </c>
      <c r="U365" s="3" t="str" cm="1">
        <f t="array" ref="U365">_xlfn.TEXTJOIN(",",TRUE,_xlfn.XLOOKUP(_xlfn.FILTERXML("&lt;t&gt;&lt;s&gt;" &amp; SUBSTITUTE(T365,",","&lt;/s&gt;&lt;s&gt;") &amp; "&lt;/s&gt;&lt;/t&gt;", "//s"),Writers!$A$3:$A$999,Writers!$B$3:$B$999,""))</f>
        <v>Malcolm Hulke</v>
      </c>
      <c r="V365" s="3"/>
      <c r="W365" s="3" t="str">
        <f>IF(V365="","",_xlfn.XLOOKUP(V365,Writers!$A$3:$A$999,Writers!$B$3:$B$999,""))</f>
        <v/>
      </c>
      <c r="X365" s="3">
        <v>9</v>
      </c>
      <c r="Y365" s="3"/>
      <c r="Z365" s="3"/>
      <c r="AA365" s="3">
        <f t="shared" si="15"/>
        <v>10.93</v>
      </c>
      <c r="AB365" s="3" t="str">
        <f t="shared" si="16"/>
        <v/>
      </c>
      <c r="AC365" s="3" t="str">
        <f t="shared" si="17"/>
        <v/>
      </c>
      <c r="AD365" s="3">
        <f>VLOOKUP(YEAR(Q365),Populations!$A$3:$B$999,2,0)</f>
        <v>56235600</v>
      </c>
      <c r="AE365" s="3">
        <f>(Calculations!B1/AD365)</f>
        <v>1.21462084515858</v>
      </c>
      <c r="AF365" s="3"/>
      <c r="AG365" s="3">
        <v>1</v>
      </c>
      <c r="AH365" s="3" t="str">
        <f>VLOOKUP(AG365,WikiFormats!$A$3:$B$999,2,0)</f>
        <v>Story</v>
      </c>
      <c r="AI365" s="3" t="s">
        <v>647</v>
      </c>
    </row>
    <row r="366" spans="1:35" s="8" customFormat="1" x14ac:dyDescent="0.55000000000000004">
      <c r="A366" s="3">
        <v>364</v>
      </c>
      <c r="B366" s="3">
        <v>1</v>
      </c>
      <c r="C366" s="3" t="str">
        <f>VLOOKUP(B366,Eras!$A$3:$B$999,2,0)</f>
        <v>Classic</v>
      </c>
      <c r="D366" s="3">
        <v>1</v>
      </c>
      <c r="E366" s="3" t="str">
        <f>VLOOKUP(D366,EpisodeFormats!$A$3:$B$999,2,0)</f>
        <v>Series</v>
      </c>
      <c r="F366" s="3">
        <v>3</v>
      </c>
      <c r="G366" s="3" t="str">
        <f>VLOOKUP(F366,Doctors!$A$3:$B$999,2,0)</f>
        <v>Jon Pertwee</v>
      </c>
      <c r="H366" s="3">
        <v>11</v>
      </c>
      <c r="I366" s="3">
        <v>1</v>
      </c>
      <c r="J366" s="3" t="str">
        <f>VLOOKUP(I366,SeasonFormats!$A$3:$B$999,2,0)</f>
        <v>Season</v>
      </c>
      <c r="K366" s="3">
        <v>71</v>
      </c>
      <c r="L366" s="3">
        <v>2</v>
      </c>
      <c r="M366" s="3" t="s">
        <v>426</v>
      </c>
      <c r="N366" s="3">
        <v>5</v>
      </c>
      <c r="O366" s="3" t="s">
        <v>430</v>
      </c>
      <c r="P366" s="3">
        <v>9</v>
      </c>
      <c r="Q366" s="7" t="d">
        <v>1974-02-09</v>
      </c>
      <c r="R366" s="3">
        <v>25</v>
      </c>
      <c r="S366" s="3"/>
      <c r="T366" s="4" t="s">
        <v>1123</v>
      </c>
      <c r="U366" s="3" t="str" cm="1">
        <f t="array" ref="U366">_xlfn.TEXTJOIN(",",TRUE,_xlfn.XLOOKUP(_xlfn.FILTERXML("&lt;t&gt;&lt;s&gt;" &amp; SUBSTITUTE(T366,",","&lt;/s&gt;&lt;s&gt;") &amp; "&lt;/s&gt;&lt;/t&gt;", "//s"),Writers!$A$3:$A$999,Writers!$B$3:$B$999,""))</f>
        <v>Malcolm Hulke</v>
      </c>
      <c r="V366" s="3"/>
      <c r="W366" s="3" t="str">
        <f>IF(V366="","",_xlfn.XLOOKUP(V366,Writers!$A$3:$A$999,Writers!$B$3:$B$999,""))</f>
        <v/>
      </c>
      <c r="X366" s="3">
        <v>9</v>
      </c>
      <c r="Y366" s="3"/>
      <c r="Z366" s="3"/>
      <c r="AA366" s="3">
        <f t="shared" si="15"/>
        <v>10.93</v>
      </c>
      <c r="AB366" s="3" t="str">
        <f t="shared" si="16"/>
        <v/>
      </c>
      <c r="AC366" s="3" t="str">
        <f t="shared" si="17"/>
        <v/>
      </c>
      <c r="AD366" s="3">
        <f>VLOOKUP(YEAR(Q366),Populations!$A$3:$B$999,2,0)</f>
        <v>56235600</v>
      </c>
      <c r="AE366" s="3">
        <f>(Calculations!B1/AD366)</f>
        <v>1.21462084515858</v>
      </c>
      <c r="AF366" s="3"/>
      <c r="AG366" s="3">
        <v>1</v>
      </c>
      <c r="AH366" s="3" t="str">
        <f>VLOOKUP(AG366,WikiFormats!$A$3:$B$999,2,0)</f>
        <v>Story</v>
      </c>
      <c r="AI366" s="3" t="s">
        <v>647</v>
      </c>
    </row>
    <row r="367" spans="1:35" s="8" customFormat="1" x14ac:dyDescent="0.55000000000000004">
      <c r="A367" s="3">
        <v>365</v>
      </c>
      <c r="B367" s="3">
        <v>1</v>
      </c>
      <c r="C367" s="3" t="str">
        <f>VLOOKUP(B367,Eras!$A$3:$B$999,2,0)</f>
        <v>Classic</v>
      </c>
      <c r="D367" s="3">
        <v>1</v>
      </c>
      <c r="E367" s="3" t="str">
        <f>VLOOKUP(D367,EpisodeFormats!$A$3:$B$999,2,0)</f>
        <v>Series</v>
      </c>
      <c r="F367" s="3">
        <v>3</v>
      </c>
      <c r="G367" s="3" t="str">
        <f>VLOOKUP(F367,Doctors!$A$3:$B$999,2,0)</f>
        <v>Jon Pertwee</v>
      </c>
      <c r="H367" s="3">
        <v>11</v>
      </c>
      <c r="I367" s="3">
        <v>1</v>
      </c>
      <c r="J367" s="3" t="str">
        <f>VLOOKUP(I367,SeasonFormats!$A$3:$B$999,2,0)</f>
        <v>Season</v>
      </c>
      <c r="K367" s="3">
        <v>71</v>
      </c>
      <c r="L367" s="3">
        <v>2</v>
      </c>
      <c r="M367" s="3" t="s">
        <v>426</v>
      </c>
      <c r="N367" s="3">
        <v>6</v>
      </c>
      <c r="O367" s="3" t="s">
        <v>431</v>
      </c>
      <c r="P367" s="3">
        <v>10</v>
      </c>
      <c r="Q367" s="7" t="d">
        <v>1974-02-16</v>
      </c>
      <c r="R367" s="3">
        <v>26</v>
      </c>
      <c r="S367" s="3"/>
      <c r="T367" s="4" t="s">
        <v>1123</v>
      </c>
      <c r="U367" s="3" t="str" cm="1">
        <f t="array" ref="U367">_xlfn.TEXTJOIN(",",TRUE,_xlfn.XLOOKUP(_xlfn.FILTERXML("&lt;t&gt;&lt;s&gt;" &amp; SUBSTITUTE(T367,",","&lt;/s&gt;&lt;s&gt;") &amp; "&lt;/s&gt;&lt;/t&gt;", "//s"),Writers!$A$3:$A$999,Writers!$B$3:$B$999,""))</f>
        <v>Malcolm Hulke</v>
      </c>
      <c r="V367" s="3"/>
      <c r="W367" s="3" t="str">
        <f>IF(V367="","",_xlfn.XLOOKUP(V367,Writers!$A$3:$A$999,Writers!$B$3:$B$999,""))</f>
        <v/>
      </c>
      <c r="X367" s="3">
        <v>7.5</v>
      </c>
      <c r="Y367" s="3"/>
      <c r="Z367" s="3"/>
      <c r="AA367" s="3">
        <f t="shared" si="15"/>
        <v>9.11</v>
      </c>
      <c r="AB367" s="3" t="str">
        <f t="shared" si="16"/>
        <v/>
      </c>
      <c r="AC367" s="3" t="str">
        <f t="shared" si="17"/>
        <v/>
      </c>
      <c r="AD367" s="3">
        <f>VLOOKUP(YEAR(Q367),Populations!$A$3:$B$999,2,0)</f>
        <v>56235600</v>
      </c>
      <c r="AE367" s="3">
        <f>(Calculations!B1/AD367)</f>
        <v>1.21462084515858</v>
      </c>
      <c r="AF367" s="3"/>
      <c r="AG367" s="3">
        <v>1</v>
      </c>
      <c r="AH367" s="3" t="str">
        <f>VLOOKUP(AG367,WikiFormats!$A$3:$B$999,2,0)</f>
        <v>Story</v>
      </c>
      <c r="AI367" s="3" t="s">
        <v>647</v>
      </c>
    </row>
    <row r="368" spans="1:35" s="2" customFormat="1" x14ac:dyDescent="0.55000000000000004">
      <c r="A368">
        <v>366</v>
      </c>
      <c r="B368">
        <v>1</v>
      </c>
      <c r="C368" t="str">
        <f>VLOOKUP(B368,Eras!$A$3:$B$999,2,0)</f>
        <v>Classic</v>
      </c>
      <c r="D368">
        <v>1</v>
      </c>
      <c r="E368" t="str">
        <f>VLOOKUP(D368,EpisodeFormats!$A$3:$B$999,2,0)</f>
        <v>Series</v>
      </c>
      <c r="F368">
        <v>3</v>
      </c>
      <c r="G368" t="str">
        <f>VLOOKUP(F368,Doctors!$A$3:$B$999,2,0)</f>
        <v>Jon Pertwee</v>
      </c>
      <c r="H368">
        <v>11</v>
      </c>
      <c r="I368">
        <v>1</v>
      </c>
      <c r="J368" t="str">
        <f>VLOOKUP(I368,SeasonFormats!$A$3:$B$999,2,0)</f>
        <v>Season</v>
      </c>
      <c r="K368">
        <v>72</v>
      </c>
      <c r="L368">
        <v>3</v>
      </c>
      <c r="M368" t="s">
        <v>427</v>
      </c>
      <c r="N368">
        <v>1</v>
      </c>
      <c r="O368" t="s">
        <v>9</v>
      </c>
      <c r="P368">
        <v>11</v>
      </c>
      <c r="Q368" s="6" t="d">
        <v>1974-02-23</v>
      </c>
      <c r="R368">
        <v>25</v>
      </c>
      <c r="S368"/>
      <c r="T368" s="15" t="s">
        <v>1132</v>
      </c>
      <c r="U368" t="str" cm="1">
        <f t="array" ref="U368">_xlfn.TEXTJOIN(",",TRUE,_xlfn.XLOOKUP(_xlfn.FILTERXML("&lt;t&gt;&lt;s&gt;" &amp; SUBSTITUTE(T368,",","&lt;/s&gt;&lt;s&gt;") &amp; "&lt;/s&gt;&lt;/t&gt;", "//s"),Writers!$A$3:$A$999,Writers!$B$3:$B$999,""))</f>
        <v>Terry Nation</v>
      </c>
      <c r="V368"/>
      <c r="W368" t="str">
        <f>IF(V368="","",_xlfn.XLOOKUP(V368,Writers!$A$3:$A$999,Writers!$B$3:$B$999,""))</f>
        <v/>
      </c>
      <c r="X368">
        <v>8.1</v>
      </c>
      <c r="Y368"/>
      <c r="Z368"/>
      <c r="AA368">
        <f t="shared" si="15"/>
        <v>9.84</v>
      </c>
      <c r="AB368" t="str">
        <f t="shared" si="16"/>
        <v/>
      </c>
      <c r="AC368" t="str">
        <f t="shared" si="17"/>
        <v/>
      </c>
      <c r="AD368">
        <f>VLOOKUP(YEAR(Q368),Populations!$A$3:$B$999,2,0)</f>
        <v>56235600</v>
      </c>
      <c r="AE368">
        <f>(Calculations!B1/AD368)</f>
        <v>1.21462084515858</v>
      </c>
      <c r="AF368"/>
      <c r="AG368">
        <v>1</v>
      </c>
      <c r="AH368" t="str">
        <f>VLOOKUP(AG368,WikiFormats!$A$3:$B$999,2,0)</f>
        <v>Story</v>
      </c>
      <c r="AI368" t="s">
        <v>648</v>
      </c>
    </row>
    <row r="369" spans="1:35" s="2" customFormat="1" x14ac:dyDescent="0.55000000000000004">
      <c r="A369">
        <v>367</v>
      </c>
      <c r="B369">
        <v>1</v>
      </c>
      <c r="C369" t="str">
        <f>VLOOKUP(B369,Eras!$A$3:$B$999,2,0)</f>
        <v>Classic</v>
      </c>
      <c r="D369">
        <v>1</v>
      </c>
      <c r="E369" t="str">
        <f>VLOOKUP(D369,EpisodeFormats!$A$3:$B$999,2,0)</f>
        <v>Series</v>
      </c>
      <c r="F369">
        <v>3</v>
      </c>
      <c r="G369" t="str">
        <f>VLOOKUP(F369,Doctors!$A$3:$B$999,2,0)</f>
        <v>Jon Pertwee</v>
      </c>
      <c r="H369">
        <v>11</v>
      </c>
      <c r="I369">
        <v>1</v>
      </c>
      <c r="J369" t="str">
        <f>VLOOKUP(I369,SeasonFormats!$A$3:$B$999,2,0)</f>
        <v>Season</v>
      </c>
      <c r="K369">
        <v>72</v>
      </c>
      <c r="L369">
        <v>3</v>
      </c>
      <c r="M369" t="s">
        <v>427</v>
      </c>
      <c r="N369">
        <v>2</v>
      </c>
      <c r="O369" t="s">
        <v>10</v>
      </c>
      <c r="P369">
        <v>12</v>
      </c>
      <c r="Q369" s="6" t="d">
        <v>1974-03-02</v>
      </c>
      <c r="R369">
        <v>24</v>
      </c>
      <c r="S369"/>
      <c r="T369" s="15" t="s">
        <v>1132</v>
      </c>
      <c r="U369" t="str" cm="1">
        <f t="array" ref="U369">_xlfn.TEXTJOIN(",",TRUE,_xlfn.XLOOKUP(_xlfn.FILTERXML("&lt;t&gt;&lt;s&gt;" &amp; SUBSTITUTE(T369,",","&lt;/s&gt;&lt;s&gt;") &amp; "&lt;/s&gt;&lt;/t&gt;", "//s"),Writers!$A$3:$A$999,Writers!$B$3:$B$999,""))</f>
        <v>Terry Nation</v>
      </c>
      <c r="V369"/>
      <c r="W369" t="str">
        <f>IF(V369="","",_xlfn.XLOOKUP(V369,Writers!$A$3:$A$999,Writers!$B$3:$B$999,""))</f>
        <v/>
      </c>
      <c r="X369">
        <v>9.5</v>
      </c>
      <c r="Y369"/>
      <c r="Z369"/>
      <c r="AA369">
        <f t="shared" si="15"/>
        <v>11.54</v>
      </c>
      <c r="AB369" t="str">
        <f t="shared" si="16"/>
        <v/>
      </c>
      <c r="AC369" t="str">
        <f t="shared" si="17"/>
        <v/>
      </c>
      <c r="AD369">
        <f>VLOOKUP(YEAR(Q369),Populations!$A$3:$B$999,2,0)</f>
        <v>56235600</v>
      </c>
      <c r="AE369">
        <f>(Calculations!B1/AD369)</f>
        <v>1.21462084515858</v>
      </c>
      <c r="AF369"/>
      <c r="AG369">
        <v>1</v>
      </c>
      <c r="AH369" t="str">
        <f>VLOOKUP(AG369,WikiFormats!$A$3:$B$999,2,0)</f>
        <v>Story</v>
      </c>
      <c r="AI369" t="s">
        <v>648</v>
      </c>
    </row>
    <row r="370" spans="1:35" s="2" customFormat="1" x14ac:dyDescent="0.55000000000000004">
      <c r="A370">
        <v>368</v>
      </c>
      <c r="B370">
        <v>1</v>
      </c>
      <c r="C370" t="str">
        <f>VLOOKUP(B370,Eras!$A$3:$B$999,2,0)</f>
        <v>Classic</v>
      </c>
      <c r="D370">
        <v>1</v>
      </c>
      <c r="E370" t="str">
        <f>VLOOKUP(D370,EpisodeFormats!$A$3:$B$999,2,0)</f>
        <v>Series</v>
      </c>
      <c r="F370">
        <v>3</v>
      </c>
      <c r="G370" t="str">
        <f>VLOOKUP(F370,Doctors!$A$3:$B$999,2,0)</f>
        <v>Jon Pertwee</v>
      </c>
      <c r="H370">
        <v>11</v>
      </c>
      <c r="I370">
        <v>1</v>
      </c>
      <c r="J370" t="str">
        <f>VLOOKUP(I370,SeasonFormats!$A$3:$B$999,2,0)</f>
        <v>Season</v>
      </c>
      <c r="K370">
        <v>72</v>
      </c>
      <c r="L370">
        <v>3</v>
      </c>
      <c r="M370" t="s">
        <v>427</v>
      </c>
      <c r="N370">
        <v>3</v>
      </c>
      <c r="O370" t="s">
        <v>11</v>
      </c>
      <c r="P370">
        <v>13</v>
      </c>
      <c r="Q370" s="6" t="d">
        <v>1974-03-09</v>
      </c>
      <c r="R370">
        <v>24</v>
      </c>
      <c r="S370"/>
      <c r="T370" s="15" t="s">
        <v>1132</v>
      </c>
      <c r="U370" t="str" cm="1">
        <f t="array" ref="U370">_xlfn.TEXTJOIN(",",TRUE,_xlfn.XLOOKUP(_xlfn.FILTERXML("&lt;t&gt;&lt;s&gt;" &amp; SUBSTITUTE(T370,",","&lt;/s&gt;&lt;s&gt;") &amp; "&lt;/s&gt;&lt;/t&gt;", "//s"),Writers!$A$3:$A$999,Writers!$B$3:$B$999,""))</f>
        <v>Terry Nation</v>
      </c>
      <c r="V370"/>
      <c r="W370" t="str">
        <f>IF(V370="","",_xlfn.XLOOKUP(V370,Writers!$A$3:$A$999,Writers!$B$3:$B$999,""))</f>
        <v/>
      </c>
      <c r="X370">
        <v>10.5</v>
      </c>
      <c r="Y370"/>
      <c r="Z370"/>
      <c r="AA370">
        <f t="shared" si="15"/>
        <v>12.75</v>
      </c>
      <c r="AB370" t="str">
        <f t="shared" si="16"/>
        <v/>
      </c>
      <c r="AC370" t="str">
        <f t="shared" si="17"/>
        <v/>
      </c>
      <c r="AD370">
        <f>VLOOKUP(YEAR(Q370),Populations!$A$3:$B$999,2,0)</f>
        <v>56235600</v>
      </c>
      <c r="AE370">
        <f>(Calculations!B1/AD370)</f>
        <v>1.21462084515858</v>
      </c>
      <c r="AF370"/>
      <c r="AG370">
        <v>1</v>
      </c>
      <c r="AH370" t="str">
        <f>VLOOKUP(AG370,WikiFormats!$A$3:$B$999,2,0)</f>
        <v>Story</v>
      </c>
      <c r="AI370" t="s">
        <v>648</v>
      </c>
    </row>
    <row r="371" spans="1:35" s="2" customFormat="1" x14ac:dyDescent="0.55000000000000004">
      <c r="A371">
        <v>369</v>
      </c>
      <c r="B371">
        <v>1</v>
      </c>
      <c r="C371" t="str">
        <f>VLOOKUP(B371,Eras!$A$3:$B$999,2,0)</f>
        <v>Classic</v>
      </c>
      <c r="D371">
        <v>1</v>
      </c>
      <c r="E371" t="str">
        <f>VLOOKUP(D371,EpisodeFormats!$A$3:$B$999,2,0)</f>
        <v>Series</v>
      </c>
      <c r="F371">
        <v>3</v>
      </c>
      <c r="G371" t="str">
        <f>VLOOKUP(F371,Doctors!$A$3:$B$999,2,0)</f>
        <v>Jon Pertwee</v>
      </c>
      <c r="H371">
        <v>11</v>
      </c>
      <c r="I371">
        <v>1</v>
      </c>
      <c r="J371" t="str">
        <f>VLOOKUP(I371,SeasonFormats!$A$3:$B$999,2,0)</f>
        <v>Season</v>
      </c>
      <c r="K371">
        <v>72</v>
      </c>
      <c r="L371">
        <v>3</v>
      </c>
      <c r="M371" t="s">
        <v>427</v>
      </c>
      <c r="N371">
        <v>4</v>
      </c>
      <c r="O371" t="s">
        <v>12</v>
      </c>
      <c r="P371">
        <v>14</v>
      </c>
      <c r="Q371" s="6" t="d">
        <v>1974-03-16</v>
      </c>
      <c r="R371">
        <v>25</v>
      </c>
      <c r="S371"/>
      <c r="T371" s="15" t="s">
        <v>1132</v>
      </c>
      <c r="U371" t="str" cm="1">
        <f t="array" ref="U371">_xlfn.TEXTJOIN(",",TRUE,_xlfn.XLOOKUP(_xlfn.FILTERXML("&lt;t&gt;&lt;s&gt;" &amp; SUBSTITUTE(T371,",","&lt;/s&gt;&lt;s&gt;") &amp; "&lt;/s&gt;&lt;/t&gt;", "//s"),Writers!$A$3:$A$999,Writers!$B$3:$B$999,""))</f>
        <v>Terry Nation</v>
      </c>
      <c r="V371"/>
      <c r="W371" t="str">
        <f>IF(V371="","",_xlfn.XLOOKUP(V371,Writers!$A$3:$A$999,Writers!$B$3:$B$999,""))</f>
        <v/>
      </c>
      <c r="X371">
        <v>9.5</v>
      </c>
      <c r="Y371"/>
      <c r="Z371"/>
      <c r="AA371">
        <f t="shared" si="15"/>
        <v>11.54</v>
      </c>
      <c r="AB371" t="str">
        <f t="shared" si="16"/>
        <v/>
      </c>
      <c r="AC371" t="str">
        <f t="shared" si="17"/>
        <v/>
      </c>
      <c r="AD371">
        <f>VLOOKUP(YEAR(Q371),Populations!$A$3:$B$999,2,0)</f>
        <v>56235600</v>
      </c>
      <c r="AE371">
        <f>(Calculations!B1/AD371)</f>
        <v>1.21462084515858</v>
      </c>
      <c r="AF371"/>
      <c r="AG371">
        <v>1</v>
      </c>
      <c r="AH371" t="str">
        <f>VLOOKUP(AG371,WikiFormats!$A$3:$B$999,2,0)</f>
        <v>Story</v>
      </c>
      <c r="AI371" t="s">
        <v>648</v>
      </c>
    </row>
    <row r="372" spans="1:35" s="8" customFormat="1" x14ac:dyDescent="0.55000000000000004">
      <c r="A372" s="3">
        <v>370</v>
      </c>
      <c r="B372" s="3">
        <v>1</v>
      </c>
      <c r="C372" s="3" t="str">
        <f>VLOOKUP(B372,Eras!$A$3:$B$999,2,0)</f>
        <v>Classic</v>
      </c>
      <c r="D372" s="3">
        <v>1</v>
      </c>
      <c r="E372" s="3" t="str">
        <f>VLOOKUP(D372,EpisodeFormats!$A$3:$B$999,2,0)</f>
        <v>Series</v>
      </c>
      <c r="F372" s="3">
        <v>3</v>
      </c>
      <c r="G372" s="3" t="str">
        <f>VLOOKUP(F372,Doctors!$A$3:$B$999,2,0)</f>
        <v>Jon Pertwee</v>
      </c>
      <c r="H372" s="3">
        <v>11</v>
      </c>
      <c r="I372" s="3">
        <v>1</v>
      </c>
      <c r="J372" s="3" t="str">
        <f>VLOOKUP(I372,SeasonFormats!$A$3:$B$999,2,0)</f>
        <v>Season</v>
      </c>
      <c r="K372" s="3">
        <v>73</v>
      </c>
      <c r="L372" s="3">
        <v>4</v>
      </c>
      <c r="M372" s="3" t="s">
        <v>428</v>
      </c>
      <c r="N372" s="3">
        <v>1</v>
      </c>
      <c r="O372" s="3" t="s">
        <v>9</v>
      </c>
      <c r="P372" s="3">
        <v>15</v>
      </c>
      <c r="Q372" s="7" t="d">
        <v>1974-03-23</v>
      </c>
      <c r="R372" s="3">
        <v>25</v>
      </c>
      <c r="S372" s="3"/>
      <c r="T372" s="4" t="s">
        <v>1106</v>
      </c>
      <c r="U372" s="3" t="str" cm="1">
        <f t="array" ref="U372">_xlfn.TEXTJOIN(",",TRUE,_xlfn.XLOOKUP(_xlfn.FILTERXML("&lt;t&gt;&lt;s&gt;" &amp; SUBSTITUTE(T372,",","&lt;/s&gt;&lt;s&gt;") &amp; "&lt;/s&gt;&lt;/t&gt;", "//s"),Writers!$A$3:$A$999,Writers!$B$3:$B$999,""))</f>
        <v>Brian Hayles</v>
      </c>
      <c r="V372" s="3"/>
      <c r="W372" s="3" t="str">
        <f>IF(V372="","",_xlfn.XLOOKUP(V372,Writers!$A$3:$A$999,Writers!$B$3:$B$999,""))</f>
        <v/>
      </c>
      <c r="X372" s="3">
        <v>9.1999999999999993</v>
      </c>
      <c r="Y372" s="3"/>
      <c r="Z372" s="3"/>
      <c r="AA372" s="3">
        <f t="shared" si="15"/>
        <v>11.17</v>
      </c>
      <c r="AB372" s="3" t="str">
        <f t="shared" si="16"/>
        <v/>
      </c>
      <c r="AC372" s="3" t="str">
        <f t="shared" si="17"/>
        <v/>
      </c>
      <c r="AD372" s="3">
        <f>VLOOKUP(YEAR(Q372),Populations!$A$3:$B$999,2,0)</f>
        <v>56235600</v>
      </c>
      <c r="AE372" s="3">
        <f>(Calculations!B1/AD372)</f>
        <v>1.21462084515858</v>
      </c>
      <c r="AF372" s="3"/>
      <c r="AG372" s="3">
        <v>1</v>
      </c>
      <c r="AH372" s="3" t="str">
        <f>VLOOKUP(AG372,WikiFormats!$A$3:$B$999,2,0)</f>
        <v>Story</v>
      </c>
      <c r="AI372" s="3" t="s">
        <v>649</v>
      </c>
    </row>
    <row r="373" spans="1:35" s="8" customFormat="1" x14ac:dyDescent="0.55000000000000004">
      <c r="A373" s="3">
        <v>371</v>
      </c>
      <c r="B373" s="3">
        <v>1</v>
      </c>
      <c r="C373" s="3" t="str">
        <f>VLOOKUP(B373,Eras!$A$3:$B$999,2,0)</f>
        <v>Classic</v>
      </c>
      <c r="D373" s="3">
        <v>1</v>
      </c>
      <c r="E373" s="3" t="str">
        <f>VLOOKUP(D373,EpisodeFormats!$A$3:$B$999,2,0)</f>
        <v>Series</v>
      </c>
      <c r="F373" s="3">
        <v>3</v>
      </c>
      <c r="G373" s="3" t="str">
        <f>VLOOKUP(F373,Doctors!$A$3:$B$999,2,0)</f>
        <v>Jon Pertwee</v>
      </c>
      <c r="H373" s="3">
        <v>11</v>
      </c>
      <c r="I373" s="3">
        <v>1</v>
      </c>
      <c r="J373" s="3" t="str">
        <f>VLOOKUP(I373,SeasonFormats!$A$3:$B$999,2,0)</f>
        <v>Season</v>
      </c>
      <c r="K373" s="3">
        <v>73</v>
      </c>
      <c r="L373" s="3">
        <v>4</v>
      </c>
      <c r="M373" s="3" t="s">
        <v>428</v>
      </c>
      <c r="N373" s="3">
        <v>2</v>
      </c>
      <c r="O373" s="3" t="s">
        <v>10</v>
      </c>
      <c r="P373" s="3">
        <v>16</v>
      </c>
      <c r="Q373" s="7" t="d">
        <v>1974-03-30</v>
      </c>
      <c r="R373" s="3">
        <v>23</v>
      </c>
      <c r="S373" s="3"/>
      <c r="T373" s="4" t="s">
        <v>1106</v>
      </c>
      <c r="U373" s="3" t="str" cm="1">
        <f t="array" ref="U373">_xlfn.TEXTJOIN(",",TRUE,_xlfn.XLOOKUP(_xlfn.FILTERXML("&lt;t&gt;&lt;s&gt;" &amp; SUBSTITUTE(T373,",","&lt;/s&gt;&lt;s&gt;") &amp; "&lt;/s&gt;&lt;/t&gt;", "//s"),Writers!$A$3:$A$999,Writers!$B$3:$B$999,""))</f>
        <v>Brian Hayles</v>
      </c>
      <c r="V373" s="3"/>
      <c r="W373" s="3" t="str">
        <f>IF(V373="","",_xlfn.XLOOKUP(V373,Writers!$A$3:$A$999,Writers!$B$3:$B$999,""))</f>
        <v/>
      </c>
      <c r="X373" s="3">
        <v>6.8</v>
      </c>
      <c r="Y373" s="3"/>
      <c r="Z373" s="3"/>
      <c r="AA373" s="3">
        <f t="shared" si="15"/>
        <v>8.26</v>
      </c>
      <c r="AB373" s="3" t="str">
        <f t="shared" si="16"/>
        <v/>
      </c>
      <c r="AC373" s="3" t="str">
        <f t="shared" si="17"/>
        <v/>
      </c>
      <c r="AD373" s="3">
        <f>VLOOKUP(YEAR(Q373),Populations!$A$3:$B$999,2,0)</f>
        <v>56235600</v>
      </c>
      <c r="AE373" s="3">
        <f>(Calculations!B1/AD373)</f>
        <v>1.21462084515858</v>
      </c>
      <c r="AF373" s="3"/>
      <c r="AG373" s="3">
        <v>1</v>
      </c>
      <c r="AH373" s="3" t="str">
        <f>VLOOKUP(AG373,WikiFormats!$A$3:$B$999,2,0)</f>
        <v>Story</v>
      </c>
      <c r="AI373" s="3" t="s">
        <v>649</v>
      </c>
    </row>
    <row r="374" spans="1:35" s="8" customFormat="1" x14ac:dyDescent="0.55000000000000004">
      <c r="A374" s="3">
        <v>372</v>
      </c>
      <c r="B374" s="3">
        <v>1</v>
      </c>
      <c r="C374" s="3" t="str">
        <f>VLOOKUP(B374,Eras!$A$3:$B$999,2,0)</f>
        <v>Classic</v>
      </c>
      <c r="D374" s="3">
        <v>1</v>
      </c>
      <c r="E374" s="3" t="str">
        <f>VLOOKUP(D374,EpisodeFormats!$A$3:$B$999,2,0)</f>
        <v>Series</v>
      </c>
      <c r="F374" s="3">
        <v>3</v>
      </c>
      <c r="G374" s="3" t="str">
        <f>VLOOKUP(F374,Doctors!$A$3:$B$999,2,0)</f>
        <v>Jon Pertwee</v>
      </c>
      <c r="H374" s="3">
        <v>11</v>
      </c>
      <c r="I374" s="3">
        <v>1</v>
      </c>
      <c r="J374" s="3" t="str">
        <f>VLOOKUP(I374,SeasonFormats!$A$3:$B$999,2,0)</f>
        <v>Season</v>
      </c>
      <c r="K374" s="3">
        <v>73</v>
      </c>
      <c r="L374" s="3">
        <v>4</v>
      </c>
      <c r="M374" s="3" t="s">
        <v>428</v>
      </c>
      <c r="N374" s="3">
        <v>3</v>
      </c>
      <c r="O374" s="3" t="s">
        <v>11</v>
      </c>
      <c r="P374" s="3">
        <v>17</v>
      </c>
      <c r="Q374" s="7" t="d">
        <v>1974-04-06</v>
      </c>
      <c r="R374" s="3">
        <v>25</v>
      </c>
      <c r="S374" s="3"/>
      <c r="T374" s="4" t="s">
        <v>1106</v>
      </c>
      <c r="U374" s="3" t="str" cm="1">
        <f t="array" ref="U374">_xlfn.TEXTJOIN(",",TRUE,_xlfn.XLOOKUP(_xlfn.FILTERXML("&lt;t&gt;&lt;s&gt;" &amp; SUBSTITUTE(T374,",","&lt;/s&gt;&lt;s&gt;") &amp; "&lt;/s&gt;&lt;/t&gt;", "//s"),Writers!$A$3:$A$999,Writers!$B$3:$B$999,""))</f>
        <v>Brian Hayles</v>
      </c>
      <c r="V374" s="3"/>
      <c r="W374" s="3" t="str">
        <f>IF(V374="","",_xlfn.XLOOKUP(V374,Writers!$A$3:$A$999,Writers!$B$3:$B$999,""))</f>
        <v/>
      </c>
      <c r="X374" s="3">
        <v>7.4</v>
      </c>
      <c r="Y374" s="3"/>
      <c r="Z374" s="3"/>
      <c r="AA374" s="3">
        <f t="shared" si="15"/>
        <v>8.99</v>
      </c>
      <c r="AB374" s="3" t="str">
        <f t="shared" si="16"/>
        <v/>
      </c>
      <c r="AC374" s="3" t="str">
        <f t="shared" si="17"/>
        <v/>
      </c>
      <c r="AD374" s="3">
        <f>VLOOKUP(YEAR(Q374),Populations!$A$3:$B$999,2,0)</f>
        <v>56235600</v>
      </c>
      <c r="AE374" s="3">
        <f>(Calculations!B1/AD374)</f>
        <v>1.21462084515858</v>
      </c>
      <c r="AF374" s="3"/>
      <c r="AG374" s="3">
        <v>1</v>
      </c>
      <c r="AH374" s="3" t="str">
        <f>VLOOKUP(AG374,WikiFormats!$A$3:$B$999,2,0)</f>
        <v>Story</v>
      </c>
      <c r="AI374" s="3" t="s">
        <v>649</v>
      </c>
    </row>
    <row r="375" spans="1:35" s="8" customFormat="1" x14ac:dyDescent="0.55000000000000004">
      <c r="A375" s="3">
        <v>373</v>
      </c>
      <c r="B375" s="3">
        <v>1</v>
      </c>
      <c r="C375" s="3" t="str">
        <f>VLOOKUP(B375,Eras!$A$3:$B$999,2,0)</f>
        <v>Classic</v>
      </c>
      <c r="D375" s="3">
        <v>1</v>
      </c>
      <c r="E375" s="3" t="str">
        <f>VLOOKUP(D375,EpisodeFormats!$A$3:$B$999,2,0)</f>
        <v>Series</v>
      </c>
      <c r="F375" s="3">
        <v>3</v>
      </c>
      <c r="G375" s="3" t="str">
        <f>VLOOKUP(F375,Doctors!$A$3:$B$999,2,0)</f>
        <v>Jon Pertwee</v>
      </c>
      <c r="H375" s="3">
        <v>11</v>
      </c>
      <c r="I375" s="3">
        <v>1</v>
      </c>
      <c r="J375" s="3" t="str">
        <f>VLOOKUP(I375,SeasonFormats!$A$3:$B$999,2,0)</f>
        <v>Season</v>
      </c>
      <c r="K375" s="3">
        <v>73</v>
      </c>
      <c r="L375" s="3">
        <v>4</v>
      </c>
      <c r="M375" s="3" t="s">
        <v>428</v>
      </c>
      <c r="N375" s="3">
        <v>4</v>
      </c>
      <c r="O375" s="3" t="s">
        <v>12</v>
      </c>
      <c r="P375" s="3">
        <v>18</v>
      </c>
      <c r="Q375" s="7" t="d">
        <v>1974-04-13</v>
      </c>
      <c r="R375" s="3">
        <v>25</v>
      </c>
      <c r="S375" s="3"/>
      <c r="T375" s="4" t="s">
        <v>1106</v>
      </c>
      <c r="U375" s="3" t="str" cm="1">
        <f t="array" ref="U375">_xlfn.TEXTJOIN(",",TRUE,_xlfn.XLOOKUP(_xlfn.FILTERXML("&lt;t&gt;&lt;s&gt;" &amp; SUBSTITUTE(T375,",","&lt;/s&gt;&lt;s&gt;") &amp; "&lt;/s&gt;&lt;/t&gt;", "//s"),Writers!$A$3:$A$999,Writers!$B$3:$B$999,""))</f>
        <v>Brian Hayles</v>
      </c>
      <c r="V375" s="3"/>
      <c r="W375" s="3" t="str">
        <f>IF(V375="","",_xlfn.XLOOKUP(V375,Writers!$A$3:$A$999,Writers!$B$3:$B$999,""))</f>
        <v/>
      </c>
      <c r="X375" s="3">
        <v>7.2</v>
      </c>
      <c r="Y375" s="3"/>
      <c r="Z375" s="3"/>
      <c r="AA375" s="3">
        <f t="shared" si="15"/>
        <v>8.75</v>
      </c>
      <c r="AB375" s="3" t="str">
        <f t="shared" si="16"/>
        <v/>
      </c>
      <c r="AC375" s="3" t="str">
        <f t="shared" si="17"/>
        <v/>
      </c>
      <c r="AD375" s="3">
        <f>VLOOKUP(YEAR(Q375),Populations!$A$3:$B$999,2,0)</f>
        <v>56235600</v>
      </c>
      <c r="AE375" s="3">
        <f>(Calculations!B1/AD375)</f>
        <v>1.21462084515858</v>
      </c>
      <c r="AF375" s="3"/>
      <c r="AG375" s="3">
        <v>1</v>
      </c>
      <c r="AH375" s="3" t="str">
        <f>VLOOKUP(AG375,WikiFormats!$A$3:$B$999,2,0)</f>
        <v>Story</v>
      </c>
      <c r="AI375" s="3" t="s">
        <v>649</v>
      </c>
    </row>
    <row r="376" spans="1:35" s="8" customFormat="1" x14ac:dyDescent="0.55000000000000004">
      <c r="A376" s="3">
        <v>374</v>
      </c>
      <c r="B376" s="3">
        <v>1</v>
      </c>
      <c r="C376" s="3" t="str">
        <f>VLOOKUP(B376,Eras!$A$3:$B$999,2,0)</f>
        <v>Classic</v>
      </c>
      <c r="D376" s="3">
        <v>1</v>
      </c>
      <c r="E376" s="3" t="str">
        <f>VLOOKUP(D376,EpisodeFormats!$A$3:$B$999,2,0)</f>
        <v>Series</v>
      </c>
      <c r="F376" s="3">
        <v>3</v>
      </c>
      <c r="G376" s="3" t="str">
        <f>VLOOKUP(F376,Doctors!$A$3:$B$999,2,0)</f>
        <v>Jon Pertwee</v>
      </c>
      <c r="H376" s="3">
        <v>11</v>
      </c>
      <c r="I376" s="3">
        <v>1</v>
      </c>
      <c r="J376" s="3" t="str">
        <f>VLOOKUP(I376,SeasonFormats!$A$3:$B$999,2,0)</f>
        <v>Season</v>
      </c>
      <c r="K376" s="3">
        <v>73</v>
      </c>
      <c r="L376" s="3">
        <v>4</v>
      </c>
      <c r="M376" s="3" t="s">
        <v>428</v>
      </c>
      <c r="N376" s="3">
        <v>5</v>
      </c>
      <c r="O376" s="3" t="s">
        <v>430</v>
      </c>
      <c r="P376" s="3">
        <v>19</v>
      </c>
      <c r="Q376" s="7" t="d">
        <v>1974-04-20</v>
      </c>
      <c r="R376" s="3">
        <v>24</v>
      </c>
      <c r="S376" s="3"/>
      <c r="T376" s="4" t="s">
        <v>1106</v>
      </c>
      <c r="U376" s="3" t="str" cm="1">
        <f t="array" ref="U376">_xlfn.TEXTJOIN(",",TRUE,_xlfn.XLOOKUP(_xlfn.FILTERXML("&lt;t&gt;&lt;s&gt;" &amp; SUBSTITUTE(T376,",","&lt;/s&gt;&lt;s&gt;") &amp; "&lt;/s&gt;&lt;/t&gt;", "//s"),Writers!$A$3:$A$999,Writers!$B$3:$B$999,""))</f>
        <v>Brian Hayles</v>
      </c>
      <c r="V376" s="3"/>
      <c r="W376" s="3" t="str">
        <f>IF(V376="","",_xlfn.XLOOKUP(V376,Writers!$A$3:$A$999,Writers!$B$3:$B$999,""))</f>
        <v/>
      </c>
      <c r="X376" s="3">
        <v>7.5</v>
      </c>
      <c r="Y376" s="3"/>
      <c r="Z376" s="3"/>
      <c r="AA376" s="3">
        <f t="shared" si="15"/>
        <v>9.11</v>
      </c>
      <c r="AB376" s="3" t="str">
        <f t="shared" si="16"/>
        <v/>
      </c>
      <c r="AC376" s="3" t="str">
        <f t="shared" si="17"/>
        <v/>
      </c>
      <c r="AD376" s="3">
        <f>VLOOKUP(YEAR(Q376),Populations!$A$3:$B$999,2,0)</f>
        <v>56235600</v>
      </c>
      <c r="AE376" s="3">
        <f>(Calculations!B1/AD376)</f>
        <v>1.21462084515858</v>
      </c>
      <c r="AF376" s="3"/>
      <c r="AG376" s="3">
        <v>1</v>
      </c>
      <c r="AH376" s="3" t="str">
        <f>VLOOKUP(AG376,WikiFormats!$A$3:$B$999,2,0)</f>
        <v>Story</v>
      </c>
      <c r="AI376" s="3" t="s">
        <v>649</v>
      </c>
    </row>
    <row r="377" spans="1:35" s="8" customFormat="1" x14ac:dyDescent="0.55000000000000004">
      <c r="A377" s="3">
        <v>375</v>
      </c>
      <c r="B377" s="3">
        <v>1</v>
      </c>
      <c r="C377" s="3" t="str">
        <f>VLOOKUP(B377,Eras!$A$3:$B$999,2,0)</f>
        <v>Classic</v>
      </c>
      <c r="D377" s="3">
        <v>1</v>
      </c>
      <c r="E377" s="3" t="str">
        <f>VLOOKUP(D377,EpisodeFormats!$A$3:$B$999,2,0)</f>
        <v>Series</v>
      </c>
      <c r="F377" s="3">
        <v>3</v>
      </c>
      <c r="G377" s="3" t="str">
        <f>VLOOKUP(F377,Doctors!$A$3:$B$999,2,0)</f>
        <v>Jon Pertwee</v>
      </c>
      <c r="H377" s="3">
        <v>11</v>
      </c>
      <c r="I377" s="3">
        <v>1</v>
      </c>
      <c r="J377" s="3" t="str">
        <f>VLOOKUP(I377,SeasonFormats!$A$3:$B$999,2,0)</f>
        <v>Season</v>
      </c>
      <c r="K377" s="3">
        <v>73</v>
      </c>
      <c r="L377" s="3">
        <v>4</v>
      </c>
      <c r="M377" s="3" t="s">
        <v>428</v>
      </c>
      <c r="N377" s="3">
        <v>6</v>
      </c>
      <c r="O377" s="3" t="s">
        <v>431</v>
      </c>
      <c r="P377" s="3">
        <v>20</v>
      </c>
      <c r="Q377" s="7" t="d">
        <v>1974-04-27</v>
      </c>
      <c r="R377" s="3">
        <v>24</v>
      </c>
      <c r="S377" s="3"/>
      <c r="T377" s="4" t="s">
        <v>1106</v>
      </c>
      <c r="U377" s="3" t="str" cm="1">
        <f t="array" ref="U377">_xlfn.TEXTJOIN(",",TRUE,_xlfn.XLOOKUP(_xlfn.FILTERXML("&lt;t&gt;&lt;s&gt;" &amp; SUBSTITUTE(T377,",","&lt;/s&gt;&lt;s&gt;") &amp; "&lt;/s&gt;&lt;/t&gt;", "//s"),Writers!$A$3:$A$999,Writers!$B$3:$B$999,""))</f>
        <v>Brian Hayles</v>
      </c>
      <c r="V377" s="3"/>
      <c r="W377" s="3" t="str">
        <f>IF(V377="","",_xlfn.XLOOKUP(V377,Writers!$A$3:$A$999,Writers!$B$3:$B$999,""))</f>
        <v/>
      </c>
      <c r="X377" s="3">
        <v>8.1</v>
      </c>
      <c r="Y377" s="3"/>
      <c r="Z377" s="3"/>
      <c r="AA377" s="3">
        <f t="shared" si="15"/>
        <v>9.84</v>
      </c>
      <c r="AB377" s="3" t="str">
        <f t="shared" si="16"/>
        <v/>
      </c>
      <c r="AC377" s="3" t="str">
        <f t="shared" si="17"/>
        <v/>
      </c>
      <c r="AD377" s="3">
        <f>VLOOKUP(YEAR(Q377),Populations!$A$3:$B$999,2,0)</f>
        <v>56235600</v>
      </c>
      <c r="AE377" s="3">
        <f>(Calculations!B1/AD377)</f>
        <v>1.21462084515858</v>
      </c>
      <c r="AF377" s="3"/>
      <c r="AG377" s="3">
        <v>1</v>
      </c>
      <c r="AH377" s="3" t="str">
        <f>VLOOKUP(AG377,WikiFormats!$A$3:$B$999,2,0)</f>
        <v>Story</v>
      </c>
      <c r="AI377" s="3" t="s">
        <v>649</v>
      </c>
    </row>
    <row r="378" spans="1:35" s="2" customFormat="1" x14ac:dyDescent="0.55000000000000004">
      <c r="A378">
        <v>376</v>
      </c>
      <c r="B378">
        <v>1</v>
      </c>
      <c r="C378" t="str">
        <f>VLOOKUP(B378,Eras!$A$3:$B$999,2,0)</f>
        <v>Classic</v>
      </c>
      <c r="D378">
        <v>1</v>
      </c>
      <c r="E378" t="str">
        <f>VLOOKUP(D378,EpisodeFormats!$A$3:$B$999,2,0)</f>
        <v>Series</v>
      </c>
      <c r="F378">
        <v>3</v>
      </c>
      <c r="G378" t="str">
        <f>VLOOKUP(F378,Doctors!$A$3:$B$999,2,0)</f>
        <v>Jon Pertwee</v>
      </c>
      <c r="H378">
        <v>11</v>
      </c>
      <c r="I378">
        <v>1</v>
      </c>
      <c r="J378" t="str">
        <f>VLOOKUP(I378,SeasonFormats!$A$3:$B$999,2,0)</f>
        <v>Season</v>
      </c>
      <c r="K378">
        <v>74</v>
      </c>
      <c r="L378">
        <v>5</v>
      </c>
      <c r="M378" t="s">
        <v>429</v>
      </c>
      <c r="N378">
        <v>1</v>
      </c>
      <c r="O378" t="s">
        <v>9</v>
      </c>
      <c r="P378">
        <v>21</v>
      </c>
      <c r="Q378" s="6" t="d">
        <v>1974-05-04</v>
      </c>
      <c r="R378">
        <v>25</v>
      </c>
      <c r="S378"/>
      <c r="T378" s="15" t="s">
        <v>1168</v>
      </c>
      <c r="U378" t="str" cm="1">
        <f t="array" ref="U378">_xlfn.TEXTJOIN(",",TRUE,_xlfn.XLOOKUP(_xlfn.FILTERXML("&lt;t&gt;&lt;s&gt;" &amp; SUBSTITUTE(T378,",","&lt;/s&gt;&lt;s&gt;") &amp; "&lt;/s&gt;&lt;/t&gt;", "//s"),Writers!$A$3:$A$999,Writers!$B$3:$B$999,""))</f>
        <v>Robert Sloman</v>
      </c>
      <c r="V378"/>
      <c r="W378" t="str">
        <f>IF(V378="","",_xlfn.XLOOKUP(V378,Writers!$A$3:$A$999,Writers!$B$3:$B$999,""))</f>
        <v/>
      </c>
      <c r="X378">
        <v>10.1</v>
      </c>
      <c r="Y378"/>
      <c r="Z378"/>
      <c r="AA378">
        <f t="shared" si="15"/>
        <v>12.27</v>
      </c>
      <c r="AB378" t="str">
        <f t="shared" si="16"/>
        <v/>
      </c>
      <c r="AC378" t="str">
        <f t="shared" si="17"/>
        <v/>
      </c>
      <c r="AD378">
        <f>VLOOKUP(YEAR(Q378),Populations!$A$3:$B$999,2,0)</f>
        <v>56235600</v>
      </c>
      <c r="AE378">
        <f>(Calculations!B1/AD378)</f>
        <v>1.21462084515858</v>
      </c>
      <c r="AF378"/>
      <c r="AG378">
        <v>1</v>
      </c>
      <c r="AH378" t="str">
        <f>VLOOKUP(AG378,WikiFormats!$A$3:$B$999,2,0)</f>
        <v>Story</v>
      </c>
      <c r="AI378" t="s">
        <v>650</v>
      </c>
    </row>
    <row r="379" spans="1:35" s="2" customFormat="1" x14ac:dyDescent="0.55000000000000004">
      <c r="A379">
        <v>377</v>
      </c>
      <c r="B379">
        <v>1</v>
      </c>
      <c r="C379" t="str">
        <f>VLOOKUP(B379,Eras!$A$3:$B$999,2,0)</f>
        <v>Classic</v>
      </c>
      <c r="D379">
        <v>1</v>
      </c>
      <c r="E379" t="str">
        <f>VLOOKUP(D379,EpisodeFormats!$A$3:$B$999,2,0)</f>
        <v>Series</v>
      </c>
      <c r="F379">
        <v>3</v>
      </c>
      <c r="G379" t="str">
        <f>VLOOKUP(F379,Doctors!$A$3:$B$999,2,0)</f>
        <v>Jon Pertwee</v>
      </c>
      <c r="H379">
        <v>11</v>
      </c>
      <c r="I379">
        <v>1</v>
      </c>
      <c r="J379" t="str">
        <f>VLOOKUP(I379,SeasonFormats!$A$3:$B$999,2,0)</f>
        <v>Season</v>
      </c>
      <c r="K379">
        <v>74</v>
      </c>
      <c r="L379">
        <v>5</v>
      </c>
      <c r="M379" t="s">
        <v>429</v>
      </c>
      <c r="N379">
        <v>2</v>
      </c>
      <c r="O379" t="s">
        <v>10</v>
      </c>
      <c r="P379">
        <v>22</v>
      </c>
      <c r="Q379" s="6" t="d">
        <v>1974-05-11</v>
      </c>
      <c r="R379">
        <v>25</v>
      </c>
      <c r="S379"/>
      <c r="T379" s="15" t="s">
        <v>1168</v>
      </c>
      <c r="U379" t="str" cm="1">
        <f t="array" ref="U379">_xlfn.TEXTJOIN(",",TRUE,_xlfn.XLOOKUP(_xlfn.FILTERXML("&lt;t&gt;&lt;s&gt;" &amp; SUBSTITUTE(T379,",","&lt;/s&gt;&lt;s&gt;") &amp; "&lt;/s&gt;&lt;/t&gt;", "//s"),Writers!$A$3:$A$999,Writers!$B$3:$B$999,""))</f>
        <v>Robert Sloman</v>
      </c>
      <c r="V379"/>
      <c r="W379" t="str">
        <f>IF(V379="","",_xlfn.XLOOKUP(V379,Writers!$A$3:$A$999,Writers!$B$3:$B$999,""))</f>
        <v/>
      </c>
      <c r="X379">
        <v>8.9</v>
      </c>
      <c r="Y379"/>
      <c r="Z379"/>
      <c r="AA379">
        <f t="shared" si="15"/>
        <v>10.81</v>
      </c>
      <c r="AB379" t="str">
        <f t="shared" si="16"/>
        <v/>
      </c>
      <c r="AC379" t="str">
        <f t="shared" si="17"/>
        <v/>
      </c>
      <c r="AD379">
        <f>VLOOKUP(YEAR(Q379),Populations!$A$3:$B$999,2,0)</f>
        <v>56235600</v>
      </c>
      <c r="AE379">
        <f>(Calculations!B1/AD379)</f>
        <v>1.21462084515858</v>
      </c>
      <c r="AF379"/>
      <c r="AG379">
        <v>1</v>
      </c>
      <c r="AH379" t="str">
        <f>VLOOKUP(AG379,WikiFormats!$A$3:$B$999,2,0)</f>
        <v>Story</v>
      </c>
      <c r="AI379" t="s">
        <v>650</v>
      </c>
    </row>
    <row r="380" spans="1:35" s="2" customFormat="1" x14ac:dyDescent="0.55000000000000004">
      <c r="A380">
        <v>378</v>
      </c>
      <c r="B380">
        <v>1</v>
      </c>
      <c r="C380" t="str">
        <f>VLOOKUP(B380,Eras!$A$3:$B$999,2,0)</f>
        <v>Classic</v>
      </c>
      <c r="D380">
        <v>1</v>
      </c>
      <c r="E380" t="str">
        <f>VLOOKUP(D380,EpisodeFormats!$A$3:$B$999,2,0)</f>
        <v>Series</v>
      </c>
      <c r="F380">
        <v>3</v>
      </c>
      <c r="G380" t="str">
        <f>VLOOKUP(F380,Doctors!$A$3:$B$999,2,0)</f>
        <v>Jon Pertwee</v>
      </c>
      <c r="H380">
        <v>11</v>
      </c>
      <c r="I380">
        <v>1</v>
      </c>
      <c r="J380" t="str">
        <f>VLOOKUP(I380,SeasonFormats!$A$3:$B$999,2,0)</f>
        <v>Season</v>
      </c>
      <c r="K380">
        <v>74</v>
      </c>
      <c r="L380">
        <v>5</v>
      </c>
      <c r="M380" t="s">
        <v>429</v>
      </c>
      <c r="N380">
        <v>3</v>
      </c>
      <c r="O380" t="s">
        <v>11</v>
      </c>
      <c r="P380">
        <v>23</v>
      </c>
      <c r="Q380" s="6" t="d">
        <v>1974-05-18</v>
      </c>
      <c r="R380">
        <v>25</v>
      </c>
      <c r="S380"/>
      <c r="T380" s="15" t="s">
        <v>1168</v>
      </c>
      <c r="U380" t="str" cm="1">
        <f t="array" ref="U380">_xlfn.TEXTJOIN(",",TRUE,_xlfn.XLOOKUP(_xlfn.FILTERXML("&lt;t&gt;&lt;s&gt;" &amp; SUBSTITUTE(T380,",","&lt;/s&gt;&lt;s&gt;") &amp; "&lt;/s&gt;&lt;/t&gt;", "//s"),Writers!$A$3:$A$999,Writers!$B$3:$B$999,""))</f>
        <v>Robert Sloman</v>
      </c>
      <c r="V380"/>
      <c r="W380" t="str">
        <f>IF(V380="","",_xlfn.XLOOKUP(V380,Writers!$A$3:$A$999,Writers!$B$3:$B$999,""))</f>
        <v/>
      </c>
      <c r="X380">
        <v>8.8000000000000007</v>
      </c>
      <c r="Y380"/>
      <c r="Z380"/>
      <c r="AA380">
        <f t="shared" si="15"/>
        <v>10.69</v>
      </c>
      <c r="AB380" t="str">
        <f t="shared" si="16"/>
        <v/>
      </c>
      <c r="AC380" t="str">
        <f t="shared" si="17"/>
        <v/>
      </c>
      <c r="AD380">
        <f>VLOOKUP(YEAR(Q380),Populations!$A$3:$B$999,2,0)</f>
        <v>56235600</v>
      </c>
      <c r="AE380">
        <f>(Calculations!B1/AD380)</f>
        <v>1.21462084515858</v>
      </c>
      <c r="AF380"/>
      <c r="AG380">
        <v>1</v>
      </c>
      <c r="AH380" t="str">
        <f>VLOOKUP(AG380,WikiFormats!$A$3:$B$999,2,0)</f>
        <v>Story</v>
      </c>
      <c r="AI380" t="s">
        <v>650</v>
      </c>
    </row>
    <row r="381" spans="1:35" s="2" customFormat="1" x14ac:dyDescent="0.55000000000000004">
      <c r="A381">
        <v>379</v>
      </c>
      <c r="B381">
        <v>1</v>
      </c>
      <c r="C381" t="str">
        <f>VLOOKUP(B381,Eras!$A$3:$B$999,2,0)</f>
        <v>Classic</v>
      </c>
      <c r="D381">
        <v>1</v>
      </c>
      <c r="E381" t="str">
        <f>VLOOKUP(D381,EpisodeFormats!$A$3:$B$999,2,0)</f>
        <v>Series</v>
      </c>
      <c r="F381">
        <v>3</v>
      </c>
      <c r="G381" t="str">
        <f>VLOOKUP(F381,Doctors!$A$3:$B$999,2,0)</f>
        <v>Jon Pertwee</v>
      </c>
      <c r="H381">
        <v>11</v>
      </c>
      <c r="I381">
        <v>1</v>
      </c>
      <c r="J381" t="str">
        <f>VLOOKUP(I381,SeasonFormats!$A$3:$B$999,2,0)</f>
        <v>Season</v>
      </c>
      <c r="K381">
        <v>74</v>
      </c>
      <c r="L381">
        <v>5</v>
      </c>
      <c r="M381" t="s">
        <v>429</v>
      </c>
      <c r="N381">
        <v>4</v>
      </c>
      <c r="O381" t="s">
        <v>12</v>
      </c>
      <c r="P381">
        <v>24</v>
      </c>
      <c r="Q381" s="6" t="d">
        <v>1974-05-25</v>
      </c>
      <c r="R381">
        <v>24</v>
      </c>
      <c r="S381"/>
      <c r="T381" s="15" t="s">
        <v>1168</v>
      </c>
      <c r="U381" t="str" cm="1">
        <f t="array" ref="U381">_xlfn.TEXTJOIN(",",TRUE,_xlfn.XLOOKUP(_xlfn.FILTERXML("&lt;t&gt;&lt;s&gt;" &amp; SUBSTITUTE(T381,",","&lt;/s&gt;&lt;s&gt;") &amp; "&lt;/s&gt;&lt;/t&gt;", "//s"),Writers!$A$3:$A$999,Writers!$B$3:$B$999,""))</f>
        <v>Robert Sloman</v>
      </c>
      <c r="V381"/>
      <c r="W381" t="str">
        <f>IF(V381="","",_xlfn.XLOOKUP(V381,Writers!$A$3:$A$999,Writers!$B$3:$B$999,""))</f>
        <v/>
      </c>
      <c r="X381">
        <v>8.1999999999999993</v>
      </c>
      <c r="Y381"/>
      <c r="Z381"/>
      <c r="AA381">
        <f t="shared" si="15"/>
        <v>9.9600000000000009</v>
      </c>
      <c r="AB381" t="str">
        <f t="shared" si="16"/>
        <v/>
      </c>
      <c r="AC381" t="str">
        <f t="shared" si="17"/>
        <v/>
      </c>
      <c r="AD381">
        <f>VLOOKUP(YEAR(Q381),Populations!$A$3:$B$999,2,0)</f>
        <v>56235600</v>
      </c>
      <c r="AE381">
        <f>(Calculations!B1/AD381)</f>
        <v>1.21462084515858</v>
      </c>
      <c r="AF381"/>
      <c r="AG381">
        <v>1</v>
      </c>
      <c r="AH381" t="str">
        <f>VLOOKUP(AG381,WikiFormats!$A$3:$B$999,2,0)</f>
        <v>Story</v>
      </c>
      <c r="AI381" t="s">
        <v>650</v>
      </c>
    </row>
    <row r="382" spans="1:35" s="2" customFormat="1" x14ac:dyDescent="0.55000000000000004">
      <c r="A382">
        <v>380</v>
      </c>
      <c r="B382">
        <v>1</v>
      </c>
      <c r="C382" t="str">
        <f>VLOOKUP(B382,Eras!$A$3:$B$999,2,0)</f>
        <v>Classic</v>
      </c>
      <c r="D382">
        <v>1</v>
      </c>
      <c r="E382" t="str">
        <f>VLOOKUP(D382,EpisodeFormats!$A$3:$B$999,2,0)</f>
        <v>Series</v>
      </c>
      <c r="F382">
        <v>3</v>
      </c>
      <c r="G382" t="str">
        <f>VLOOKUP(F382,Doctors!$A$3:$B$999,2,0)</f>
        <v>Jon Pertwee</v>
      </c>
      <c r="H382">
        <v>11</v>
      </c>
      <c r="I382">
        <v>1</v>
      </c>
      <c r="J382" t="str">
        <f>VLOOKUP(I382,SeasonFormats!$A$3:$B$999,2,0)</f>
        <v>Season</v>
      </c>
      <c r="K382">
        <v>74</v>
      </c>
      <c r="L382">
        <v>5</v>
      </c>
      <c r="M382" t="s">
        <v>429</v>
      </c>
      <c r="N382">
        <v>5</v>
      </c>
      <c r="O382" t="s">
        <v>430</v>
      </c>
      <c r="P382">
        <v>25</v>
      </c>
      <c r="Q382" s="6" t="d">
        <v>1974-06-01</v>
      </c>
      <c r="R382">
        <v>24</v>
      </c>
      <c r="S382"/>
      <c r="T382" s="15" t="s">
        <v>1168</v>
      </c>
      <c r="U382" t="str" cm="1">
        <f t="array" ref="U382">_xlfn.TEXTJOIN(",",TRUE,_xlfn.XLOOKUP(_xlfn.FILTERXML("&lt;t&gt;&lt;s&gt;" &amp; SUBSTITUTE(T382,",","&lt;/s&gt;&lt;s&gt;") &amp; "&lt;/s&gt;&lt;/t&gt;", "//s"),Writers!$A$3:$A$999,Writers!$B$3:$B$999,""))</f>
        <v>Robert Sloman</v>
      </c>
      <c r="V382"/>
      <c r="W382" t="str">
        <f>IF(V382="","",_xlfn.XLOOKUP(V382,Writers!$A$3:$A$999,Writers!$B$3:$B$999,""))</f>
        <v/>
      </c>
      <c r="X382">
        <v>9.1999999999999993</v>
      </c>
      <c r="Y382"/>
      <c r="Z382"/>
      <c r="AA382">
        <f t="shared" si="15"/>
        <v>11.17</v>
      </c>
      <c r="AB382" t="str">
        <f t="shared" si="16"/>
        <v/>
      </c>
      <c r="AC382" t="str">
        <f t="shared" si="17"/>
        <v/>
      </c>
      <c r="AD382">
        <f>VLOOKUP(YEAR(Q382),Populations!$A$3:$B$999,2,0)</f>
        <v>56235600</v>
      </c>
      <c r="AE382">
        <f>(Calculations!B1/AD382)</f>
        <v>1.21462084515858</v>
      </c>
      <c r="AF382"/>
      <c r="AG382">
        <v>1</v>
      </c>
      <c r="AH382" t="str">
        <f>VLOOKUP(AG382,WikiFormats!$A$3:$B$999,2,0)</f>
        <v>Story</v>
      </c>
      <c r="AI382" t="s">
        <v>650</v>
      </c>
    </row>
    <row r="383" spans="1:35" s="2" customFormat="1" x14ac:dyDescent="0.55000000000000004">
      <c r="A383">
        <v>381</v>
      </c>
      <c r="B383">
        <v>1</v>
      </c>
      <c r="C383" t="str">
        <f>VLOOKUP(B383,Eras!$A$3:$B$999,2,0)</f>
        <v>Classic</v>
      </c>
      <c r="D383">
        <v>1</v>
      </c>
      <c r="E383" t="str">
        <f>VLOOKUP(D383,EpisodeFormats!$A$3:$B$999,2,0)</f>
        <v>Series</v>
      </c>
      <c r="F383">
        <v>3</v>
      </c>
      <c r="G383" t="str">
        <f>VLOOKUP(F383,Doctors!$A$3:$B$999,2,0)</f>
        <v>Jon Pertwee</v>
      </c>
      <c r="H383">
        <v>11</v>
      </c>
      <c r="I383">
        <v>1</v>
      </c>
      <c r="J383" t="str">
        <f>VLOOKUP(I383,SeasonFormats!$A$3:$B$999,2,0)</f>
        <v>Season</v>
      </c>
      <c r="K383">
        <v>74</v>
      </c>
      <c r="L383">
        <v>5</v>
      </c>
      <c r="M383" t="s">
        <v>429</v>
      </c>
      <c r="N383">
        <v>6</v>
      </c>
      <c r="O383" t="s">
        <v>431</v>
      </c>
      <c r="P383">
        <v>26</v>
      </c>
      <c r="Q383" s="6" t="d">
        <v>1974-06-08</v>
      </c>
      <c r="R383">
        <v>25</v>
      </c>
      <c r="S383"/>
      <c r="T383" s="15" t="s">
        <v>1168</v>
      </c>
      <c r="U383" t="str" cm="1">
        <f t="array" ref="U383">_xlfn.TEXTJOIN(",",TRUE,_xlfn.XLOOKUP(_xlfn.FILTERXML("&lt;t&gt;&lt;s&gt;" &amp; SUBSTITUTE(T383,",","&lt;/s&gt;&lt;s&gt;") &amp; "&lt;/s&gt;&lt;/t&gt;", "//s"),Writers!$A$3:$A$999,Writers!$B$3:$B$999,""))</f>
        <v>Robert Sloman</v>
      </c>
      <c r="V383"/>
      <c r="W383" t="str">
        <f>IF(V383="","",_xlfn.XLOOKUP(V383,Writers!$A$3:$A$999,Writers!$B$3:$B$999,""))</f>
        <v/>
      </c>
      <c r="X383">
        <v>8.9</v>
      </c>
      <c r="Y383"/>
      <c r="Z383"/>
      <c r="AA383">
        <f t="shared" si="15"/>
        <v>10.81</v>
      </c>
      <c r="AB383" t="str">
        <f t="shared" si="16"/>
        <v/>
      </c>
      <c r="AC383" t="str">
        <f t="shared" si="17"/>
        <v/>
      </c>
      <c r="AD383">
        <f>VLOOKUP(YEAR(Q383),Populations!$A$3:$B$999,2,0)</f>
        <v>56235600</v>
      </c>
      <c r="AE383">
        <f>(Calculations!B1/AD383)</f>
        <v>1.21462084515858</v>
      </c>
      <c r="AF383"/>
      <c r="AG383">
        <v>1</v>
      </c>
      <c r="AH383" t="str">
        <f>VLOOKUP(AG383,WikiFormats!$A$3:$B$999,2,0)</f>
        <v>Story</v>
      </c>
      <c r="AI383" t="s">
        <v>650</v>
      </c>
    </row>
    <row r="384" spans="1:35" s="8" customFormat="1" x14ac:dyDescent="0.55000000000000004">
      <c r="A384" s="3">
        <v>382</v>
      </c>
      <c r="B384" s="3">
        <v>1</v>
      </c>
      <c r="C384" s="3" t="str">
        <f>VLOOKUP(B384,Eras!$A$3:$B$999,2,0)</f>
        <v>Classic</v>
      </c>
      <c r="D384" s="3">
        <v>1</v>
      </c>
      <c r="E384" s="3" t="str">
        <f>VLOOKUP(D384,EpisodeFormats!$A$3:$B$999,2,0)</f>
        <v>Series</v>
      </c>
      <c r="F384" s="3">
        <v>4</v>
      </c>
      <c r="G384" s="3" t="str">
        <f>VLOOKUP(F384,Doctors!$A$3:$B$999,2,0)</f>
        <v>Tom Baker</v>
      </c>
      <c r="H384" s="3">
        <v>12</v>
      </c>
      <c r="I384" s="3">
        <v>1</v>
      </c>
      <c r="J384" s="3" t="str">
        <f>VLOOKUP(I384,SeasonFormats!$A$3:$B$999,2,0)</f>
        <v>Season</v>
      </c>
      <c r="K384" s="3">
        <v>75</v>
      </c>
      <c r="L384" s="3">
        <v>1</v>
      </c>
      <c r="M384" s="3" t="s">
        <v>432</v>
      </c>
      <c r="N384" s="3">
        <v>1</v>
      </c>
      <c r="O384" s="3" t="s">
        <v>9</v>
      </c>
      <c r="P384" s="3">
        <v>1</v>
      </c>
      <c r="Q384" s="7" t="d">
        <v>1974-12-28</v>
      </c>
      <c r="R384" s="3">
        <v>24</v>
      </c>
      <c r="S384" s="3"/>
      <c r="T384" s="4" t="s">
        <v>1105</v>
      </c>
      <c r="U384" s="3" t="str" cm="1">
        <f t="array" ref="U384">_xlfn.TEXTJOIN(",",TRUE,_xlfn.XLOOKUP(_xlfn.FILTERXML("&lt;t&gt;&lt;s&gt;" &amp; SUBSTITUTE(T384,",","&lt;/s&gt;&lt;s&gt;") &amp; "&lt;/s&gt;&lt;/t&gt;", "//s"),Writers!$A$3:$A$999,Writers!$B$3:$B$999,""))</f>
        <v>Terrance Dicks</v>
      </c>
      <c r="V384" s="3"/>
      <c r="W384" s="3" t="str">
        <f>IF(V384="","",_xlfn.XLOOKUP(V384,Writers!$A$3:$A$999,Writers!$B$3:$B$999,""))</f>
        <v/>
      </c>
      <c r="X384" s="3">
        <v>10.8</v>
      </c>
      <c r="Y384" s="3"/>
      <c r="Z384" s="3"/>
      <c r="AA384" s="3">
        <f t="shared" si="15"/>
        <v>13.12</v>
      </c>
      <c r="AB384" s="3" t="str">
        <f t="shared" si="16"/>
        <v/>
      </c>
      <c r="AC384" s="3" t="str">
        <f t="shared" si="17"/>
        <v/>
      </c>
      <c r="AD384" s="3">
        <f>VLOOKUP(YEAR(Q384),Populations!$A$3:$B$999,2,0)</f>
        <v>56235600</v>
      </c>
      <c r="AE384" s="3">
        <f>(Calculations!B1/AD384)</f>
        <v>1.21462084515858</v>
      </c>
      <c r="AF384" s="3"/>
      <c r="AG384" s="3">
        <v>1</v>
      </c>
      <c r="AH384" s="3" t="str">
        <f>VLOOKUP(AG384,WikiFormats!$A$3:$B$999,2,0)</f>
        <v>Story</v>
      </c>
      <c r="AI384" s="3" t="s">
        <v>660</v>
      </c>
    </row>
    <row r="385" spans="1:35" s="8" customFormat="1" x14ac:dyDescent="0.55000000000000004">
      <c r="A385" s="3">
        <v>383</v>
      </c>
      <c r="B385" s="3">
        <v>1</v>
      </c>
      <c r="C385" s="3" t="str">
        <f>VLOOKUP(B385,Eras!$A$3:$B$999,2,0)</f>
        <v>Classic</v>
      </c>
      <c r="D385" s="3">
        <v>1</v>
      </c>
      <c r="E385" s="3" t="str">
        <f>VLOOKUP(D385,EpisodeFormats!$A$3:$B$999,2,0)</f>
        <v>Series</v>
      </c>
      <c r="F385" s="3">
        <v>4</v>
      </c>
      <c r="G385" s="3" t="str">
        <f>VLOOKUP(F385,Doctors!$A$3:$B$999,2,0)</f>
        <v>Tom Baker</v>
      </c>
      <c r="H385" s="3">
        <v>12</v>
      </c>
      <c r="I385" s="3">
        <v>1</v>
      </c>
      <c r="J385" s="3" t="str">
        <f>VLOOKUP(I385,SeasonFormats!$A$3:$B$999,2,0)</f>
        <v>Season</v>
      </c>
      <c r="K385" s="3">
        <v>75</v>
      </c>
      <c r="L385" s="3">
        <v>1</v>
      </c>
      <c r="M385" s="3" t="s">
        <v>432</v>
      </c>
      <c r="N385" s="3">
        <v>2</v>
      </c>
      <c r="O385" s="3" t="s">
        <v>10</v>
      </c>
      <c r="P385" s="3">
        <v>2</v>
      </c>
      <c r="Q385" s="7" t="d">
        <v>1975-01-04</v>
      </c>
      <c r="R385" s="3">
        <v>25</v>
      </c>
      <c r="S385" s="3"/>
      <c r="T385" s="4" t="s">
        <v>1105</v>
      </c>
      <c r="U385" s="3" t="str" cm="1">
        <f t="array" ref="U385">_xlfn.TEXTJOIN(",",TRUE,_xlfn.XLOOKUP(_xlfn.FILTERXML("&lt;t&gt;&lt;s&gt;" &amp; SUBSTITUTE(T385,",","&lt;/s&gt;&lt;s&gt;") &amp; "&lt;/s&gt;&lt;/t&gt;", "//s"),Writers!$A$3:$A$999,Writers!$B$3:$B$999,""))</f>
        <v>Terrance Dicks</v>
      </c>
      <c r="V385" s="3"/>
      <c r="W385" s="3" t="str">
        <f>IF(V385="","",_xlfn.XLOOKUP(V385,Writers!$A$3:$A$999,Writers!$B$3:$B$999,""))</f>
        <v/>
      </c>
      <c r="X385" s="3">
        <v>10.7</v>
      </c>
      <c r="Y385" s="3"/>
      <c r="Z385" s="3"/>
      <c r="AA385" s="3">
        <f t="shared" si="15"/>
        <v>13</v>
      </c>
      <c r="AB385" s="3" t="str">
        <f t="shared" si="16"/>
        <v/>
      </c>
      <c r="AC385" s="3" t="str">
        <f t="shared" si="17"/>
        <v/>
      </c>
      <c r="AD385" s="3">
        <f>VLOOKUP(YEAR(Q385),Populations!$A$3:$B$999,2,0)</f>
        <v>56225700</v>
      </c>
      <c r="AE385" s="3">
        <f>(Calculations!B1/AD385)</f>
        <v>1.2148347108173001</v>
      </c>
      <c r="AF385" s="3"/>
      <c r="AG385" s="3">
        <v>1</v>
      </c>
      <c r="AH385" s="3" t="str">
        <f>VLOOKUP(AG385,WikiFormats!$A$3:$B$999,2,0)</f>
        <v>Story</v>
      </c>
      <c r="AI385" s="3" t="s">
        <v>660</v>
      </c>
    </row>
    <row r="386" spans="1:35" s="8" customFormat="1" x14ac:dyDescent="0.55000000000000004">
      <c r="A386" s="3">
        <v>384</v>
      </c>
      <c r="B386" s="3">
        <v>1</v>
      </c>
      <c r="C386" s="3" t="str">
        <f>VLOOKUP(B386,Eras!$A$3:$B$999,2,0)</f>
        <v>Classic</v>
      </c>
      <c r="D386" s="3">
        <v>1</v>
      </c>
      <c r="E386" s="3" t="str">
        <f>VLOOKUP(D386,EpisodeFormats!$A$3:$B$999,2,0)</f>
        <v>Series</v>
      </c>
      <c r="F386" s="3">
        <v>4</v>
      </c>
      <c r="G386" s="3" t="str">
        <f>VLOOKUP(F386,Doctors!$A$3:$B$999,2,0)</f>
        <v>Tom Baker</v>
      </c>
      <c r="H386" s="3">
        <v>12</v>
      </c>
      <c r="I386" s="3">
        <v>1</v>
      </c>
      <c r="J386" s="3" t="str">
        <f>VLOOKUP(I386,SeasonFormats!$A$3:$B$999,2,0)</f>
        <v>Season</v>
      </c>
      <c r="K386" s="3">
        <v>75</v>
      </c>
      <c r="L386" s="3">
        <v>1</v>
      </c>
      <c r="M386" s="3" t="s">
        <v>432</v>
      </c>
      <c r="N386" s="3">
        <v>3</v>
      </c>
      <c r="O386" s="3" t="s">
        <v>11</v>
      </c>
      <c r="P386" s="3">
        <v>3</v>
      </c>
      <c r="Q386" s="7" t="d">
        <v>1975-01-11</v>
      </c>
      <c r="R386" s="3">
        <v>25</v>
      </c>
      <c r="S386" s="3"/>
      <c r="T386" s="4" t="s">
        <v>1105</v>
      </c>
      <c r="U386" s="3" t="str" cm="1">
        <f t="array" ref="U386">_xlfn.TEXTJOIN(",",TRUE,_xlfn.XLOOKUP(_xlfn.FILTERXML("&lt;t&gt;&lt;s&gt;" &amp; SUBSTITUTE(T386,",","&lt;/s&gt;&lt;s&gt;") &amp; "&lt;/s&gt;&lt;/t&gt;", "//s"),Writers!$A$3:$A$999,Writers!$B$3:$B$999,""))</f>
        <v>Terrance Dicks</v>
      </c>
      <c r="V386" s="3"/>
      <c r="W386" s="3" t="str">
        <f>IF(V386="","",_xlfn.XLOOKUP(V386,Writers!$A$3:$A$999,Writers!$B$3:$B$999,""))</f>
        <v/>
      </c>
      <c r="X386" s="3">
        <v>10.1</v>
      </c>
      <c r="Y386" s="3"/>
      <c r="Z386" s="3"/>
      <c r="AA386" s="3">
        <f t="shared" si="15"/>
        <v>12.27</v>
      </c>
      <c r="AB386" s="3" t="str">
        <f t="shared" si="16"/>
        <v/>
      </c>
      <c r="AC386" s="3" t="str">
        <f t="shared" si="17"/>
        <v/>
      </c>
      <c r="AD386" s="3">
        <f>VLOOKUP(YEAR(Q386),Populations!$A$3:$B$999,2,0)</f>
        <v>56225700</v>
      </c>
      <c r="AE386" s="3">
        <f>(Calculations!B1/AD386)</f>
        <v>1.2148347108173001</v>
      </c>
      <c r="AF386" s="3"/>
      <c r="AG386" s="3">
        <v>1</v>
      </c>
      <c r="AH386" s="3" t="str">
        <f>VLOOKUP(AG386,WikiFormats!$A$3:$B$999,2,0)</f>
        <v>Story</v>
      </c>
      <c r="AI386" s="3" t="s">
        <v>660</v>
      </c>
    </row>
    <row r="387" spans="1:35" s="8" customFormat="1" x14ac:dyDescent="0.55000000000000004">
      <c r="A387" s="3">
        <v>385</v>
      </c>
      <c r="B387" s="3">
        <v>1</v>
      </c>
      <c r="C387" s="3" t="str">
        <f>VLOOKUP(B387,Eras!$A$3:$B$999,2,0)</f>
        <v>Classic</v>
      </c>
      <c r="D387" s="3">
        <v>1</v>
      </c>
      <c r="E387" s="3" t="str">
        <f>VLOOKUP(D387,EpisodeFormats!$A$3:$B$999,2,0)</f>
        <v>Series</v>
      </c>
      <c r="F387" s="3">
        <v>4</v>
      </c>
      <c r="G387" s="3" t="str">
        <f>VLOOKUP(F387,Doctors!$A$3:$B$999,2,0)</f>
        <v>Tom Baker</v>
      </c>
      <c r="H387" s="3">
        <v>12</v>
      </c>
      <c r="I387" s="3">
        <v>1</v>
      </c>
      <c r="J387" s="3" t="str">
        <f>VLOOKUP(I387,SeasonFormats!$A$3:$B$999,2,0)</f>
        <v>Season</v>
      </c>
      <c r="K387" s="3">
        <v>75</v>
      </c>
      <c r="L387" s="3">
        <v>1</v>
      </c>
      <c r="M387" s="3" t="s">
        <v>432</v>
      </c>
      <c r="N387" s="3">
        <v>4</v>
      </c>
      <c r="O387" s="3" t="s">
        <v>12</v>
      </c>
      <c r="P387" s="3">
        <v>4</v>
      </c>
      <c r="Q387" s="7" t="d">
        <v>1975-01-18</v>
      </c>
      <c r="R387" s="3">
        <v>24</v>
      </c>
      <c r="S387" s="3"/>
      <c r="T387" s="4" t="s">
        <v>1105</v>
      </c>
      <c r="U387" s="3" t="str" cm="1">
        <f t="array" ref="U387">_xlfn.TEXTJOIN(",",TRUE,_xlfn.XLOOKUP(_xlfn.FILTERXML("&lt;t&gt;&lt;s&gt;" &amp; SUBSTITUTE(T387,",","&lt;/s&gt;&lt;s&gt;") &amp; "&lt;/s&gt;&lt;/t&gt;", "//s"),Writers!$A$3:$A$999,Writers!$B$3:$B$999,""))</f>
        <v>Terrance Dicks</v>
      </c>
      <c r="V387" s="3"/>
      <c r="W387" s="3" t="str">
        <f>IF(V387="","",_xlfn.XLOOKUP(V387,Writers!$A$3:$A$999,Writers!$B$3:$B$999,""))</f>
        <v/>
      </c>
      <c r="X387" s="3">
        <v>9</v>
      </c>
      <c r="Y387" s="3"/>
      <c r="Z387" s="3"/>
      <c r="AA387" s="3">
        <f t="shared" si="15"/>
        <v>10.93</v>
      </c>
      <c r="AB387" s="3" t="str">
        <f t="shared" si="16"/>
        <v/>
      </c>
      <c r="AC387" s="3" t="str">
        <f t="shared" si="17"/>
        <v/>
      </c>
      <c r="AD387" s="3">
        <f>VLOOKUP(YEAR(Q387),Populations!$A$3:$B$999,2,0)</f>
        <v>56225700</v>
      </c>
      <c r="AE387" s="3">
        <f>(Calculations!B1/AD387)</f>
        <v>1.2148347108173001</v>
      </c>
      <c r="AF387" s="3"/>
      <c r="AG387" s="3">
        <v>1</v>
      </c>
      <c r="AH387" s="3" t="str">
        <f>VLOOKUP(AG387,WikiFormats!$A$3:$B$999,2,0)</f>
        <v>Story</v>
      </c>
      <c r="AI387" s="3" t="s">
        <v>660</v>
      </c>
    </row>
    <row r="388" spans="1:35" s="2" customFormat="1" x14ac:dyDescent="0.55000000000000004">
      <c r="A388">
        <v>386</v>
      </c>
      <c r="B388">
        <v>1</v>
      </c>
      <c r="C388" t="str">
        <f>VLOOKUP(B388,Eras!$A$3:$B$999,2,0)</f>
        <v>Classic</v>
      </c>
      <c r="D388">
        <v>1</v>
      </c>
      <c r="E388" t="str">
        <f>VLOOKUP(D388,EpisodeFormats!$A$3:$B$999,2,0)</f>
        <v>Series</v>
      </c>
      <c r="F388">
        <v>4</v>
      </c>
      <c r="G388" t="str">
        <f>VLOOKUP(F388,Doctors!$A$3:$B$999,2,0)</f>
        <v>Tom Baker</v>
      </c>
      <c r="H388">
        <v>12</v>
      </c>
      <c r="I388">
        <v>1</v>
      </c>
      <c r="J388" t="str">
        <f>VLOOKUP(I388,SeasonFormats!$A$3:$B$999,2,0)</f>
        <v>Season</v>
      </c>
      <c r="K388">
        <v>76</v>
      </c>
      <c r="L388">
        <v>2</v>
      </c>
      <c r="M388" t="s">
        <v>433</v>
      </c>
      <c r="N388">
        <v>1</v>
      </c>
      <c r="O388" t="s">
        <v>9</v>
      </c>
      <c r="P388">
        <v>5</v>
      </c>
      <c r="Q388" s="6" t="d">
        <v>1975-01-25</v>
      </c>
      <c r="R388">
        <v>25</v>
      </c>
      <c r="S388"/>
      <c r="T388" s="15" t="s">
        <v>1122</v>
      </c>
      <c r="U388" t="str" cm="1">
        <f t="array" ref="U388">_xlfn.TEXTJOIN(",",TRUE,_xlfn.XLOOKUP(_xlfn.FILTERXML("&lt;t&gt;&lt;s&gt;" &amp; SUBSTITUTE(T388,",","&lt;/s&gt;&lt;s&gt;") &amp; "&lt;/s&gt;&lt;/t&gt;", "//s"),Writers!$A$3:$A$999,Writers!$B$3:$B$999,""))</f>
        <v>Robert Holmes</v>
      </c>
      <c r="V388"/>
      <c r="W388" t="str">
        <f>IF(V388="","",_xlfn.XLOOKUP(V388,Writers!$A$3:$A$999,Writers!$B$3:$B$999,""))</f>
        <v/>
      </c>
      <c r="X388">
        <v>9.4</v>
      </c>
      <c r="Y388"/>
      <c r="Z388"/>
      <c r="AA388">
        <f t="shared" ref="AA388:AA451" si="18">IF(ISBLANK(X388),"",ROUND(X388*AE388,2))</f>
        <v>11.42</v>
      </c>
      <c r="AB388" t="str">
        <f t="shared" ref="AB388:AB451" si="19">IF(ISBLANK(Y388),"",ROUND(Y388*AE388,2))</f>
        <v/>
      </c>
      <c r="AC388" t="str">
        <f t="shared" ref="AC388:AC451" si="20">IF(ISBLANK(Z388),"",ROUND(Z388*AE388,2))</f>
        <v/>
      </c>
      <c r="AD388">
        <f>VLOOKUP(YEAR(Q388),Populations!$A$3:$B$999,2,0)</f>
        <v>56225700</v>
      </c>
      <c r="AE388">
        <f>(Calculations!B1/AD388)</f>
        <v>1.2148347108173001</v>
      </c>
      <c r="AF388"/>
      <c r="AG388">
        <v>1</v>
      </c>
      <c r="AH388" t="str">
        <f>VLOOKUP(AG388,WikiFormats!$A$3:$B$999,2,0)</f>
        <v>Story</v>
      </c>
      <c r="AI388" t="s">
        <v>661</v>
      </c>
    </row>
    <row r="389" spans="1:35" s="2" customFormat="1" x14ac:dyDescent="0.55000000000000004">
      <c r="A389">
        <v>387</v>
      </c>
      <c r="B389">
        <v>1</v>
      </c>
      <c r="C389" t="str">
        <f>VLOOKUP(B389,Eras!$A$3:$B$999,2,0)</f>
        <v>Classic</v>
      </c>
      <c r="D389">
        <v>1</v>
      </c>
      <c r="E389" t="str">
        <f>VLOOKUP(D389,EpisodeFormats!$A$3:$B$999,2,0)</f>
        <v>Series</v>
      </c>
      <c r="F389">
        <v>4</v>
      </c>
      <c r="G389" t="str">
        <f>VLOOKUP(F389,Doctors!$A$3:$B$999,2,0)</f>
        <v>Tom Baker</v>
      </c>
      <c r="H389">
        <v>12</v>
      </c>
      <c r="I389">
        <v>1</v>
      </c>
      <c r="J389" t="str">
        <f>VLOOKUP(I389,SeasonFormats!$A$3:$B$999,2,0)</f>
        <v>Season</v>
      </c>
      <c r="K389">
        <v>76</v>
      </c>
      <c r="L389">
        <v>2</v>
      </c>
      <c r="M389" t="s">
        <v>433</v>
      </c>
      <c r="N389">
        <v>2</v>
      </c>
      <c r="O389" t="s">
        <v>10</v>
      </c>
      <c r="P389">
        <v>6</v>
      </c>
      <c r="Q389" s="6" t="d">
        <v>1975-02-01</v>
      </c>
      <c r="R389">
        <v>25</v>
      </c>
      <c r="S389"/>
      <c r="T389" s="15" t="s">
        <v>1122</v>
      </c>
      <c r="U389" t="str" cm="1">
        <f t="array" ref="U389">_xlfn.TEXTJOIN(",",TRUE,_xlfn.XLOOKUP(_xlfn.FILTERXML("&lt;t&gt;&lt;s&gt;" &amp; SUBSTITUTE(T389,",","&lt;/s&gt;&lt;s&gt;") &amp; "&lt;/s&gt;&lt;/t&gt;", "//s"),Writers!$A$3:$A$999,Writers!$B$3:$B$999,""))</f>
        <v>Robert Holmes</v>
      </c>
      <c r="V389"/>
      <c r="W389" t="str">
        <f>IF(V389="","",_xlfn.XLOOKUP(V389,Writers!$A$3:$A$999,Writers!$B$3:$B$999,""))</f>
        <v/>
      </c>
      <c r="X389">
        <v>13.6</v>
      </c>
      <c r="Y389"/>
      <c r="Z389"/>
      <c r="AA389">
        <f t="shared" si="18"/>
        <v>16.52</v>
      </c>
      <c r="AB389" t="str">
        <f t="shared" si="19"/>
        <v/>
      </c>
      <c r="AC389" t="str">
        <f t="shared" si="20"/>
        <v/>
      </c>
      <c r="AD389">
        <f>VLOOKUP(YEAR(Q389),Populations!$A$3:$B$999,2,0)</f>
        <v>56225700</v>
      </c>
      <c r="AE389">
        <f>(Calculations!B1/AD389)</f>
        <v>1.2148347108173001</v>
      </c>
      <c r="AF389"/>
      <c r="AG389">
        <v>1</v>
      </c>
      <c r="AH389" t="str">
        <f>VLOOKUP(AG389,WikiFormats!$A$3:$B$999,2,0)</f>
        <v>Story</v>
      </c>
      <c r="AI389" t="s">
        <v>661</v>
      </c>
    </row>
    <row r="390" spans="1:35" s="2" customFormat="1" x14ac:dyDescent="0.55000000000000004">
      <c r="A390">
        <v>388</v>
      </c>
      <c r="B390">
        <v>1</v>
      </c>
      <c r="C390" t="str">
        <f>VLOOKUP(B390,Eras!$A$3:$B$999,2,0)</f>
        <v>Classic</v>
      </c>
      <c r="D390">
        <v>1</v>
      </c>
      <c r="E390" t="str">
        <f>VLOOKUP(D390,EpisodeFormats!$A$3:$B$999,2,0)</f>
        <v>Series</v>
      </c>
      <c r="F390">
        <v>4</v>
      </c>
      <c r="G390" t="str">
        <f>VLOOKUP(F390,Doctors!$A$3:$B$999,2,0)</f>
        <v>Tom Baker</v>
      </c>
      <c r="H390">
        <v>12</v>
      </c>
      <c r="I390">
        <v>1</v>
      </c>
      <c r="J390" t="str">
        <f>VLOOKUP(I390,SeasonFormats!$A$3:$B$999,2,0)</f>
        <v>Season</v>
      </c>
      <c r="K390">
        <v>76</v>
      </c>
      <c r="L390">
        <v>2</v>
      </c>
      <c r="M390" t="s">
        <v>433</v>
      </c>
      <c r="N390">
        <v>3</v>
      </c>
      <c r="O390" t="s">
        <v>11</v>
      </c>
      <c r="P390">
        <v>7</v>
      </c>
      <c r="Q390" s="6" t="d">
        <v>1975-02-08</v>
      </c>
      <c r="R390">
        <v>24</v>
      </c>
      <c r="S390"/>
      <c r="T390" s="15" t="s">
        <v>1122</v>
      </c>
      <c r="U390" t="str" cm="1">
        <f t="array" ref="U390">_xlfn.TEXTJOIN(",",TRUE,_xlfn.XLOOKUP(_xlfn.FILTERXML("&lt;t&gt;&lt;s&gt;" &amp; SUBSTITUTE(T390,",","&lt;/s&gt;&lt;s&gt;") &amp; "&lt;/s&gt;&lt;/t&gt;", "//s"),Writers!$A$3:$A$999,Writers!$B$3:$B$999,""))</f>
        <v>Robert Holmes</v>
      </c>
      <c r="V390"/>
      <c r="W390" t="str">
        <f>IF(V390="","",_xlfn.XLOOKUP(V390,Writers!$A$3:$A$999,Writers!$B$3:$B$999,""))</f>
        <v/>
      </c>
      <c r="X390">
        <v>11.2</v>
      </c>
      <c r="Y390"/>
      <c r="Z390"/>
      <c r="AA390">
        <f t="shared" si="18"/>
        <v>13.61</v>
      </c>
      <c r="AB390" t="str">
        <f t="shared" si="19"/>
        <v/>
      </c>
      <c r="AC390" t="str">
        <f t="shared" si="20"/>
        <v/>
      </c>
      <c r="AD390">
        <f>VLOOKUP(YEAR(Q390),Populations!$A$3:$B$999,2,0)</f>
        <v>56225700</v>
      </c>
      <c r="AE390">
        <f>(Calculations!B1/AD390)</f>
        <v>1.2148347108173001</v>
      </c>
      <c r="AF390"/>
      <c r="AG390">
        <v>1</v>
      </c>
      <c r="AH390" t="str">
        <f>VLOOKUP(AG390,WikiFormats!$A$3:$B$999,2,0)</f>
        <v>Story</v>
      </c>
      <c r="AI390" t="s">
        <v>661</v>
      </c>
    </row>
    <row r="391" spans="1:35" s="2" customFormat="1" x14ac:dyDescent="0.55000000000000004">
      <c r="A391">
        <v>389</v>
      </c>
      <c r="B391">
        <v>1</v>
      </c>
      <c r="C391" t="str">
        <f>VLOOKUP(B391,Eras!$A$3:$B$999,2,0)</f>
        <v>Classic</v>
      </c>
      <c r="D391">
        <v>1</v>
      </c>
      <c r="E391" t="str">
        <f>VLOOKUP(D391,EpisodeFormats!$A$3:$B$999,2,0)</f>
        <v>Series</v>
      </c>
      <c r="F391">
        <v>4</v>
      </c>
      <c r="G391" t="str">
        <f>VLOOKUP(F391,Doctors!$A$3:$B$999,2,0)</f>
        <v>Tom Baker</v>
      </c>
      <c r="H391">
        <v>12</v>
      </c>
      <c r="I391">
        <v>1</v>
      </c>
      <c r="J391" t="str">
        <f>VLOOKUP(I391,SeasonFormats!$A$3:$B$999,2,0)</f>
        <v>Season</v>
      </c>
      <c r="K391">
        <v>76</v>
      </c>
      <c r="L391">
        <v>2</v>
      </c>
      <c r="M391" t="s">
        <v>433</v>
      </c>
      <c r="N391">
        <v>4</v>
      </c>
      <c r="O391" t="s">
        <v>12</v>
      </c>
      <c r="P391">
        <v>8</v>
      </c>
      <c r="Q391" s="6" t="d">
        <v>1975-02-15</v>
      </c>
      <c r="R391">
        <v>25</v>
      </c>
      <c r="S391"/>
      <c r="T391" s="15" t="s">
        <v>1122</v>
      </c>
      <c r="U391" t="str" cm="1">
        <f t="array" ref="U391">_xlfn.TEXTJOIN(",",TRUE,_xlfn.XLOOKUP(_xlfn.FILTERXML("&lt;t&gt;&lt;s&gt;" &amp; SUBSTITUTE(T391,",","&lt;/s&gt;&lt;s&gt;") &amp; "&lt;/s&gt;&lt;/t&gt;", "//s"),Writers!$A$3:$A$999,Writers!$B$3:$B$999,""))</f>
        <v>Robert Holmes</v>
      </c>
      <c r="V391"/>
      <c r="W391" t="str">
        <f>IF(V391="","",_xlfn.XLOOKUP(V391,Writers!$A$3:$A$999,Writers!$B$3:$B$999,""))</f>
        <v/>
      </c>
      <c r="X391">
        <v>10.199999999999999</v>
      </c>
      <c r="Y391"/>
      <c r="Z391"/>
      <c r="AA391">
        <f t="shared" si="18"/>
        <v>12.39</v>
      </c>
      <c r="AB391" t="str">
        <f t="shared" si="19"/>
        <v/>
      </c>
      <c r="AC391" t="str">
        <f t="shared" si="20"/>
        <v/>
      </c>
      <c r="AD391">
        <f>VLOOKUP(YEAR(Q391),Populations!$A$3:$B$999,2,0)</f>
        <v>56225700</v>
      </c>
      <c r="AE391">
        <f>(Calculations!B1/AD391)</f>
        <v>1.2148347108173001</v>
      </c>
      <c r="AF391"/>
      <c r="AG391">
        <v>1</v>
      </c>
      <c r="AH391" t="str">
        <f>VLOOKUP(AG391,WikiFormats!$A$3:$B$999,2,0)</f>
        <v>Story</v>
      </c>
      <c r="AI391" t="s">
        <v>661</v>
      </c>
    </row>
    <row r="392" spans="1:35" s="8" customFormat="1" x14ac:dyDescent="0.55000000000000004">
      <c r="A392" s="3">
        <v>390</v>
      </c>
      <c r="B392" s="3">
        <v>1</v>
      </c>
      <c r="C392" s="3" t="str">
        <f>VLOOKUP(B392,Eras!$A$3:$B$999,2,0)</f>
        <v>Classic</v>
      </c>
      <c r="D392" s="3">
        <v>1</v>
      </c>
      <c r="E392" s="3" t="str">
        <f>VLOOKUP(D392,EpisodeFormats!$A$3:$B$999,2,0)</f>
        <v>Series</v>
      </c>
      <c r="F392" s="3">
        <v>4</v>
      </c>
      <c r="G392" s="3" t="str">
        <f>VLOOKUP(F392,Doctors!$A$3:$B$999,2,0)</f>
        <v>Tom Baker</v>
      </c>
      <c r="H392" s="3">
        <v>12</v>
      </c>
      <c r="I392" s="3">
        <v>1</v>
      </c>
      <c r="J392" s="3" t="str">
        <f>VLOOKUP(I392,SeasonFormats!$A$3:$B$999,2,0)</f>
        <v>Season</v>
      </c>
      <c r="K392" s="3">
        <v>77</v>
      </c>
      <c r="L392" s="3">
        <v>3</v>
      </c>
      <c r="M392" s="3" t="s">
        <v>434</v>
      </c>
      <c r="N392" s="3">
        <v>1</v>
      </c>
      <c r="O392" s="3" t="s">
        <v>9</v>
      </c>
      <c r="P392" s="3">
        <v>9</v>
      </c>
      <c r="Q392" s="7" t="d">
        <v>1975-02-22</v>
      </c>
      <c r="R392" s="3">
        <v>24</v>
      </c>
      <c r="S392" s="3"/>
      <c r="T392" s="4" t="s">
        <v>1076</v>
      </c>
      <c r="U392" s="3" t="str" cm="1">
        <f t="array" ref="U392">_xlfn.TEXTJOIN(",",TRUE,_xlfn.XLOOKUP(_xlfn.FILTERXML("&lt;t&gt;&lt;s&gt;" &amp; SUBSTITUTE(T392,",","&lt;/s&gt;&lt;s&gt;") &amp; "&lt;/s&gt;&lt;/t&gt;", "//s"),Writers!$A$3:$A$999,Writers!$B$3:$B$999,""))</f>
        <v>Bob Baker,Dave Martin</v>
      </c>
      <c r="V392" s="3"/>
      <c r="W392" s="3" t="str">
        <f>IF(V392="","",_xlfn.XLOOKUP(V392,Writers!$A$3:$A$999,Writers!$B$3:$B$999,""))</f>
        <v/>
      </c>
      <c r="X392" s="3">
        <v>11</v>
      </c>
      <c r="Y392" s="3"/>
      <c r="Z392" s="3"/>
      <c r="AA392" s="3">
        <f t="shared" si="18"/>
        <v>13.36</v>
      </c>
      <c r="AB392" s="3" t="str">
        <f t="shared" si="19"/>
        <v/>
      </c>
      <c r="AC392" s="3" t="str">
        <f t="shared" si="20"/>
        <v/>
      </c>
      <c r="AD392" s="3">
        <f>VLOOKUP(YEAR(Q392),Populations!$A$3:$B$999,2,0)</f>
        <v>56225700</v>
      </c>
      <c r="AE392" s="3">
        <f>(Calculations!B1/AD392)</f>
        <v>1.2148347108173001</v>
      </c>
      <c r="AF392" s="3"/>
      <c r="AG392" s="3">
        <v>1</v>
      </c>
      <c r="AH392" s="3" t="str">
        <f>VLOOKUP(AG392,WikiFormats!$A$3:$B$999,2,0)</f>
        <v>Story</v>
      </c>
      <c r="AI392" s="3" t="s">
        <v>662</v>
      </c>
    </row>
    <row r="393" spans="1:35" s="8" customFormat="1" x14ac:dyDescent="0.55000000000000004">
      <c r="A393" s="3">
        <v>391</v>
      </c>
      <c r="B393" s="3">
        <v>1</v>
      </c>
      <c r="C393" s="3" t="str">
        <f>VLOOKUP(B393,Eras!$A$3:$B$999,2,0)</f>
        <v>Classic</v>
      </c>
      <c r="D393" s="3">
        <v>1</v>
      </c>
      <c r="E393" s="3" t="str">
        <f>VLOOKUP(D393,EpisodeFormats!$A$3:$B$999,2,0)</f>
        <v>Series</v>
      </c>
      <c r="F393" s="3">
        <v>4</v>
      </c>
      <c r="G393" s="3" t="str">
        <f>VLOOKUP(F393,Doctors!$A$3:$B$999,2,0)</f>
        <v>Tom Baker</v>
      </c>
      <c r="H393" s="3">
        <v>12</v>
      </c>
      <c r="I393" s="3">
        <v>1</v>
      </c>
      <c r="J393" s="3" t="str">
        <f>VLOOKUP(I393,SeasonFormats!$A$3:$B$999,2,0)</f>
        <v>Season</v>
      </c>
      <c r="K393" s="3">
        <v>77</v>
      </c>
      <c r="L393" s="3">
        <v>3</v>
      </c>
      <c r="M393" s="3" t="s">
        <v>434</v>
      </c>
      <c r="N393" s="3">
        <v>2</v>
      </c>
      <c r="O393" s="3" t="s">
        <v>10</v>
      </c>
      <c r="P393" s="3">
        <v>10</v>
      </c>
      <c r="Q393" s="7" t="d">
        <v>1975-03-01</v>
      </c>
      <c r="R393" s="3">
        <v>25</v>
      </c>
      <c r="S393" s="3"/>
      <c r="T393" s="4" t="s">
        <v>1076</v>
      </c>
      <c r="U393" s="3" t="str" cm="1">
        <f t="array" ref="U393">_xlfn.TEXTJOIN(",",TRUE,_xlfn.XLOOKUP(_xlfn.FILTERXML("&lt;t&gt;&lt;s&gt;" &amp; SUBSTITUTE(T393,",","&lt;/s&gt;&lt;s&gt;") &amp; "&lt;/s&gt;&lt;/t&gt;", "//s"),Writers!$A$3:$A$999,Writers!$B$3:$B$999,""))</f>
        <v>Bob Baker,Dave Martin</v>
      </c>
      <c r="V393" s="3"/>
      <c r="W393" s="3" t="str">
        <f>IF(V393="","",_xlfn.XLOOKUP(V393,Writers!$A$3:$A$999,Writers!$B$3:$B$999,""))</f>
        <v/>
      </c>
      <c r="X393" s="3">
        <v>10.5</v>
      </c>
      <c r="Y393" s="3"/>
      <c r="Z393" s="3"/>
      <c r="AA393" s="3">
        <f t="shared" si="18"/>
        <v>12.76</v>
      </c>
      <c r="AB393" s="3" t="str">
        <f t="shared" si="19"/>
        <v/>
      </c>
      <c r="AC393" s="3" t="str">
        <f t="shared" si="20"/>
        <v/>
      </c>
      <c r="AD393" s="3">
        <f>VLOOKUP(YEAR(Q393),Populations!$A$3:$B$999,2,0)</f>
        <v>56225700</v>
      </c>
      <c r="AE393" s="3">
        <f>(Calculations!B1/AD393)</f>
        <v>1.2148347108173001</v>
      </c>
      <c r="AF393" s="3"/>
      <c r="AG393" s="3">
        <v>1</v>
      </c>
      <c r="AH393" s="3" t="str">
        <f>VLOOKUP(AG393,WikiFormats!$A$3:$B$999,2,0)</f>
        <v>Story</v>
      </c>
      <c r="AI393" s="3" t="s">
        <v>662</v>
      </c>
    </row>
    <row r="394" spans="1:35" s="2" customFormat="1" x14ac:dyDescent="0.55000000000000004">
      <c r="A394">
        <v>392</v>
      </c>
      <c r="B394">
        <v>1</v>
      </c>
      <c r="C394" t="str">
        <f>VLOOKUP(B394,Eras!$A$3:$B$999,2,0)</f>
        <v>Classic</v>
      </c>
      <c r="D394">
        <v>1</v>
      </c>
      <c r="E394" t="str">
        <f>VLOOKUP(D394,EpisodeFormats!$A$3:$B$999,2,0)</f>
        <v>Series</v>
      </c>
      <c r="F394">
        <v>4</v>
      </c>
      <c r="G394" t="str">
        <f>VLOOKUP(F394,Doctors!$A$3:$B$999,2,0)</f>
        <v>Tom Baker</v>
      </c>
      <c r="H394">
        <v>12</v>
      </c>
      <c r="I394">
        <v>1</v>
      </c>
      <c r="J394" t="str">
        <f>VLOOKUP(I394,SeasonFormats!$A$3:$B$999,2,0)</f>
        <v>Season</v>
      </c>
      <c r="K394">
        <v>78</v>
      </c>
      <c r="L394">
        <v>4</v>
      </c>
      <c r="M394" t="s">
        <v>435</v>
      </c>
      <c r="N394">
        <v>1</v>
      </c>
      <c r="O394" t="s">
        <v>9</v>
      </c>
      <c r="P394">
        <v>11</v>
      </c>
      <c r="Q394" s="6" t="d">
        <v>1975-03-08</v>
      </c>
      <c r="R394">
        <v>25</v>
      </c>
      <c r="S394"/>
      <c r="T394" s="15" t="s">
        <v>1132</v>
      </c>
      <c r="U394" t="str" cm="1">
        <f t="array" ref="U394">_xlfn.TEXTJOIN(",",TRUE,_xlfn.XLOOKUP(_xlfn.FILTERXML("&lt;t&gt;&lt;s&gt;" &amp; SUBSTITUTE(T394,",","&lt;/s&gt;&lt;s&gt;") &amp; "&lt;/s&gt;&lt;/t&gt;", "//s"),Writers!$A$3:$A$999,Writers!$B$3:$B$999,""))</f>
        <v>Terry Nation</v>
      </c>
      <c r="V394"/>
      <c r="W394" t="str">
        <f>IF(V394="","",_xlfn.XLOOKUP(V394,Writers!$A$3:$A$999,Writers!$B$3:$B$999,""))</f>
        <v/>
      </c>
      <c r="X394">
        <v>10.7</v>
      </c>
      <c r="Y394"/>
      <c r="Z394"/>
      <c r="AA394">
        <f t="shared" si="18"/>
        <v>13</v>
      </c>
      <c r="AB394" t="str">
        <f t="shared" si="19"/>
        <v/>
      </c>
      <c r="AC394" t="str">
        <f t="shared" si="20"/>
        <v/>
      </c>
      <c r="AD394">
        <f>VLOOKUP(YEAR(Q394),Populations!$A$3:$B$999,2,0)</f>
        <v>56225700</v>
      </c>
      <c r="AE394">
        <f>(Calculations!B1/AD394)</f>
        <v>1.2148347108173001</v>
      </c>
      <c r="AF394"/>
      <c r="AG394">
        <v>1</v>
      </c>
      <c r="AH394" t="str">
        <f>VLOOKUP(AG394,WikiFormats!$A$3:$B$999,2,0)</f>
        <v>Story</v>
      </c>
      <c r="AI394" t="s">
        <v>663</v>
      </c>
    </row>
    <row r="395" spans="1:35" s="2" customFormat="1" x14ac:dyDescent="0.55000000000000004">
      <c r="A395">
        <v>393</v>
      </c>
      <c r="B395">
        <v>1</v>
      </c>
      <c r="C395" t="str">
        <f>VLOOKUP(B395,Eras!$A$3:$B$999,2,0)</f>
        <v>Classic</v>
      </c>
      <c r="D395">
        <v>1</v>
      </c>
      <c r="E395" t="str">
        <f>VLOOKUP(D395,EpisodeFormats!$A$3:$B$999,2,0)</f>
        <v>Series</v>
      </c>
      <c r="F395">
        <v>4</v>
      </c>
      <c r="G395" t="str">
        <f>VLOOKUP(F395,Doctors!$A$3:$B$999,2,0)</f>
        <v>Tom Baker</v>
      </c>
      <c r="H395">
        <v>12</v>
      </c>
      <c r="I395">
        <v>1</v>
      </c>
      <c r="J395" t="str">
        <f>VLOOKUP(I395,SeasonFormats!$A$3:$B$999,2,0)</f>
        <v>Season</v>
      </c>
      <c r="K395">
        <v>78</v>
      </c>
      <c r="L395">
        <v>4</v>
      </c>
      <c r="M395" t="s">
        <v>435</v>
      </c>
      <c r="N395">
        <v>2</v>
      </c>
      <c r="O395" t="s">
        <v>10</v>
      </c>
      <c r="P395">
        <v>12</v>
      </c>
      <c r="Q395" s="6" t="d">
        <v>1975-03-15</v>
      </c>
      <c r="R395">
        <v>25</v>
      </c>
      <c r="S395"/>
      <c r="T395" s="15" t="s">
        <v>1132</v>
      </c>
      <c r="U395" t="str" cm="1">
        <f t="array" ref="U395">_xlfn.TEXTJOIN(",",TRUE,_xlfn.XLOOKUP(_xlfn.FILTERXML("&lt;t&gt;&lt;s&gt;" &amp; SUBSTITUTE(T395,",","&lt;/s&gt;&lt;s&gt;") &amp; "&lt;/s&gt;&lt;/t&gt;", "//s"),Writers!$A$3:$A$999,Writers!$B$3:$B$999,""))</f>
        <v>Terry Nation</v>
      </c>
      <c r="V395"/>
      <c r="W395" t="str">
        <f>IF(V395="","",_xlfn.XLOOKUP(V395,Writers!$A$3:$A$999,Writers!$B$3:$B$999,""))</f>
        <v/>
      </c>
      <c r="X395">
        <v>10.5</v>
      </c>
      <c r="Y395"/>
      <c r="Z395"/>
      <c r="AA395">
        <f t="shared" si="18"/>
        <v>12.76</v>
      </c>
      <c r="AB395" t="str">
        <f t="shared" si="19"/>
        <v/>
      </c>
      <c r="AC395" t="str">
        <f t="shared" si="20"/>
        <v/>
      </c>
      <c r="AD395">
        <f>VLOOKUP(YEAR(Q395),Populations!$A$3:$B$999,2,0)</f>
        <v>56225700</v>
      </c>
      <c r="AE395">
        <f>(Calculations!B1/AD395)</f>
        <v>1.2148347108173001</v>
      </c>
      <c r="AF395"/>
      <c r="AG395">
        <v>1</v>
      </c>
      <c r="AH395" t="str">
        <f>VLOOKUP(AG395,WikiFormats!$A$3:$B$999,2,0)</f>
        <v>Story</v>
      </c>
      <c r="AI395" t="s">
        <v>663</v>
      </c>
    </row>
    <row r="396" spans="1:35" s="2" customFormat="1" x14ac:dyDescent="0.55000000000000004">
      <c r="A396">
        <v>394</v>
      </c>
      <c r="B396">
        <v>1</v>
      </c>
      <c r="C396" t="str">
        <f>VLOOKUP(B396,Eras!$A$3:$B$999,2,0)</f>
        <v>Classic</v>
      </c>
      <c r="D396">
        <v>1</v>
      </c>
      <c r="E396" t="str">
        <f>VLOOKUP(D396,EpisodeFormats!$A$3:$B$999,2,0)</f>
        <v>Series</v>
      </c>
      <c r="F396">
        <v>4</v>
      </c>
      <c r="G396" t="str">
        <f>VLOOKUP(F396,Doctors!$A$3:$B$999,2,0)</f>
        <v>Tom Baker</v>
      </c>
      <c r="H396">
        <v>12</v>
      </c>
      <c r="I396">
        <v>1</v>
      </c>
      <c r="J396" t="str">
        <f>VLOOKUP(I396,SeasonFormats!$A$3:$B$999,2,0)</f>
        <v>Season</v>
      </c>
      <c r="K396">
        <v>78</v>
      </c>
      <c r="L396">
        <v>4</v>
      </c>
      <c r="M396" t="s">
        <v>435</v>
      </c>
      <c r="N396">
        <v>3</v>
      </c>
      <c r="O396" t="s">
        <v>11</v>
      </c>
      <c r="P396">
        <v>13</v>
      </c>
      <c r="Q396" s="6" t="d">
        <v>1975-03-22</v>
      </c>
      <c r="R396">
        <v>23</v>
      </c>
      <c r="S396"/>
      <c r="T396" s="15" t="s">
        <v>1132</v>
      </c>
      <c r="U396" t="str" cm="1">
        <f t="array" ref="U396">_xlfn.TEXTJOIN(",",TRUE,_xlfn.XLOOKUP(_xlfn.FILTERXML("&lt;t&gt;&lt;s&gt;" &amp; SUBSTITUTE(T396,",","&lt;/s&gt;&lt;s&gt;") &amp; "&lt;/s&gt;&lt;/t&gt;", "//s"),Writers!$A$3:$A$999,Writers!$B$3:$B$999,""))</f>
        <v>Terry Nation</v>
      </c>
      <c r="V396"/>
      <c r="W396" t="str">
        <f>IF(V396="","",_xlfn.XLOOKUP(V396,Writers!$A$3:$A$999,Writers!$B$3:$B$999,""))</f>
        <v/>
      </c>
      <c r="X396">
        <v>8.5</v>
      </c>
      <c r="Y396"/>
      <c r="Z396"/>
      <c r="AA396">
        <f t="shared" si="18"/>
        <v>10.33</v>
      </c>
      <c r="AB396" t="str">
        <f t="shared" si="19"/>
        <v/>
      </c>
      <c r="AC396" t="str">
        <f t="shared" si="20"/>
        <v/>
      </c>
      <c r="AD396">
        <f>VLOOKUP(YEAR(Q396),Populations!$A$3:$B$999,2,0)</f>
        <v>56225700</v>
      </c>
      <c r="AE396">
        <f>(Calculations!B1/AD396)</f>
        <v>1.2148347108173001</v>
      </c>
      <c r="AF396"/>
      <c r="AG396">
        <v>1</v>
      </c>
      <c r="AH396" t="str">
        <f>VLOOKUP(AG396,WikiFormats!$A$3:$B$999,2,0)</f>
        <v>Story</v>
      </c>
      <c r="AI396" t="s">
        <v>663</v>
      </c>
    </row>
    <row r="397" spans="1:35" s="2" customFormat="1" x14ac:dyDescent="0.55000000000000004">
      <c r="A397">
        <v>395</v>
      </c>
      <c r="B397">
        <v>1</v>
      </c>
      <c r="C397" t="str">
        <f>VLOOKUP(B397,Eras!$A$3:$B$999,2,0)</f>
        <v>Classic</v>
      </c>
      <c r="D397">
        <v>1</v>
      </c>
      <c r="E397" t="str">
        <f>VLOOKUP(D397,EpisodeFormats!$A$3:$B$999,2,0)</f>
        <v>Series</v>
      </c>
      <c r="F397">
        <v>4</v>
      </c>
      <c r="G397" t="str">
        <f>VLOOKUP(F397,Doctors!$A$3:$B$999,2,0)</f>
        <v>Tom Baker</v>
      </c>
      <c r="H397">
        <v>12</v>
      </c>
      <c r="I397">
        <v>1</v>
      </c>
      <c r="J397" t="str">
        <f>VLOOKUP(I397,SeasonFormats!$A$3:$B$999,2,0)</f>
        <v>Season</v>
      </c>
      <c r="K397">
        <v>78</v>
      </c>
      <c r="L397">
        <v>4</v>
      </c>
      <c r="M397" t="s">
        <v>435</v>
      </c>
      <c r="N397">
        <v>4</v>
      </c>
      <c r="O397" t="s">
        <v>12</v>
      </c>
      <c r="P397">
        <v>14</v>
      </c>
      <c r="Q397" s="6" t="d">
        <v>1975-03-29</v>
      </c>
      <c r="R397">
        <v>24</v>
      </c>
      <c r="S397"/>
      <c r="T397" s="15" t="s">
        <v>1132</v>
      </c>
      <c r="U397" t="str" cm="1">
        <f t="array" ref="U397">_xlfn.TEXTJOIN(",",TRUE,_xlfn.XLOOKUP(_xlfn.FILTERXML("&lt;t&gt;&lt;s&gt;" &amp; SUBSTITUTE(T397,",","&lt;/s&gt;&lt;s&gt;") &amp; "&lt;/s&gt;&lt;/t&gt;", "//s"),Writers!$A$3:$A$999,Writers!$B$3:$B$999,""))</f>
        <v>Terry Nation</v>
      </c>
      <c r="V397"/>
      <c r="W397" t="str">
        <f>IF(V397="","",_xlfn.XLOOKUP(V397,Writers!$A$3:$A$999,Writers!$B$3:$B$999,""))</f>
        <v/>
      </c>
      <c r="X397">
        <v>8.8000000000000007</v>
      </c>
      <c r="Y397"/>
      <c r="Z397"/>
      <c r="AA397">
        <f t="shared" si="18"/>
        <v>10.69</v>
      </c>
      <c r="AB397" t="str">
        <f t="shared" si="19"/>
        <v/>
      </c>
      <c r="AC397" t="str">
        <f t="shared" si="20"/>
        <v/>
      </c>
      <c r="AD397">
        <f>VLOOKUP(YEAR(Q397),Populations!$A$3:$B$999,2,0)</f>
        <v>56225700</v>
      </c>
      <c r="AE397">
        <f>(Calculations!B1/AD397)</f>
        <v>1.2148347108173001</v>
      </c>
      <c r="AF397"/>
      <c r="AG397">
        <v>1</v>
      </c>
      <c r="AH397" t="str">
        <f>VLOOKUP(AG397,WikiFormats!$A$3:$B$999,2,0)</f>
        <v>Story</v>
      </c>
      <c r="AI397" t="s">
        <v>663</v>
      </c>
    </row>
    <row r="398" spans="1:35" s="2" customFormat="1" x14ac:dyDescent="0.55000000000000004">
      <c r="A398">
        <v>396</v>
      </c>
      <c r="B398">
        <v>1</v>
      </c>
      <c r="C398" t="str">
        <f>VLOOKUP(B398,Eras!$A$3:$B$999,2,0)</f>
        <v>Classic</v>
      </c>
      <c r="D398">
        <v>1</v>
      </c>
      <c r="E398" t="str">
        <f>VLOOKUP(D398,EpisodeFormats!$A$3:$B$999,2,0)</f>
        <v>Series</v>
      </c>
      <c r="F398">
        <v>4</v>
      </c>
      <c r="G398" t="str">
        <f>VLOOKUP(F398,Doctors!$A$3:$B$999,2,0)</f>
        <v>Tom Baker</v>
      </c>
      <c r="H398">
        <v>12</v>
      </c>
      <c r="I398">
        <v>1</v>
      </c>
      <c r="J398" t="str">
        <f>VLOOKUP(I398,SeasonFormats!$A$3:$B$999,2,0)</f>
        <v>Season</v>
      </c>
      <c r="K398">
        <v>78</v>
      </c>
      <c r="L398">
        <v>4</v>
      </c>
      <c r="M398" t="s">
        <v>435</v>
      </c>
      <c r="N398">
        <v>5</v>
      </c>
      <c r="O398" t="s">
        <v>430</v>
      </c>
      <c r="P398">
        <v>15</v>
      </c>
      <c r="Q398" s="6" t="d">
        <v>1975-04-05</v>
      </c>
      <c r="R398">
        <v>23</v>
      </c>
      <c r="S398"/>
      <c r="T398" s="15" t="s">
        <v>1132</v>
      </c>
      <c r="U398" t="str" cm="1">
        <f t="array" ref="U398">_xlfn.TEXTJOIN(",",TRUE,_xlfn.XLOOKUP(_xlfn.FILTERXML("&lt;t&gt;&lt;s&gt;" &amp; SUBSTITUTE(T398,",","&lt;/s&gt;&lt;s&gt;") &amp; "&lt;/s&gt;&lt;/t&gt;", "//s"),Writers!$A$3:$A$999,Writers!$B$3:$B$999,""))</f>
        <v>Terry Nation</v>
      </c>
      <c r="V398"/>
      <c r="W398" t="str">
        <f>IF(V398="","",_xlfn.XLOOKUP(V398,Writers!$A$3:$A$999,Writers!$B$3:$B$999,""))</f>
        <v/>
      </c>
      <c r="X398">
        <v>9.8000000000000007</v>
      </c>
      <c r="Y398"/>
      <c r="Z398"/>
      <c r="AA398">
        <f t="shared" si="18"/>
        <v>11.91</v>
      </c>
      <c r="AB398" t="str">
        <f t="shared" si="19"/>
        <v/>
      </c>
      <c r="AC398" t="str">
        <f t="shared" si="20"/>
        <v/>
      </c>
      <c r="AD398">
        <f>VLOOKUP(YEAR(Q398),Populations!$A$3:$B$999,2,0)</f>
        <v>56225700</v>
      </c>
      <c r="AE398">
        <f>(Calculations!B1/AD398)</f>
        <v>1.2148347108173001</v>
      </c>
      <c r="AF398"/>
      <c r="AG398">
        <v>1</v>
      </c>
      <c r="AH398" t="str">
        <f>VLOOKUP(AG398,WikiFormats!$A$3:$B$999,2,0)</f>
        <v>Story</v>
      </c>
      <c r="AI398" t="s">
        <v>663</v>
      </c>
    </row>
    <row r="399" spans="1:35" s="2" customFormat="1" x14ac:dyDescent="0.55000000000000004">
      <c r="A399">
        <v>397</v>
      </c>
      <c r="B399">
        <v>1</v>
      </c>
      <c r="C399" t="str">
        <f>VLOOKUP(B399,Eras!$A$3:$B$999,2,0)</f>
        <v>Classic</v>
      </c>
      <c r="D399">
        <v>1</v>
      </c>
      <c r="E399" t="str">
        <f>VLOOKUP(D399,EpisodeFormats!$A$3:$B$999,2,0)</f>
        <v>Series</v>
      </c>
      <c r="F399">
        <v>4</v>
      </c>
      <c r="G399" t="str">
        <f>VLOOKUP(F399,Doctors!$A$3:$B$999,2,0)</f>
        <v>Tom Baker</v>
      </c>
      <c r="H399">
        <v>12</v>
      </c>
      <c r="I399">
        <v>1</v>
      </c>
      <c r="J399" t="str">
        <f>VLOOKUP(I399,SeasonFormats!$A$3:$B$999,2,0)</f>
        <v>Season</v>
      </c>
      <c r="K399">
        <v>78</v>
      </c>
      <c r="L399">
        <v>4</v>
      </c>
      <c r="M399" t="s">
        <v>435</v>
      </c>
      <c r="N399">
        <v>6</v>
      </c>
      <c r="O399" t="s">
        <v>431</v>
      </c>
      <c r="P399">
        <v>16</v>
      </c>
      <c r="Q399" s="6" t="d">
        <v>1975-04-12</v>
      </c>
      <c r="R399">
        <v>24</v>
      </c>
      <c r="S399"/>
      <c r="T399" s="15" t="s">
        <v>1132</v>
      </c>
      <c r="U399" t="str" cm="1">
        <f t="array" ref="U399">_xlfn.TEXTJOIN(",",TRUE,_xlfn.XLOOKUP(_xlfn.FILTERXML("&lt;t&gt;&lt;s&gt;" &amp; SUBSTITUTE(T399,",","&lt;/s&gt;&lt;s&gt;") &amp; "&lt;/s&gt;&lt;/t&gt;", "//s"),Writers!$A$3:$A$999,Writers!$B$3:$B$999,""))</f>
        <v>Terry Nation</v>
      </c>
      <c r="V399"/>
      <c r="W399" t="str">
        <f>IF(V399="","",_xlfn.XLOOKUP(V399,Writers!$A$3:$A$999,Writers!$B$3:$B$999,""))</f>
        <v/>
      </c>
      <c r="X399">
        <v>9.1</v>
      </c>
      <c r="Y399"/>
      <c r="Z399"/>
      <c r="AA399">
        <f t="shared" si="18"/>
        <v>11.05</v>
      </c>
      <c r="AB399" t="str">
        <f t="shared" si="19"/>
        <v/>
      </c>
      <c r="AC399" t="str">
        <f t="shared" si="20"/>
        <v/>
      </c>
      <c r="AD399">
        <f>VLOOKUP(YEAR(Q399),Populations!$A$3:$B$999,2,0)</f>
        <v>56225700</v>
      </c>
      <c r="AE399">
        <f>(Calculations!B1/AD399)</f>
        <v>1.2148347108173001</v>
      </c>
      <c r="AF399"/>
      <c r="AG399">
        <v>1</v>
      </c>
      <c r="AH399" t="str">
        <f>VLOOKUP(AG399,WikiFormats!$A$3:$B$999,2,0)</f>
        <v>Story</v>
      </c>
      <c r="AI399" t="s">
        <v>663</v>
      </c>
    </row>
    <row r="400" spans="1:35" s="8" customFormat="1" x14ac:dyDescent="0.55000000000000004">
      <c r="A400" s="3">
        <v>398</v>
      </c>
      <c r="B400" s="3">
        <v>1</v>
      </c>
      <c r="C400" s="3" t="str">
        <f>VLOOKUP(B400,Eras!$A$3:$B$999,2,0)</f>
        <v>Classic</v>
      </c>
      <c r="D400" s="3">
        <v>1</v>
      </c>
      <c r="E400" s="3" t="str">
        <f>VLOOKUP(D400,EpisodeFormats!$A$3:$B$999,2,0)</f>
        <v>Series</v>
      </c>
      <c r="F400" s="3">
        <v>4</v>
      </c>
      <c r="G400" s="3" t="str">
        <f>VLOOKUP(F400,Doctors!$A$3:$B$999,2,0)</f>
        <v>Tom Baker</v>
      </c>
      <c r="H400" s="3">
        <v>12</v>
      </c>
      <c r="I400" s="3">
        <v>1</v>
      </c>
      <c r="J400" s="3" t="str">
        <f>VLOOKUP(I400,SeasonFormats!$A$3:$B$999,2,0)</f>
        <v>Season</v>
      </c>
      <c r="K400" s="3">
        <v>79</v>
      </c>
      <c r="L400" s="3">
        <v>5</v>
      </c>
      <c r="M400" s="3" t="s">
        <v>436</v>
      </c>
      <c r="N400" s="3">
        <v>1</v>
      </c>
      <c r="O400" s="3" t="s">
        <v>9</v>
      </c>
      <c r="P400" s="3">
        <v>17</v>
      </c>
      <c r="Q400" s="7" t="d">
        <v>1975-04-19</v>
      </c>
      <c r="R400" s="3">
        <v>24</v>
      </c>
      <c r="S400" s="3"/>
      <c r="T400" s="4" t="s">
        <v>1100</v>
      </c>
      <c r="U400" s="3" t="str" cm="1">
        <f t="array" ref="U400">_xlfn.TEXTJOIN(",",TRUE,_xlfn.XLOOKUP(_xlfn.FILTERXML("&lt;t&gt;&lt;s&gt;" &amp; SUBSTITUTE(T400,",","&lt;/s&gt;&lt;s&gt;") &amp; "&lt;/s&gt;&lt;/t&gt;", "//s"),Writers!$A$3:$A$999,Writers!$B$3:$B$999,""))</f>
        <v>Gerry Davis</v>
      </c>
      <c r="V400" s="3"/>
      <c r="W400" s="3" t="str">
        <f>IF(V400="","",_xlfn.XLOOKUP(V400,Writers!$A$3:$A$999,Writers!$B$3:$B$999,""))</f>
        <v/>
      </c>
      <c r="X400" s="3">
        <v>9.5</v>
      </c>
      <c r="Y400" s="3"/>
      <c r="Z400" s="3"/>
      <c r="AA400" s="3">
        <f t="shared" si="18"/>
        <v>11.54</v>
      </c>
      <c r="AB400" s="3" t="str">
        <f t="shared" si="19"/>
        <v/>
      </c>
      <c r="AC400" s="3" t="str">
        <f t="shared" si="20"/>
        <v/>
      </c>
      <c r="AD400" s="3">
        <f>VLOOKUP(YEAR(Q400),Populations!$A$3:$B$999,2,0)</f>
        <v>56225700</v>
      </c>
      <c r="AE400" s="3">
        <f>(Calculations!B1/AD400)</f>
        <v>1.2148347108173001</v>
      </c>
      <c r="AF400" s="3"/>
      <c r="AG400" s="3">
        <v>1</v>
      </c>
      <c r="AH400" s="3" t="str">
        <f>VLOOKUP(AG400,WikiFormats!$A$3:$B$999,2,0)</f>
        <v>Story</v>
      </c>
      <c r="AI400" s="3" t="s">
        <v>664</v>
      </c>
    </row>
    <row r="401" spans="1:35" s="8" customFormat="1" x14ac:dyDescent="0.55000000000000004">
      <c r="A401" s="3">
        <v>399</v>
      </c>
      <c r="B401" s="3">
        <v>1</v>
      </c>
      <c r="C401" s="3" t="str">
        <f>VLOOKUP(B401,Eras!$A$3:$B$999,2,0)</f>
        <v>Classic</v>
      </c>
      <c r="D401" s="3">
        <v>1</v>
      </c>
      <c r="E401" s="3" t="str">
        <f>VLOOKUP(D401,EpisodeFormats!$A$3:$B$999,2,0)</f>
        <v>Series</v>
      </c>
      <c r="F401" s="3">
        <v>4</v>
      </c>
      <c r="G401" s="3" t="str">
        <f>VLOOKUP(F401,Doctors!$A$3:$B$999,2,0)</f>
        <v>Tom Baker</v>
      </c>
      <c r="H401" s="3">
        <v>12</v>
      </c>
      <c r="I401" s="3">
        <v>1</v>
      </c>
      <c r="J401" s="3" t="str">
        <f>VLOOKUP(I401,SeasonFormats!$A$3:$B$999,2,0)</f>
        <v>Season</v>
      </c>
      <c r="K401" s="3">
        <v>79</v>
      </c>
      <c r="L401" s="3">
        <v>5</v>
      </c>
      <c r="M401" s="3" t="s">
        <v>436</v>
      </c>
      <c r="N401" s="3">
        <v>2</v>
      </c>
      <c r="O401" s="3" t="s">
        <v>10</v>
      </c>
      <c r="P401" s="3">
        <v>18</v>
      </c>
      <c r="Q401" s="7" t="d">
        <v>1975-04-26</v>
      </c>
      <c r="R401" s="3">
        <v>24</v>
      </c>
      <c r="S401" s="3"/>
      <c r="T401" s="4" t="s">
        <v>1100</v>
      </c>
      <c r="U401" s="3" t="str" cm="1">
        <f t="array" ref="U401">_xlfn.TEXTJOIN(",",TRUE,_xlfn.XLOOKUP(_xlfn.FILTERXML("&lt;t&gt;&lt;s&gt;" &amp; SUBSTITUTE(T401,",","&lt;/s&gt;&lt;s&gt;") &amp; "&lt;/s&gt;&lt;/t&gt;", "//s"),Writers!$A$3:$A$999,Writers!$B$3:$B$999,""))</f>
        <v>Gerry Davis</v>
      </c>
      <c r="V401" s="3"/>
      <c r="W401" s="3" t="str">
        <f>IF(V401="","",_xlfn.XLOOKUP(V401,Writers!$A$3:$A$999,Writers!$B$3:$B$999,""))</f>
        <v/>
      </c>
      <c r="X401" s="3">
        <v>8.3000000000000007</v>
      </c>
      <c r="Y401" s="3"/>
      <c r="Z401" s="3"/>
      <c r="AA401" s="3">
        <f t="shared" si="18"/>
        <v>10.08</v>
      </c>
      <c r="AB401" s="3" t="str">
        <f t="shared" si="19"/>
        <v/>
      </c>
      <c r="AC401" s="3" t="str">
        <f t="shared" si="20"/>
        <v/>
      </c>
      <c r="AD401" s="3">
        <f>VLOOKUP(YEAR(Q401),Populations!$A$3:$B$999,2,0)</f>
        <v>56225700</v>
      </c>
      <c r="AE401" s="3">
        <f>(Calculations!B1/AD401)</f>
        <v>1.2148347108173001</v>
      </c>
      <c r="AF401" s="3"/>
      <c r="AG401" s="3">
        <v>1</v>
      </c>
      <c r="AH401" s="3" t="str">
        <f>VLOOKUP(AG401,WikiFormats!$A$3:$B$999,2,0)</f>
        <v>Story</v>
      </c>
      <c r="AI401" s="3" t="s">
        <v>664</v>
      </c>
    </row>
    <row r="402" spans="1:35" s="8" customFormat="1" x14ac:dyDescent="0.55000000000000004">
      <c r="A402" s="3">
        <v>400</v>
      </c>
      <c r="B402" s="3">
        <v>1</v>
      </c>
      <c r="C402" s="3" t="str">
        <f>VLOOKUP(B402,Eras!$A$3:$B$999,2,0)</f>
        <v>Classic</v>
      </c>
      <c r="D402" s="3">
        <v>1</v>
      </c>
      <c r="E402" s="3" t="str">
        <f>VLOOKUP(D402,EpisodeFormats!$A$3:$B$999,2,0)</f>
        <v>Series</v>
      </c>
      <c r="F402" s="3">
        <v>4</v>
      </c>
      <c r="G402" s="3" t="str">
        <f>VLOOKUP(F402,Doctors!$A$3:$B$999,2,0)</f>
        <v>Tom Baker</v>
      </c>
      <c r="H402" s="3">
        <v>12</v>
      </c>
      <c r="I402" s="3">
        <v>1</v>
      </c>
      <c r="J402" s="3" t="str">
        <f>VLOOKUP(I402,SeasonFormats!$A$3:$B$999,2,0)</f>
        <v>Season</v>
      </c>
      <c r="K402" s="3">
        <v>79</v>
      </c>
      <c r="L402" s="3">
        <v>5</v>
      </c>
      <c r="M402" s="3" t="s">
        <v>436</v>
      </c>
      <c r="N402" s="3">
        <v>3</v>
      </c>
      <c r="O402" s="3" t="s">
        <v>11</v>
      </c>
      <c r="P402" s="3">
        <v>19</v>
      </c>
      <c r="Q402" s="7" t="d">
        <v>1975-05-03</v>
      </c>
      <c r="R402" s="3">
        <v>25</v>
      </c>
      <c r="S402" s="3"/>
      <c r="T402" s="4" t="s">
        <v>1100</v>
      </c>
      <c r="U402" s="3" t="str" cm="1">
        <f t="array" ref="U402">_xlfn.TEXTJOIN(",",TRUE,_xlfn.XLOOKUP(_xlfn.FILTERXML("&lt;t&gt;&lt;s&gt;" &amp; SUBSTITUTE(T402,",","&lt;/s&gt;&lt;s&gt;") &amp; "&lt;/s&gt;&lt;/t&gt;", "//s"),Writers!$A$3:$A$999,Writers!$B$3:$B$999,""))</f>
        <v>Gerry Davis</v>
      </c>
      <c r="V402" s="3"/>
      <c r="W402" s="3" t="str">
        <f>IF(V402="","",_xlfn.XLOOKUP(V402,Writers!$A$3:$A$999,Writers!$B$3:$B$999,""))</f>
        <v/>
      </c>
      <c r="X402" s="3">
        <v>8.9</v>
      </c>
      <c r="Y402" s="3"/>
      <c r="Z402" s="3"/>
      <c r="AA402" s="3">
        <f t="shared" si="18"/>
        <v>10.81</v>
      </c>
      <c r="AB402" s="3" t="str">
        <f t="shared" si="19"/>
        <v/>
      </c>
      <c r="AC402" s="3" t="str">
        <f t="shared" si="20"/>
        <v/>
      </c>
      <c r="AD402" s="3">
        <f>VLOOKUP(YEAR(Q402),Populations!$A$3:$B$999,2,0)</f>
        <v>56225700</v>
      </c>
      <c r="AE402" s="3">
        <f>(Calculations!B1/AD402)</f>
        <v>1.2148347108173001</v>
      </c>
      <c r="AF402" s="3"/>
      <c r="AG402" s="3">
        <v>1</v>
      </c>
      <c r="AH402" s="3" t="str">
        <f>VLOOKUP(AG402,WikiFormats!$A$3:$B$999,2,0)</f>
        <v>Story</v>
      </c>
      <c r="AI402" s="3" t="s">
        <v>664</v>
      </c>
    </row>
    <row r="403" spans="1:35" s="8" customFormat="1" x14ac:dyDescent="0.55000000000000004">
      <c r="A403" s="3">
        <v>401</v>
      </c>
      <c r="B403" s="3">
        <v>1</v>
      </c>
      <c r="C403" s="3" t="str">
        <f>VLOOKUP(B403,Eras!$A$3:$B$999,2,0)</f>
        <v>Classic</v>
      </c>
      <c r="D403" s="3">
        <v>1</v>
      </c>
      <c r="E403" s="3" t="str">
        <f>VLOOKUP(D403,EpisodeFormats!$A$3:$B$999,2,0)</f>
        <v>Series</v>
      </c>
      <c r="F403" s="3">
        <v>4</v>
      </c>
      <c r="G403" s="3" t="str">
        <f>VLOOKUP(F403,Doctors!$A$3:$B$999,2,0)</f>
        <v>Tom Baker</v>
      </c>
      <c r="H403" s="3">
        <v>12</v>
      </c>
      <c r="I403" s="3">
        <v>1</v>
      </c>
      <c r="J403" s="3" t="str">
        <f>VLOOKUP(I403,SeasonFormats!$A$3:$B$999,2,0)</f>
        <v>Season</v>
      </c>
      <c r="K403" s="3">
        <v>79</v>
      </c>
      <c r="L403" s="3">
        <v>5</v>
      </c>
      <c r="M403" s="3" t="s">
        <v>436</v>
      </c>
      <c r="N403" s="3">
        <v>4</v>
      </c>
      <c r="O403" s="3" t="s">
        <v>12</v>
      </c>
      <c r="P403" s="3">
        <v>20</v>
      </c>
      <c r="Q403" s="7" t="d">
        <v>1975-05-10</v>
      </c>
      <c r="R403" s="3">
        <v>23</v>
      </c>
      <c r="S403" s="3"/>
      <c r="T403" s="4" t="s">
        <v>1100</v>
      </c>
      <c r="U403" s="3" t="str" cm="1">
        <f t="array" ref="U403">_xlfn.TEXTJOIN(",",TRUE,_xlfn.XLOOKUP(_xlfn.FILTERXML("&lt;t&gt;&lt;s&gt;" &amp; SUBSTITUTE(T403,",","&lt;/s&gt;&lt;s&gt;") &amp; "&lt;/s&gt;&lt;/t&gt;", "//s"),Writers!$A$3:$A$999,Writers!$B$3:$B$999,""))</f>
        <v>Gerry Davis</v>
      </c>
      <c r="V403" s="3"/>
      <c r="W403" s="3" t="str">
        <f>IF(V403="","",_xlfn.XLOOKUP(V403,Writers!$A$3:$A$999,Writers!$B$3:$B$999,""))</f>
        <v/>
      </c>
      <c r="X403" s="3">
        <v>9.4</v>
      </c>
      <c r="Y403" s="3"/>
      <c r="Z403" s="3"/>
      <c r="AA403" s="3">
        <f t="shared" si="18"/>
        <v>11.42</v>
      </c>
      <c r="AB403" s="3" t="str">
        <f t="shared" si="19"/>
        <v/>
      </c>
      <c r="AC403" s="3" t="str">
        <f t="shared" si="20"/>
        <v/>
      </c>
      <c r="AD403" s="3">
        <f>VLOOKUP(YEAR(Q403),Populations!$A$3:$B$999,2,0)</f>
        <v>56225700</v>
      </c>
      <c r="AE403" s="3">
        <f>(Calculations!B1/AD403)</f>
        <v>1.2148347108173001</v>
      </c>
      <c r="AF403" s="3"/>
      <c r="AG403" s="3">
        <v>1</v>
      </c>
      <c r="AH403" s="3" t="str">
        <f>VLOOKUP(AG403,WikiFormats!$A$3:$B$999,2,0)</f>
        <v>Story</v>
      </c>
      <c r="AI403" s="3" t="s">
        <v>664</v>
      </c>
    </row>
    <row r="404" spans="1:35" s="2" customFormat="1" x14ac:dyDescent="0.55000000000000004">
      <c r="A404">
        <v>402</v>
      </c>
      <c r="B404">
        <v>1</v>
      </c>
      <c r="C404" t="str">
        <f>VLOOKUP(B404,Eras!$A$3:$B$999,2,0)</f>
        <v>Classic</v>
      </c>
      <c r="D404">
        <v>1</v>
      </c>
      <c r="E404" t="str">
        <f>VLOOKUP(D404,EpisodeFormats!$A$3:$B$999,2,0)</f>
        <v>Series</v>
      </c>
      <c r="F404">
        <v>4</v>
      </c>
      <c r="G404" t="str">
        <f>VLOOKUP(F404,Doctors!$A$3:$B$999,2,0)</f>
        <v>Tom Baker</v>
      </c>
      <c r="H404">
        <v>13</v>
      </c>
      <c r="I404">
        <v>1</v>
      </c>
      <c r="J404" t="str">
        <f>VLOOKUP(I404,SeasonFormats!$A$3:$B$999,2,0)</f>
        <v>Season</v>
      </c>
      <c r="K404">
        <v>80</v>
      </c>
      <c r="L404">
        <v>1</v>
      </c>
      <c r="M404" t="s">
        <v>437</v>
      </c>
      <c r="N404">
        <v>1</v>
      </c>
      <c r="O404" t="s">
        <v>9</v>
      </c>
      <c r="P404">
        <v>1</v>
      </c>
      <c r="Q404" s="6" t="d">
        <v>1975-08-30</v>
      </c>
      <c r="R404">
        <v>22</v>
      </c>
      <c r="S404"/>
      <c r="T404" s="15" t="s">
        <v>1171</v>
      </c>
      <c r="U404" t="str" cm="1">
        <f t="array" ref="U404">_xlfn.TEXTJOIN(",",TRUE,_xlfn.XLOOKUP(_xlfn.FILTERXML("&lt;t&gt;&lt;s&gt;" &amp; SUBSTITUTE(T404,",","&lt;/s&gt;&lt;s&gt;") &amp; "&lt;/s&gt;&lt;/t&gt;", "//s"),Writers!$A$3:$A$999,Writers!$B$3:$B$999,""))</f>
        <v>Robert Banks Stewart</v>
      </c>
      <c r="V404"/>
      <c r="W404" t="str">
        <f>IF(V404="","",_xlfn.XLOOKUP(V404,Writers!$A$3:$A$999,Writers!$B$3:$B$999,""))</f>
        <v/>
      </c>
      <c r="X404">
        <v>8.4</v>
      </c>
      <c r="Y404"/>
      <c r="Z404"/>
      <c r="AA404">
        <f t="shared" si="18"/>
        <v>10.199999999999999</v>
      </c>
      <c r="AB404" t="str">
        <f t="shared" si="19"/>
        <v/>
      </c>
      <c r="AC404" t="str">
        <f t="shared" si="20"/>
        <v/>
      </c>
      <c r="AD404">
        <f>VLOOKUP(YEAR(Q404),Populations!$A$3:$B$999,2,0)</f>
        <v>56225700</v>
      </c>
      <c r="AE404">
        <f>(Calculations!B1/AD404)</f>
        <v>1.2148347108173001</v>
      </c>
      <c r="AF404"/>
      <c r="AG404">
        <v>1</v>
      </c>
      <c r="AH404" t="str">
        <f>VLOOKUP(AG404,WikiFormats!$A$3:$B$999,2,0)</f>
        <v>Story</v>
      </c>
      <c r="AI404" t="s">
        <v>665</v>
      </c>
    </row>
    <row r="405" spans="1:35" s="2" customFormat="1" x14ac:dyDescent="0.55000000000000004">
      <c r="A405">
        <v>403</v>
      </c>
      <c r="B405">
        <v>1</v>
      </c>
      <c r="C405" t="str">
        <f>VLOOKUP(B405,Eras!$A$3:$B$999,2,0)</f>
        <v>Classic</v>
      </c>
      <c r="D405">
        <v>1</v>
      </c>
      <c r="E405" t="str">
        <f>VLOOKUP(D405,EpisodeFormats!$A$3:$B$999,2,0)</f>
        <v>Series</v>
      </c>
      <c r="F405">
        <v>4</v>
      </c>
      <c r="G405" t="str">
        <f>VLOOKUP(F405,Doctors!$A$3:$B$999,2,0)</f>
        <v>Tom Baker</v>
      </c>
      <c r="H405">
        <v>13</v>
      </c>
      <c r="I405">
        <v>1</v>
      </c>
      <c r="J405" t="str">
        <f>VLOOKUP(I405,SeasonFormats!$A$3:$B$999,2,0)</f>
        <v>Season</v>
      </c>
      <c r="K405">
        <v>80</v>
      </c>
      <c r="L405">
        <v>1</v>
      </c>
      <c r="M405" t="s">
        <v>437</v>
      </c>
      <c r="N405">
        <v>2</v>
      </c>
      <c r="O405" t="s">
        <v>10</v>
      </c>
      <c r="P405">
        <v>2</v>
      </c>
      <c r="Q405" s="6" t="d">
        <v>1975-09-06</v>
      </c>
      <c r="R405">
        <v>25</v>
      </c>
      <c r="S405"/>
      <c r="T405" s="15" t="s">
        <v>1171</v>
      </c>
      <c r="U405" t="str" cm="1">
        <f t="array" ref="U405">_xlfn.TEXTJOIN(",",TRUE,_xlfn.XLOOKUP(_xlfn.FILTERXML("&lt;t&gt;&lt;s&gt;" &amp; SUBSTITUTE(T405,",","&lt;/s&gt;&lt;s&gt;") &amp; "&lt;/s&gt;&lt;/t&gt;", "//s"),Writers!$A$3:$A$999,Writers!$B$3:$B$999,""))</f>
        <v>Robert Banks Stewart</v>
      </c>
      <c r="V405"/>
      <c r="W405" t="str">
        <f>IF(V405="","",_xlfn.XLOOKUP(V405,Writers!$A$3:$A$999,Writers!$B$3:$B$999,""))</f>
        <v/>
      </c>
      <c r="X405">
        <v>6.1</v>
      </c>
      <c r="Y405"/>
      <c r="Z405"/>
      <c r="AA405">
        <f t="shared" si="18"/>
        <v>7.41</v>
      </c>
      <c r="AB405" t="str">
        <f t="shared" si="19"/>
        <v/>
      </c>
      <c r="AC405" t="str">
        <f t="shared" si="20"/>
        <v/>
      </c>
      <c r="AD405">
        <f>VLOOKUP(YEAR(Q405),Populations!$A$3:$B$999,2,0)</f>
        <v>56225700</v>
      </c>
      <c r="AE405">
        <f>(Calculations!B1/AD405)</f>
        <v>1.2148347108173001</v>
      </c>
      <c r="AF405"/>
      <c r="AG405">
        <v>1</v>
      </c>
      <c r="AH405" t="str">
        <f>VLOOKUP(AG405,WikiFormats!$A$3:$B$999,2,0)</f>
        <v>Story</v>
      </c>
      <c r="AI405" t="s">
        <v>665</v>
      </c>
    </row>
    <row r="406" spans="1:35" s="2" customFormat="1" x14ac:dyDescent="0.55000000000000004">
      <c r="A406">
        <v>404</v>
      </c>
      <c r="B406">
        <v>1</v>
      </c>
      <c r="C406" t="str">
        <f>VLOOKUP(B406,Eras!$A$3:$B$999,2,0)</f>
        <v>Classic</v>
      </c>
      <c r="D406">
        <v>1</v>
      </c>
      <c r="E406" t="str">
        <f>VLOOKUP(D406,EpisodeFormats!$A$3:$B$999,2,0)</f>
        <v>Series</v>
      </c>
      <c r="F406">
        <v>4</v>
      </c>
      <c r="G406" t="str">
        <f>VLOOKUP(F406,Doctors!$A$3:$B$999,2,0)</f>
        <v>Tom Baker</v>
      </c>
      <c r="H406">
        <v>13</v>
      </c>
      <c r="I406">
        <v>1</v>
      </c>
      <c r="J406" t="str">
        <f>VLOOKUP(I406,SeasonFormats!$A$3:$B$999,2,0)</f>
        <v>Season</v>
      </c>
      <c r="K406">
        <v>80</v>
      </c>
      <c r="L406">
        <v>1</v>
      </c>
      <c r="M406" t="s">
        <v>437</v>
      </c>
      <c r="N406">
        <v>3</v>
      </c>
      <c r="O406" t="s">
        <v>11</v>
      </c>
      <c r="P406">
        <v>3</v>
      </c>
      <c r="Q406" s="6" t="d">
        <v>1975-09-13</v>
      </c>
      <c r="R406">
        <v>24</v>
      </c>
      <c r="S406"/>
      <c r="T406" s="15" t="s">
        <v>1171</v>
      </c>
      <c r="U406" t="str" cm="1">
        <f t="array" ref="U406">_xlfn.TEXTJOIN(",",TRUE,_xlfn.XLOOKUP(_xlfn.FILTERXML("&lt;t&gt;&lt;s&gt;" &amp; SUBSTITUTE(T406,",","&lt;/s&gt;&lt;s&gt;") &amp; "&lt;/s&gt;&lt;/t&gt;", "//s"),Writers!$A$3:$A$999,Writers!$B$3:$B$999,""))</f>
        <v>Robert Banks Stewart</v>
      </c>
      <c r="V406"/>
      <c r="W406" t="str">
        <f>IF(V406="","",_xlfn.XLOOKUP(V406,Writers!$A$3:$A$999,Writers!$B$3:$B$999,""))</f>
        <v/>
      </c>
      <c r="X406">
        <v>8.1999999999999993</v>
      </c>
      <c r="Y406"/>
      <c r="Z406"/>
      <c r="AA406">
        <f t="shared" si="18"/>
        <v>9.9600000000000009</v>
      </c>
      <c r="AB406" t="str">
        <f t="shared" si="19"/>
        <v/>
      </c>
      <c r="AC406" t="str">
        <f t="shared" si="20"/>
        <v/>
      </c>
      <c r="AD406">
        <f>VLOOKUP(YEAR(Q406),Populations!$A$3:$B$999,2,0)</f>
        <v>56225700</v>
      </c>
      <c r="AE406">
        <f>(Calculations!B1/AD406)</f>
        <v>1.2148347108173001</v>
      </c>
      <c r="AF406"/>
      <c r="AG406">
        <v>1</v>
      </c>
      <c r="AH406" t="str">
        <f>VLOOKUP(AG406,WikiFormats!$A$3:$B$999,2,0)</f>
        <v>Story</v>
      </c>
      <c r="AI406" t="s">
        <v>665</v>
      </c>
    </row>
    <row r="407" spans="1:35" s="2" customFormat="1" x14ac:dyDescent="0.55000000000000004">
      <c r="A407">
        <v>405</v>
      </c>
      <c r="B407">
        <v>1</v>
      </c>
      <c r="C407" t="str">
        <f>VLOOKUP(B407,Eras!$A$3:$B$999,2,0)</f>
        <v>Classic</v>
      </c>
      <c r="D407">
        <v>1</v>
      </c>
      <c r="E407" t="str">
        <f>VLOOKUP(D407,EpisodeFormats!$A$3:$B$999,2,0)</f>
        <v>Series</v>
      </c>
      <c r="F407">
        <v>4</v>
      </c>
      <c r="G407" t="str">
        <f>VLOOKUP(F407,Doctors!$A$3:$B$999,2,0)</f>
        <v>Tom Baker</v>
      </c>
      <c r="H407">
        <v>13</v>
      </c>
      <c r="I407">
        <v>1</v>
      </c>
      <c r="J407" t="str">
        <f>VLOOKUP(I407,SeasonFormats!$A$3:$B$999,2,0)</f>
        <v>Season</v>
      </c>
      <c r="K407">
        <v>80</v>
      </c>
      <c r="L407">
        <v>1</v>
      </c>
      <c r="M407" t="s">
        <v>437</v>
      </c>
      <c r="N407">
        <v>4</v>
      </c>
      <c r="O407" t="s">
        <v>12</v>
      </c>
      <c r="P407">
        <v>4</v>
      </c>
      <c r="Q407" s="6" t="d">
        <v>1975-09-20</v>
      </c>
      <c r="R407">
        <v>25</v>
      </c>
      <c r="S407"/>
      <c r="T407" s="15" t="s">
        <v>1171</v>
      </c>
      <c r="U407" t="str" cm="1">
        <f t="array" ref="U407">_xlfn.TEXTJOIN(",",TRUE,_xlfn.XLOOKUP(_xlfn.FILTERXML("&lt;t&gt;&lt;s&gt;" &amp; SUBSTITUTE(T407,",","&lt;/s&gt;&lt;s&gt;") &amp; "&lt;/s&gt;&lt;/t&gt;", "//s"),Writers!$A$3:$A$999,Writers!$B$3:$B$999,""))</f>
        <v>Robert Banks Stewart</v>
      </c>
      <c r="V407"/>
      <c r="W407" t="str">
        <f>IF(V407="","",_xlfn.XLOOKUP(V407,Writers!$A$3:$A$999,Writers!$B$3:$B$999,""))</f>
        <v/>
      </c>
      <c r="X407">
        <v>7.2</v>
      </c>
      <c r="Y407"/>
      <c r="Z407"/>
      <c r="AA407">
        <f t="shared" si="18"/>
        <v>8.75</v>
      </c>
      <c r="AB407" t="str">
        <f t="shared" si="19"/>
        <v/>
      </c>
      <c r="AC407" t="str">
        <f t="shared" si="20"/>
        <v/>
      </c>
      <c r="AD407">
        <f>VLOOKUP(YEAR(Q407),Populations!$A$3:$B$999,2,0)</f>
        <v>56225700</v>
      </c>
      <c r="AE407">
        <f>(Calculations!B1/AD407)</f>
        <v>1.2148347108173001</v>
      </c>
      <c r="AF407"/>
      <c r="AG407">
        <v>1</v>
      </c>
      <c r="AH407" t="str">
        <f>VLOOKUP(AG407,WikiFormats!$A$3:$B$999,2,0)</f>
        <v>Story</v>
      </c>
      <c r="AI407" t="s">
        <v>665</v>
      </c>
    </row>
    <row r="408" spans="1:35" s="8" customFormat="1" x14ac:dyDescent="0.55000000000000004">
      <c r="A408" s="3">
        <v>406</v>
      </c>
      <c r="B408" s="3">
        <v>1</v>
      </c>
      <c r="C408" s="3" t="str">
        <f>VLOOKUP(B408,Eras!$A$3:$B$999,2,0)</f>
        <v>Classic</v>
      </c>
      <c r="D408" s="3">
        <v>1</v>
      </c>
      <c r="E408" s="3" t="str">
        <f>VLOOKUP(D408,EpisodeFormats!$A$3:$B$999,2,0)</f>
        <v>Series</v>
      </c>
      <c r="F408" s="3">
        <v>4</v>
      </c>
      <c r="G408" s="3" t="str">
        <f>VLOOKUP(F408,Doctors!$A$3:$B$999,2,0)</f>
        <v>Tom Baker</v>
      </c>
      <c r="H408" s="3">
        <v>13</v>
      </c>
      <c r="I408" s="3">
        <v>1</v>
      </c>
      <c r="J408" s="3" t="str">
        <f>VLOOKUP(I408,SeasonFormats!$A$3:$B$999,2,0)</f>
        <v>Season</v>
      </c>
      <c r="K408" s="3">
        <v>81</v>
      </c>
      <c r="L408" s="3">
        <v>2</v>
      </c>
      <c r="M408" s="3" t="s">
        <v>438</v>
      </c>
      <c r="N408" s="3">
        <v>1</v>
      </c>
      <c r="O408" s="3" t="s">
        <v>9</v>
      </c>
      <c r="P408" s="3">
        <v>5</v>
      </c>
      <c r="Q408" s="7" t="d">
        <v>1975-09-27</v>
      </c>
      <c r="R408" s="3">
        <v>24</v>
      </c>
      <c r="S408" s="3"/>
      <c r="T408" s="4" t="s">
        <v>1139</v>
      </c>
      <c r="U408" s="3" t="str" cm="1">
        <f t="array" ref="U408">_xlfn.TEXTJOIN(",",TRUE,_xlfn.XLOOKUP(_xlfn.FILTERXML("&lt;t&gt;&lt;s&gt;" &amp; SUBSTITUTE(T408,",","&lt;/s&gt;&lt;s&gt;") &amp; "&lt;/s&gt;&lt;/t&gt;", "//s"),Writers!$A$3:$A$999,Writers!$B$3:$B$999,""))</f>
        <v>Louis Marks</v>
      </c>
      <c r="V408" s="3"/>
      <c r="W408" s="3" t="str">
        <f>IF(V408="","",_xlfn.XLOOKUP(V408,Writers!$A$3:$A$999,Writers!$B$3:$B$999,""))</f>
        <v/>
      </c>
      <c r="X408" s="3">
        <v>10.4</v>
      </c>
      <c r="Y408" s="3"/>
      <c r="Z408" s="3"/>
      <c r="AA408" s="3">
        <f t="shared" si="18"/>
        <v>12.63</v>
      </c>
      <c r="AB408" s="3" t="str">
        <f t="shared" si="19"/>
        <v/>
      </c>
      <c r="AC408" s="3" t="str">
        <f t="shared" si="20"/>
        <v/>
      </c>
      <c r="AD408" s="3">
        <f>VLOOKUP(YEAR(Q408),Populations!$A$3:$B$999,2,0)</f>
        <v>56225700</v>
      </c>
      <c r="AE408" s="3">
        <f>(Calculations!B1/AD408)</f>
        <v>1.2148347108173001</v>
      </c>
      <c r="AF408" s="3"/>
      <c r="AG408" s="3">
        <v>1</v>
      </c>
      <c r="AH408" s="3" t="str">
        <f>VLOOKUP(AG408,WikiFormats!$A$3:$B$999,2,0)</f>
        <v>Story</v>
      </c>
      <c r="AI408" s="3" t="s">
        <v>666</v>
      </c>
    </row>
    <row r="409" spans="1:35" s="8" customFormat="1" x14ac:dyDescent="0.55000000000000004">
      <c r="A409" s="3">
        <v>407</v>
      </c>
      <c r="B409" s="3">
        <v>1</v>
      </c>
      <c r="C409" s="3" t="str">
        <f>VLOOKUP(B409,Eras!$A$3:$B$999,2,0)</f>
        <v>Classic</v>
      </c>
      <c r="D409" s="3">
        <v>1</v>
      </c>
      <c r="E409" s="3" t="str">
        <f>VLOOKUP(D409,EpisodeFormats!$A$3:$B$999,2,0)</f>
        <v>Series</v>
      </c>
      <c r="F409" s="3">
        <v>4</v>
      </c>
      <c r="G409" s="3" t="str">
        <f>VLOOKUP(F409,Doctors!$A$3:$B$999,2,0)</f>
        <v>Tom Baker</v>
      </c>
      <c r="H409" s="3">
        <v>13</v>
      </c>
      <c r="I409" s="3">
        <v>1</v>
      </c>
      <c r="J409" s="3" t="str">
        <f>VLOOKUP(I409,SeasonFormats!$A$3:$B$999,2,0)</f>
        <v>Season</v>
      </c>
      <c r="K409" s="3">
        <v>81</v>
      </c>
      <c r="L409" s="3">
        <v>2</v>
      </c>
      <c r="M409" s="3" t="s">
        <v>438</v>
      </c>
      <c r="N409" s="3">
        <v>2</v>
      </c>
      <c r="O409" s="3" t="s">
        <v>10</v>
      </c>
      <c r="P409" s="3">
        <v>6</v>
      </c>
      <c r="Q409" s="7" t="d">
        <v>1975-10-04</v>
      </c>
      <c r="R409" s="3">
        <v>23</v>
      </c>
      <c r="S409" s="3"/>
      <c r="T409" s="4" t="s">
        <v>1139</v>
      </c>
      <c r="U409" s="3" t="str" cm="1">
        <f t="array" ref="U409">_xlfn.TEXTJOIN(",",TRUE,_xlfn.XLOOKUP(_xlfn.FILTERXML("&lt;t&gt;&lt;s&gt;" &amp; SUBSTITUTE(T409,",","&lt;/s&gt;&lt;s&gt;") &amp; "&lt;/s&gt;&lt;/t&gt;", "//s"),Writers!$A$3:$A$999,Writers!$B$3:$B$999,""))</f>
        <v>Louis Marks</v>
      </c>
      <c r="V409" s="3"/>
      <c r="W409" s="3" t="str">
        <f>IF(V409="","",_xlfn.XLOOKUP(V409,Writers!$A$3:$A$999,Writers!$B$3:$B$999,""))</f>
        <v/>
      </c>
      <c r="X409" s="3">
        <v>9.9</v>
      </c>
      <c r="Y409" s="3"/>
      <c r="Z409" s="3"/>
      <c r="AA409" s="3">
        <f t="shared" si="18"/>
        <v>12.03</v>
      </c>
      <c r="AB409" s="3" t="str">
        <f t="shared" si="19"/>
        <v/>
      </c>
      <c r="AC409" s="3" t="str">
        <f t="shared" si="20"/>
        <v/>
      </c>
      <c r="AD409" s="3">
        <f>VLOOKUP(YEAR(Q409),Populations!$A$3:$B$999,2,0)</f>
        <v>56225700</v>
      </c>
      <c r="AE409" s="3">
        <f>(Calculations!B1/AD409)</f>
        <v>1.2148347108173001</v>
      </c>
      <c r="AF409" s="3"/>
      <c r="AG409" s="3">
        <v>1</v>
      </c>
      <c r="AH409" s="3" t="str">
        <f>VLOOKUP(AG409,WikiFormats!$A$3:$B$999,2,0)</f>
        <v>Story</v>
      </c>
      <c r="AI409" s="3" t="s">
        <v>666</v>
      </c>
    </row>
    <row r="410" spans="1:35" s="8" customFormat="1" x14ac:dyDescent="0.55000000000000004">
      <c r="A410" s="3">
        <v>408</v>
      </c>
      <c r="B410" s="3">
        <v>1</v>
      </c>
      <c r="C410" s="3" t="str">
        <f>VLOOKUP(B410,Eras!$A$3:$B$999,2,0)</f>
        <v>Classic</v>
      </c>
      <c r="D410" s="3">
        <v>1</v>
      </c>
      <c r="E410" s="3" t="str">
        <f>VLOOKUP(D410,EpisodeFormats!$A$3:$B$999,2,0)</f>
        <v>Series</v>
      </c>
      <c r="F410" s="3">
        <v>4</v>
      </c>
      <c r="G410" s="3" t="str">
        <f>VLOOKUP(F410,Doctors!$A$3:$B$999,2,0)</f>
        <v>Tom Baker</v>
      </c>
      <c r="H410" s="3">
        <v>13</v>
      </c>
      <c r="I410" s="3">
        <v>1</v>
      </c>
      <c r="J410" s="3" t="str">
        <f>VLOOKUP(I410,SeasonFormats!$A$3:$B$999,2,0)</f>
        <v>Season</v>
      </c>
      <c r="K410" s="3">
        <v>81</v>
      </c>
      <c r="L410" s="3">
        <v>2</v>
      </c>
      <c r="M410" s="3" t="s">
        <v>438</v>
      </c>
      <c r="N410" s="3">
        <v>3</v>
      </c>
      <c r="O410" s="3" t="s">
        <v>11</v>
      </c>
      <c r="P410" s="3">
        <v>7</v>
      </c>
      <c r="Q410" s="7" t="d">
        <v>1975-10-11</v>
      </c>
      <c r="R410" s="3">
        <v>24</v>
      </c>
      <c r="S410" s="3"/>
      <c r="T410" s="4" t="s">
        <v>1139</v>
      </c>
      <c r="U410" s="3" t="str" cm="1">
        <f t="array" ref="U410">_xlfn.TEXTJOIN(",",TRUE,_xlfn.XLOOKUP(_xlfn.FILTERXML("&lt;t&gt;&lt;s&gt;" &amp; SUBSTITUTE(T410,",","&lt;/s&gt;&lt;s&gt;") &amp; "&lt;/s&gt;&lt;/t&gt;", "//s"),Writers!$A$3:$A$999,Writers!$B$3:$B$999,""))</f>
        <v>Louis Marks</v>
      </c>
      <c r="V410" s="3"/>
      <c r="W410" s="3" t="str">
        <f>IF(V410="","",_xlfn.XLOOKUP(V410,Writers!$A$3:$A$999,Writers!$B$3:$B$999,""))</f>
        <v/>
      </c>
      <c r="X410" s="3">
        <v>9.1</v>
      </c>
      <c r="Y410" s="3"/>
      <c r="Z410" s="3"/>
      <c r="AA410" s="3">
        <f t="shared" si="18"/>
        <v>11.05</v>
      </c>
      <c r="AB410" s="3" t="str">
        <f t="shared" si="19"/>
        <v/>
      </c>
      <c r="AC410" s="3" t="str">
        <f t="shared" si="20"/>
        <v/>
      </c>
      <c r="AD410" s="3">
        <f>VLOOKUP(YEAR(Q410),Populations!$A$3:$B$999,2,0)</f>
        <v>56225700</v>
      </c>
      <c r="AE410" s="3">
        <f>(Calculations!B1/AD410)</f>
        <v>1.2148347108173001</v>
      </c>
      <c r="AF410" s="3"/>
      <c r="AG410" s="3">
        <v>1</v>
      </c>
      <c r="AH410" s="3" t="str">
        <f>VLOOKUP(AG410,WikiFormats!$A$3:$B$999,2,0)</f>
        <v>Story</v>
      </c>
      <c r="AI410" s="3" t="s">
        <v>666</v>
      </c>
    </row>
    <row r="411" spans="1:35" s="8" customFormat="1" x14ac:dyDescent="0.55000000000000004">
      <c r="A411" s="3">
        <v>409</v>
      </c>
      <c r="B411" s="3">
        <v>1</v>
      </c>
      <c r="C411" s="3" t="str">
        <f>VLOOKUP(B411,Eras!$A$3:$B$999,2,0)</f>
        <v>Classic</v>
      </c>
      <c r="D411" s="3">
        <v>1</v>
      </c>
      <c r="E411" s="3" t="str">
        <f>VLOOKUP(D411,EpisodeFormats!$A$3:$B$999,2,0)</f>
        <v>Series</v>
      </c>
      <c r="F411" s="3">
        <v>4</v>
      </c>
      <c r="G411" s="3" t="str">
        <f>VLOOKUP(F411,Doctors!$A$3:$B$999,2,0)</f>
        <v>Tom Baker</v>
      </c>
      <c r="H411" s="3">
        <v>13</v>
      </c>
      <c r="I411" s="3">
        <v>1</v>
      </c>
      <c r="J411" s="3" t="str">
        <f>VLOOKUP(I411,SeasonFormats!$A$3:$B$999,2,0)</f>
        <v>Season</v>
      </c>
      <c r="K411" s="3">
        <v>81</v>
      </c>
      <c r="L411" s="3">
        <v>2</v>
      </c>
      <c r="M411" s="3" t="s">
        <v>438</v>
      </c>
      <c r="N411" s="3">
        <v>4</v>
      </c>
      <c r="O411" s="3" t="s">
        <v>12</v>
      </c>
      <c r="P411" s="3">
        <v>8</v>
      </c>
      <c r="Q411" s="7" t="d">
        <v>1975-10-18</v>
      </c>
      <c r="R411" s="3">
        <v>24</v>
      </c>
      <c r="S411" s="3"/>
      <c r="T411" s="4" t="s">
        <v>1139</v>
      </c>
      <c r="U411" s="3" t="str" cm="1">
        <f t="array" ref="U411">_xlfn.TEXTJOIN(",",TRUE,_xlfn.XLOOKUP(_xlfn.FILTERXML("&lt;t&gt;&lt;s&gt;" &amp; SUBSTITUTE(T411,",","&lt;/s&gt;&lt;s&gt;") &amp; "&lt;/s&gt;&lt;/t&gt;", "//s"),Writers!$A$3:$A$999,Writers!$B$3:$B$999,""))</f>
        <v>Louis Marks</v>
      </c>
      <c r="V411" s="3"/>
      <c r="W411" s="3" t="str">
        <f>IF(V411="","",_xlfn.XLOOKUP(V411,Writers!$A$3:$A$999,Writers!$B$3:$B$999,""))</f>
        <v/>
      </c>
      <c r="X411" s="3">
        <v>10.1</v>
      </c>
      <c r="Y411" s="3"/>
      <c r="Z411" s="3"/>
      <c r="AA411" s="3">
        <f t="shared" si="18"/>
        <v>12.27</v>
      </c>
      <c r="AB411" s="3" t="str">
        <f t="shared" si="19"/>
        <v/>
      </c>
      <c r="AC411" s="3" t="str">
        <f t="shared" si="20"/>
        <v/>
      </c>
      <c r="AD411" s="3">
        <f>VLOOKUP(YEAR(Q411),Populations!$A$3:$B$999,2,0)</f>
        <v>56225700</v>
      </c>
      <c r="AE411" s="3">
        <f>(Calculations!B1/AD411)</f>
        <v>1.2148347108173001</v>
      </c>
      <c r="AF411" s="3"/>
      <c r="AG411" s="3">
        <v>1</v>
      </c>
      <c r="AH411" s="3" t="str">
        <f>VLOOKUP(AG411,WikiFormats!$A$3:$B$999,2,0)</f>
        <v>Story</v>
      </c>
      <c r="AI411" s="3" t="s">
        <v>666</v>
      </c>
    </row>
    <row r="412" spans="1:35" s="2" customFormat="1" x14ac:dyDescent="0.55000000000000004">
      <c r="A412">
        <v>410</v>
      </c>
      <c r="B412">
        <v>1</v>
      </c>
      <c r="C412" t="str">
        <f>VLOOKUP(B412,Eras!$A$3:$B$999,2,0)</f>
        <v>Classic</v>
      </c>
      <c r="D412">
        <v>1</v>
      </c>
      <c r="E412" t="str">
        <f>VLOOKUP(D412,EpisodeFormats!$A$3:$B$999,2,0)</f>
        <v>Series</v>
      </c>
      <c r="F412">
        <v>4</v>
      </c>
      <c r="G412" t="str">
        <f>VLOOKUP(F412,Doctors!$A$3:$B$999,2,0)</f>
        <v>Tom Baker</v>
      </c>
      <c r="H412">
        <v>13</v>
      </c>
      <c r="I412">
        <v>1</v>
      </c>
      <c r="J412" t="str">
        <f>VLOOKUP(I412,SeasonFormats!$A$3:$B$999,2,0)</f>
        <v>Season</v>
      </c>
      <c r="K412">
        <v>82</v>
      </c>
      <c r="L412">
        <v>3</v>
      </c>
      <c r="M412" t="s">
        <v>439</v>
      </c>
      <c r="N412">
        <v>1</v>
      </c>
      <c r="O412" t="s">
        <v>9</v>
      </c>
      <c r="P412">
        <v>9</v>
      </c>
      <c r="Q412" s="6" t="d">
        <v>1975-10-25</v>
      </c>
      <c r="R412">
        <v>25</v>
      </c>
      <c r="S412"/>
      <c r="T412" s="15" t="s">
        <v>1120</v>
      </c>
      <c r="U412" t="str" cm="1">
        <f t="array" ref="U412">_xlfn.TEXTJOIN(",",TRUE,_xlfn.XLOOKUP(_xlfn.FILTERXML("&lt;t&gt;&lt;s&gt;" &amp; SUBSTITUTE(T412,",","&lt;/s&gt;&lt;s&gt;") &amp; "&lt;/s&gt;&lt;/t&gt;", "//s"),Writers!$A$3:$A$999,Writers!$B$3:$B$999,""))</f>
        <v>Lewis Greifer,Robert Holmes</v>
      </c>
      <c r="V412">
        <v>50</v>
      </c>
      <c r="W412" t="str">
        <f>IF(V412="","",_xlfn.XLOOKUP(V412,Writers!$A$3:$A$999,Writers!$B$3:$B$999,""))</f>
        <v>Stephen Harris</v>
      </c>
      <c r="X412">
        <v>10.5</v>
      </c>
      <c r="Y412"/>
      <c r="Z412"/>
      <c r="AA412">
        <f t="shared" si="18"/>
        <v>12.76</v>
      </c>
      <c r="AB412" t="str">
        <f t="shared" si="19"/>
        <v/>
      </c>
      <c r="AC412" t="str">
        <f t="shared" si="20"/>
        <v/>
      </c>
      <c r="AD412">
        <f>VLOOKUP(YEAR(Q412),Populations!$A$3:$B$999,2,0)</f>
        <v>56225700</v>
      </c>
      <c r="AE412">
        <f>(Calculations!B1/AD412)</f>
        <v>1.2148347108173001</v>
      </c>
      <c r="AF412"/>
      <c r="AG412">
        <v>1</v>
      </c>
      <c r="AH412" t="str">
        <f>VLOOKUP(AG412,WikiFormats!$A$3:$B$999,2,0)</f>
        <v>Story</v>
      </c>
      <c r="AI412" t="s">
        <v>667</v>
      </c>
    </row>
    <row r="413" spans="1:35" s="2" customFormat="1" x14ac:dyDescent="0.55000000000000004">
      <c r="A413">
        <v>411</v>
      </c>
      <c r="B413">
        <v>1</v>
      </c>
      <c r="C413" t="str">
        <f>VLOOKUP(B413,Eras!$A$3:$B$999,2,0)</f>
        <v>Classic</v>
      </c>
      <c r="D413">
        <v>1</v>
      </c>
      <c r="E413" t="str">
        <f>VLOOKUP(D413,EpisodeFormats!$A$3:$B$999,2,0)</f>
        <v>Series</v>
      </c>
      <c r="F413">
        <v>4</v>
      </c>
      <c r="G413" t="str">
        <f>VLOOKUP(F413,Doctors!$A$3:$B$999,2,0)</f>
        <v>Tom Baker</v>
      </c>
      <c r="H413">
        <v>13</v>
      </c>
      <c r="I413">
        <v>1</v>
      </c>
      <c r="J413" t="str">
        <f>VLOOKUP(I413,SeasonFormats!$A$3:$B$999,2,0)</f>
        <v>Season</v>
      </c>
      <c r="K413">
        <v>82</v>
      </c>
      <c r="L413">
        <v>3</v>
      </c>
      <c r="M413" t="s">
        <v>439</v>
      </c>
      <c r="N413">
        <v>2</v>
      </c>
      <c r="O413" t="s">
        <v>10</v>
      </c>
      <c r="P413">
        <v>10</v>
      </c>
      <c r="Q413" s="6" t="d">
        <v>1975-11-01</v>
      </c>
      <c r="R413">
        <v>24</v>
      </c>
      <c r="S413"/>
      <c r="T413" s="15" t="s">
        <v>1120</v>
      </c>
      <c r="U413" t="str" cm="1">
        <f t="array" ref="U413">_xlfn.TEXTJOIN(",",TRUE,_xlfn.XLOOKUP(_xlfn.FILTERXML("&lt;t&gt;&lt;s&gt;" &amp; SUBSTITUTE(T413,",","&lt;/s&gt;&lt;s&gt;") &amp; "&lt;/s&gt;&lt;/t&gt;", "//s"),Writers!$A$3:$A$999,Writers!$B$3:$B$999,""))</f>
        <v>Lewis Greifer,Robert Holmes</v>
      </c>
      <c r="V413">
        <v>50</v>
      </c>
      <c r="W413" t="str">
        <f>IF(V413="","",_xlfn.XLOOKUP(V413,Writers!$A$3:$A$999,Writers!$B$3:$B$999,""))</f>
        <v>Stephen Harris</v>
      </c>
      <c r="X413">
        <v>11.3</v>
      </c>
      <c r="Y413"/>
      <c r="Z413"/>
      <c r="AA413">
        <f t="shared" si="18"/>
        <v>13.73</v>
      </c>
      <c r="AB413" t="str">
        <f t="shared" si="19"/>
        <v/>
      </c>
      <c r="AC413" t="str">
        <f t="shared" si="20"/>
        <v/>
      </c>
      <c r="AD413">
        <f>VLOOKUP(YEAR(Q413),Populations!$A$3:$B$999,2,0)</f>
        <v>56225700</v>
      </c>
      <c r="AE413">
        <f>(Calculations!B1/AD413)</f>
        <v>1.2148347108173001</v>
      </c>
      <c r="AF413"/>
      <c r="AG413">
        <v>1</v>
      </c>
      <c r="AH413" t="str">
        <f>VLOOKUP(AG413,WikiFormats!$A$3:$B$999,2,0)</f>
        <v>Story</v>
      </c>
      <c r="AI413" t="s">
        <v>667</v>
      </c>
    </row>
    <row r="414" spans="1:35" s="2" customFormat="1" x14ac:dyDescent="0.55000000000000004">
      <c r="A414">
        <v>412</v>
      </c>
      <c r="B414">
        <v>1</v>
      </c>
      <c r="C414" t="str">
        <f>VLOOKUP(B414,Eras!$A$3:$B$999,2,0)</f>
        <v>Classic</v>
      </c>
      <c r="D414">
        <v>1</v>
      </c>
      <c r="E414" t="str">
        <f>VLOOKUP(D414,EpisodeFormats!$A$3:$B$999,2,0)</f>
        <v>Series</v>
      </c>
      <c r="F414">
        <v>4</v>
      </c>
      <c r="G414" t="str">
        <f>VLOOKUP(F414,Doctors!$A$3:$B$999,2,0)</f>
        <v>Tom Baker</v>
      </c>
      <c r="H414">
        <v>13</v>
      </c>
      <c r="I414">
        <v>1</v>
      </c>
      <c r="J414" t="str">
        <f>VLOOKUP(I414,SeasonFormats!$A$3:$B$999,2,0)</f>
        <v>Season</v>
      </c>
      <c r="K414">
        <v>82</v>
      </c>
      <c r="L414">
        <v>3</v>
      </c>
      <c r="M414" t="s">
        <v>439</v>
      </c>
      <c r="N414">
        <v>3</v>
      </c>
      <c r="O414" t="s">
        <v>11</v>
      </c>
      <c r="P414">
        <v>11</v>
      </c>
      <c r="Q414" s="6" t="d">
        <v>1975-11-08</v>
      </c>
      <c r="R414">
        <v>25</v>
      </c>
      <c r="S414"/>
      <c r="T414" s="15" t="s">
        <v>1120</v>
      </c>
      <c r="U414" t="str" cm="1">
        <f t="array" ref="U414">_xlfn.TEXTJOIN(",",TRUE,_xlfn.XLOOKUP(_xlfn.FILTERXML("&lt;t&gt;&lt;s&gt;" &amp; SUBSTITUTE(T414,",","&lt;/s&gt;&lt;s&gt;") &amp; "&lt;/s&gt;&lt;/t&gt;", "//s"),Writers!$A$3:$A$999,Writers!$B$3:$B$999,""))</f>
        <v>Lewis Greifer,Robert Holmes</v>
      </c>
      <c r="V414">
        <v>50</v>
      </c>
      <c r="W414" t="str">
        <f>IF(V414="","",_xlfn.XLOOKUP(V414,Writers!$A$3:$A$999,Writers!$B$3:$B$999,""))</f>
        <v>Stephen Harris</v>
      </c>
      <c r="X414">
        <v>9.4</v>
      </c>
      <c r="Y414"/>
      <c r="Z414"/>
      <c r="AA414">
        <f t="shared" si="18"/>
        <v>11.42</v>
      </c>
      <c r="AB414" t="str">
        <f t="shared" si="19"/>
        <v/>
      </c>
      <c r="AC414" t="str">
        <f t="shared" si="20"/>
        <v/>
      </c>
      <c r="AD414">
        <f>VLOOKUP(YEAR(Q414),Populations!$A$3:$B$999,2,0)</f>
        <v>56225700</v>
      </c>
      <c r="AE414">
        <f>(Calculations!B1/AD414)</f>
        <v>1.2148347108173001</v>
      </c>
      <c r="AF414"/>
      <c r="AG414">
        <v>1</v>
      </c>
      <c r="AH414" t="str">
        <f>VLOOKUP(AG414,WikiFormats!$A$3:$B$999,2,0)</f>
        <v>Story</v>
      </c>
      <c r="AI414" t="s">
        <v>667</v>
      </c>
    </row>
    <row r="415" spans="1:35" s="2" customFormat="1" x14ac:dyDescent="0.55000000000000004">
      <c r="A415">
        <v>413</v>
      </c>
      <c r="B415">
        <v>1</v>
      </c>
      <c r="C415" t="str">
        <f>VLOOKUP(B415,Eras!$A$3:$B$999,2,0)</f>
        <v>Classic</v>
      </c>
      <c r="D415">
        <v>1</v>
      </c>
      <c r="E415" t="str">
        <f>VLOOKUP(D415,EpisodeFormats!$A$3:$B$999,2,0)</f>
        <v>Series</v>
      </c>
      <c r="F415">
        <v>4</v>
      </c>
      <c r="G415" t="str">
        <f>VLOOKUP(F415,Doctors!$A$3:$B$999,2,0)</f>
        <v>Tom Baker</v>
      </c>
      <c r="H415">
        <v>13</v>
      </c>
      <c r="I415">
        <v>1</v>
      </c>
      <c r="J415" t="str">
        <f>VLOOKUP(I415,SeasonFormats!$A$3:$B$999,2,0)</f>
        <v>Season</v>
      </c>
      <c r="K415">
        <v>82</v>
      </c>
      <c r="L415">
        <v>3</v>
      </c>
      <c r="M415" t="s">
        <v>439</v>
      </c>
      <c r="N415">
        <v>4</v>
      </c>
      <c r="O415" t="s">
        <v>12</v>
      </c>
      <c r="P415">
        <v>12</v>
      </c>
      <c r="Q415" s="6" t="d">
        <v>1975-11-15</v>
      </c>
      <c r="R415">
        <v>25</v>
      </c>
      <c r="S415"/>
      <c r="T415" s="15" t="s">
        <v>1120</v>
      </c>
      <c r="U415" t="str" cm="1">
        <f t="array" ref="U415">_xlfn.TEXTJOIN(",",TRUE,_xlfn.XLOOKUP(_xlfn.FILTERXML("&lt;t&gt;&lt;s&gt;" &amp; SUBSTITUTE(T415,",","&lt;/s&gt;&lt;s&gt;") &amp; "&lt;/s&gt;&lt;/t&gt;", "//s"),Writers!$A$3:$A$999,Writers!$B$3:$B$999,""))</f>
        <v>Lewis Greifer,Robert Holmes</v>
      </c>
      <c r="V415">
        <v>50</v>
      </c>
      <c r="W415" t="str">
        <f>IF(V415="","",_xlfn.XLOOKUP(V415,Writers!$A$3:$A$999,Writers!$B$3:$B$999,""))</f>
        <v>Stephen Harris</v>
      </c>
      <c r="X415">
        <v>11.7</v>
      </c>
      <c r="Y415"/>
      <c r="Z415"/>
      <c r="AA415">
        <f t="shared" si="18"/>
        <v>14.21</v>
      </c>
      <c r="AB415" t="str">
        <f t="shared" si="19"/>
        <v/>
      </c>
      <c r="AC415" t="str">
        <f t="shared" si="20"/>
        <v/>
      </c>
      <c r="AD415">
        <f>VLOOKUP(YEAR(Q415),Populations!$A$3:$B$999,2,0)</f>
        <v>56225700</v>
      </c>
      <c r="AE415">
        <f>(Calculations!B1/AD415)</f>
        <v>1.2148347108173001</v>
      </c>
      <c r="AF415"/>
      <c r="AG415">
        <v>1</v>
      </c>
      <c r="AH415" t="str">
        <f>VLOOKUP(AG415,WikiFormats!$A$3:$B$999,2,0)</f>
        <v>Story</v>
      </c>
      <c r="AI415" t="s">
        <v>667</v>
      </c>
    </row>
    <row r="416" spans="1:35" s="8" customFormat="1" x14ac:dyDescent="0.55000000000000004">
      <c r="A416" s="3">
        <v>414</v>
      </c>
      <c r="B416" s="3">
        <v>1</v>
      </c>
      <c r="C416" s="3" t="str">
        <f>VLOOKUP(B416,Eras!$A$3:$B$999,2,0)</f>
        <v>Classic</v>
      </c>
      <c r="D416" s="3">
        <v>1</v>
      </c>
      <c r="E416" s="3" t="str">
        <f>VLOOKUP(D416,EpisodeFormats!$A$3:$B$999,2,0)</f>
        <v>Series</v>
      </c>
      <c r="F416" s="3">
        <v>4</v>
      </c>
      <c r="G416" s="3" t="str">
        <f>VLOOKUP(F416,Doctors!$A$3:$B$999,2,0)</f>
        <v>Tom Baker</v>
      </c>
      <c r="H416" s="3">
        <v>13</v>
      </c>
      <c r="I416" s="3">
        <v>1</v>
      </c>
      <c r="J416" s="3" t="str">
        <f>VLOOKUP(I416,SeasonFormats!$A$3:$B$999,2,0)</f>
        <v>Season</v>
      </c>
      <c r="K416" s="3">
        <v>83</v>
      </c>
      <c r="L416" s="3">
        <v>4</v>
      </c>
      <c r="M416" s="3" t="s">
        <v>440</v>
      </c>
      <c r="N416" s="3">
        <v>1</v>
      </c>
      <c r="O416" s="3" t="s">
        <v>9</v>
      </c>
      <c r="P416" s="3">
        <v>13</v>
      </c>
      <c r="Q416" s="7" t="d">
        <v>1975-11-22</v>
      </c>
      <c r="R416" s="3">
        <v>14</v>
      </c>
      <c r="S416" s="3"/>
      <c r="T416" s="4" t="s">
        <v>1132</v>
      </c>
      <c r="U416" s="3" t="str" cm="1">
        <f t="array" ref="U416">_xlfn.TEXTJOIN(",",TRUE,_xlfn.XLOOKUP(_xlfn.FILTERXML("&lt;t&gt;&lt;s&gt;" &amp; SUBSTITUTE(T416,",","&lt;/s&gt;&lt;s&gt;") &amp; "&lt;/s&gt;&lt;/t&gt;", "//s"),Writers!$A$3:$A$999,Writers!$B$3:$B$999,""))</f>
        <v>Terry Nation</v>
      </c>
      <c r="V416" s="3"/>
      <c r="W416" s="3" t="str">
        <f>IF(V416="","",_xlfn.XLOOKUP(V416,Writers!$A$3:$A$999,Writers!$B$3:$B$999,""))</f>
        <v/>
      </c>
      <c r="X416" s="3">
        <v>11.9</v>
      </c>
      <c r="Y416" s="3"/>
      <c r="Z416" s="3"/>
      <c r="AA416" s="3">
        <f t="shared" si="18"/>
        <v>14.46</v>
      </c>
      <c r="AB416" s="3" t="str">
        <f t="shared" si="19"/>
        <v/>
      </c>
      <c r="AC416" s="3" t="str">
        <f t="shared" si="20"/>
        <v/>
      </c>
      <c r="AD416" s="3">
        <f>VLOOKUP(YEAR(Q416),Populations!$A$3:$B$999,2,0)</f>
        <v>56225700</v>
      </c>
      <c r="AE416" s="3">
        <f>(Calculations!B1/AD416)</f>
        <v>1.2148347108173001</v>
      </c>
      <c r="AF416" s="3"/>
      <c r="AG416" s="3">
        <v>1</v>
      </c>
      <c r="AH416" s="3" t="str">
        <f>VLOOKUP(AG416,WikiFormats!$A$3:$B$999,2,0)</f>
        <v>Story</v>
      </c>
      <c r="AI416" s="3" t="s">
        <v>668</v>
      </c>
    </row>
    <row r="417" spans="1:35" s="8" customFormat="1" x14ac:dyDescent="0.55000000000000004">
      <c r="A417" s="3">
        <v>415</v>
      </c>
      <c r="B417" s="3">
        <v>1</v>
      </c>
      <c r="C417" s="3" t="str">
        <f>VLOOKUP(B417,Eras!$A$3:$B$999,2,0)</f>
        <v>Classic</v>
      </c>
      <c r="D417" s="3">
        <v>1</v>
      </c>
      <c r="E417" s="3" t="str">
        <f>VLOOKUP(D417,EpisodeFormats!$A$3:$B$999,2,0)</f>
        <v>Series</v>
      </c>
      <c r="F417" s="3">
        <v>4</v>
      </c>
      <c r="G417" s="3" t="str">
        <f>VLOOKUP(F417,Doctors!$A$3:$B$999,2,0)</f>
        <v>Tom Baker</v>
      </c>
      <c r="H417" s="3">
        <v>13</v>
      </c>
      <c r="I417" s="3">
        <v>1</v>
      </c>
      <c r="J417" s="3" t="str">
        <f>VLOOKUP(I417,SeasonFormats!$A$3:$B$999,2,0)</f>
        <v>Season</v>
      </c>
      <c r="K417" s="3">
        <v>83</v>
      </c>
      <c r="L417" s="3">
        <v>4</v>
      </c>
      <c r="M417" s="3" t="s">
        <v>440</v>
      </c>
      <c r="N417" s="3">
        <v>2</v>
      </c>
      <c r="O417" s="3" t="s">
        <v>10</v>
      </c>
      <c r="P417" s="3">
        <v>14</v>
      </c>
      <c r="Q417" s="7" t="d">
        <v>1975-11-29</v>
      </c>
      <c r="R417" s="3">
        <v>25</v>
      </c>
      <c r="S417" s="3"/>
      <c r="T417" s="4" t="s">
        <v>1132</v>
      </c>
      <c r="U417" s="3" t="str" cm="1">
        <f t="array" ref="U417">_xlfn.TEXTJOIN(",",TRUE,_xlfn.XLOOKUP(_xlfn.FILTERXML("&lt;t&gt;&lt;s&gt;" &amp; SUBSTITUTE(T417,",","&lt;/s&gt;&lt;s&gt;") &amp; "&lt;/s&gt;&lt;/t&gt;", "//s"),Writers!$A$3:$A$999,Writers!$B$3:$B$999,""))</f>
        <v>Terry Nation</v>
      </c>
      <c r="V417" s="3"/>
      <c r="W417" s="3" t="str">
        <f>IF(V417="","",_xlfn.XLOOKUP(V417,Writers!$A$3:$A$999,Writers!$B$3:$B$999,""))</f>
        <v/>
      </c>
      <c r="X417" s="3">
        <v>11.3</v>
      </c>
      <c r="Y417" s="3"/>
      <c r="Z417" s="3"/>
      <c r="AA417" s="3">
        <f t="shared" si="18"/>
        <v>13.73</v>
      </c>
      <c r="AB417" s="3" t="str">
        <f t="shared" si="19"/>
        <v/>
      </c>
      <c r="AC417" s="3" t="str">
        <f t="shared" si="20"/>
        <v/>
      </c>
      <c r="AD417" s="3">
        <f>VLOOKUP(YEAR(Q417),Populations!$A$3:$B$999,2,0)</f>
        <v>56225700</v>
      </c>
      <c r="AE417" s="3">
        <f>(Calculations!B1/AD417)</f>
        <v>1.2148347108173001</v>
      </c>
      <c r="AF417" s="3"/>
      <c r="AG417" s="3">
        <v>1</v>
      </c>
      <c r="AH417" s="3" t="str">
        <f>VLOOKUP(AG417,WikiFormats!$A$3:$B$999,2,0)</f>
        <v>Story</v>
      </c>
      <c r="AI417" s="3" t="s">
        <v>668</v>
      </c>
    </row>
    <row r="418" spans="1:35" s="8" customFormat="1" x14ac:dyDescent="0.55000000000000004">
      <c r="A418" s="3">
        <v>416</v>
      </c>
      <c r="B418" s="3">
        <v>1</v>
      </c>
      <c r="C418" s="3" t="str">
        <f>VLOOKUP(B418,Eras!$A$3:$B$999,2,0)</f>
        <v>Classic</v>
      </c>
      <c r="D418" s="3">
        <v>1</v>
      </c>
      <c r="E418" s="3" t="str">
        <f>VLOOKUP(D418,EpisodeFormats!$A$3:$B$999,2,0)</f>
        <v>Series</v>
      </c>
      <c r="F418" s="3">
        <v>4</v>
      </c>
      <c r="G418" s="3" t="str">
        <f>VLOOKUP(F418,Doctors!$A$3:$B$999,2,0)</f>
        <v>Tom Baker</v>
      </c>
      <c r="H418" s="3">
        <v>13</v>
      </c>
      <c r="I418" s="3">
        <v>1</v>
      </c>
      <c r="J418" s="3" t="str">
        <f>VLOOKUP(I418,SeasonFormats!$A$3:$B$999,2,0)</f>
        <v>Season</v>
      </c>
      <c r="K418" s="3">
        <v>83</v>
      </c>
      <c r="L418" s="3">
        <v>4</v>
      </c>
      <c r="M418" s="3" t="s">
        <v>440</v>
      </c>
      <c r="N418" s="3">
        <v>3</v>
      </c>
      <c r="O418" s="3" t="s">
        <v>11</v>
      </c>
      <c r="P418" s="3">
        <v>15</v>
      </c>
      <c r="Q418" s="7" t="d">
        <v>1975-12-06</v>
      </c>
      <c r="R418" s="3">
        <v>25</v>
      </c>
      <c r="S418" s="3"/>
      <c r="T418" s="4" t="s">
        <v>1132</v>
      </c>
      <c r="U418" s="3" t="str" cm="1">
        <f t="array" ref="U418">_xlfn.TEXTJOIN(",",TRUE,_xlfn.XLOOKUP(_xlfn.FILTERXML("&lt;t&gt;&lt;s&gt;" &amp; SUBSTITUTE(T418,",","&lt;/s&gt;&lt;s&gt;") &amp; "&lt;/s&gt;&lt;/t&gt;", "//s"),Writers!$A$3:$A$999,Writers!$B$3:$B$999,""))</f>
        <v>Terry Nation</v>
      </c>
      <c r="V418" s="3"/>
      <c r="W418" s="3" t="str">
        <f>IF(V418="","",_xlfn.XLOOKUP(V418,Writers!$A$3:$A$999,Writers!$B$3:$B$999,""))</f>
        <v/>
      </c>
      <c r="X418" s="3">
        <v>12.1</v>
      </c>
      <c r="Y418" s="3"/>
      <c r="Z418" s="3"/>
      <c r="AA418" s="3">
        <f t="shared" si="18"/>
        <v>14.7</v>
      </c>
      <c r="AB418" s="3" t="str">
        <f t="shared" si="19"/>
        <v/>
      </c>
      <c r="AC418" s="3" t="str">
        <f t="shared" si="20"/>
        <v/>
      </c>
      <c r="AD418" s="3">
        <f>VLOOKUP(YEAR(Q418),Populations!$A$3:$B$999,2,0)</f>
        <v>56225700</v>
      </c>
      <c r="AE418" s="3">
        <f>(Calculations!B1/AD418)</f>
        <v>1.2148347108173001</v>
      </c>
      <c r="AF418" s="3"/>
      <c r="AG418" s="3">
        <v>1</v>
      </c>
      <c r="AH418" s="3" t="str">
        <f>VLOOKUP(AG418,WikiFormats!$A$3:$B$999,2,0)</f>
        <v>Story</v>
      </c>
      <c r="AI418" s="3" t="s">
        <v>668</v>
      </c>
    </row>
    <row r="419" spans="1:35" s="8" customFormat="1" x14ac:dyDescent="0.55000000000000004">
      <c r="A419" s="3">
        <v>417</v>
      </c>
      <c r="B419" s="3">
        <v>1</v>
      </c>
      <c r="C419" s="3" t="str">
        <f>VLOOKUP(B419,Eras!$A$3:$B$999,2,0)</f>
        <v>Classic</v>
      </c>
      <c r="D419" s="3">
        <v>1</v>
      </c>
      <c r="E419" s="3" t="str">
        <f>VLOOKUP(D419,EpisodeFormats!$A$3:$B$999,2,0)</f>
        <v>Series</v>
      </c>
      <c r="F419" s="3">
        <v>4</v>
      </c>
      <c r="G419" s="3" t="str">
        <f>VLOOKUP(F419,Doctors!$A$3:$B$999,2,0)</f>
        <v>Tom Baker</v>
      </c>
      <c r="H419" s="3">
        <v>13</v>
      </c>
      <c r="I419" s="3">
        <v>1</v>
      </c>
      <c r="J419" s="3" t="str">
        <f>VLOOKUP(I419,SeasonFormats!$A$3:$B$999,2,0)</f>
        <v>Season</v>
      </c>
      <c r="K419" s="3">
        <v>83</v>
      </c>
      <c r="L419" s="3">
        <v>4</v>
      </c>
      <c r="M419" s="3" t="s">
        <v>440</v>
      </c>
      <c r="N419" s="3">
        <v>4</v>
      </c>
      <c r="O419" s="3" t="s">
        <v>12</v>
      </c>
      <c r="P419" s="3">
        <v>16</v>
      </c>
      <c r="Q419" s="7" t="d">
        <v>1975-12-13</v>
      </c>
      <c r="R419" s="3">
        <v>23</v>
      </c>
      <c r="S419" s="3"/>
      <c r="T419" s="4" t="s">
        <v>1132</v>
      </c>
      <c r="U419" s="3" t="str" cm="1">
        <f t="array" ref="U419">_xlfn.TEXTJOIN(",",TRUE,_xlfn.XLOOKUP(_xlfn.FILTERXML("&lt;t&gt;&lt;s&gt;" &amp; SUBSTITUTE(T419,",","&lt;/s&gt;&lt;s&gt;") &amp; "&lt;/s&gt;&lt;/t&gt;", "//s"),Writers!$A$3:$A$999,Writers!$B$3:$B$999,""))</f>
        <v>Terry Nation</v>
      </c>
      <c r="V419" s="3"/>
      <c r="W419" s="3" t="str">
        <f>IF(V419="","",_xlfn.XLOOKUP(V419,Writers!$A$3:$A$999,Writers!$B$3:$B$999,""))</f>
        <v/>
      </c>
      <c r="X419" s="3">
        <v>11.4</v>
      </c>
      <c r="Y419" s="3"/>
      <c r="Z419" s="3"/>
      <c r="AA419" s="3">
        <f t="shared" si="18"/>
        <v>13.85</v>
      </c>
      <c r="AB419" s="3" t="str">
        <f t="shared" si="19"/>
        <v/>
      </c>
      <c r="AC419" s="3" t="str">
        <f t="shared" si="20"/>
        <v/>
      </c>
      <c r="AD419" s="3">
        <f>VLOOKUP(YEAR(Q419),Populations!$A$3:$B$999,2,0)</f>
        <v>56225700</v>
      </c>
      <c r="AE419" s="3">
        <f>(Calculations!B1/AD419)</f>
        <v>1.2148347108173001</v>
      </c>
      <c r="AF419" s="3"/>
      <c r="AG419" s="3">
        <v>1</v>
      </c>
      <c r="AH419" s="3" t="str">
        <f>VLOOKUP(AG419,WikiFormats!$A$3:$B$999,2,0)</f>
        <v>Story</v>
      </c>
      <c r="AI419" s="3" t="s">
        <v>668</v>
      </c>
    </row>
    <row r="420" spans="1:35" s="2" customFormat="1" x14ac:dyDescent="0.55000000000000004">
      <c r="A420">
        <v>418</v>
      </c>
      <c r="B420">
        <v>1</v>
      </c>
      <c r="C420" t="str">
        <f>VLOOKUP(B420,Eras!$A$3:$B$999,2,0)</f>
        <v>Classic</v>
      </c>
      <c r="D420">
        <v>1</v>
      </c>
      <c r="E420" t="str">
        <f>VLOOKUP(D420,EpisodeFormats!$A$3:$B$999,2,0)</f>
        <v>Series</v>
      </c>
      <c r="F420">
        <v>4</v>
      </c>
      <c r="G420" t="str">
        <f>VLOOKUP(F420,Doctors!$A$3:$B$999,2,0)</f>
        <v>Tom Baker</v>
      </c>
      <c r="H420">
        <v>13</v>
      </c>
      <c r="I420">
        <v>1</v>
      </c>
      <c r="J420" t="str">
        <f>VLOOKUP(I420,SeasonFormats!$A$3:$B$999,2,0)</f>
        <v>Season</v>
      </c>
      <c r="K420">
        <v>84</v>
      </c>
      <c r="L420">
        <v>5</v>
      </c>
      <c r="M420" t="s">
        <v>441</v>
      </c>
      <c r="N420">
        <v>1</v>
      </c>
      <c r="O420" t="s">
        <v>9</v>
      </c>
      <c r="P420">
        <v>17</v>
      </c>
      <c r="Q420" s="6" t="d">
        <v>1976-01-03</v>
      </c>
      <c r="R420">
        <v>25</v>
      </c>
      <c r="S420"/>
      <c r="T420" s="15" t="s">
        <v>1080</v>
      </c>
      <c r="U420" t="str" cm="1">
        <f t="array" ref="U420">_xlfn.TEXTJOIN(",",TRUE,_xlfn.XLOOKUP(_xlfn.FILTERXML("&lt;t&gt;&lt;s&gt;" &amp; SUBSTITUTE(T420,",","&lt;/s&gt;&lt;s&gt;") &amp; "&lt;/s&gt;&lt;/t&gt;", "//s"),Writers!$A$3:$A$999,Writers!$B$3:$B$999,""))</f>
        <v>Terrance Dicks,Robert Holmes</v>
      </c>
      <c r="V420">
        <v>14</v>
      </c>
      <c r="W420" t="str">
        <f>IF(V420="","",_xlfn.XLOOKUP(V420,Writers!$A$3:$A$999,Writers!$B$3:$B$999,""))</f>
        <v>Robin Bland</v>
      </c>
      <c r="X420">
        <v>9.5</v>
      </c>
      <c r="Y420"/>
      <c r="Z420"/>
      <c r="AA420">
        <f t="shared" si="18"/>
        <v>11.54</v>
      </c>
      <c r="AB420" t="str">
        <f t="shared" si="19"/>
        <v/>
      </c>
      <c r="AC420" t="str">
        <f t="shared" si="20"/>
        <v/>
      </c>
      <c r="AD420">
        <f>VLOOKUP(YEAR(Q420),Populations!$A$3:$B$999,2,0)</f>
        <v>56216100</v>
      </c>
      <c r="AE420">
        <f>(Calculations!B1/AD420)</f>
        <v>1.2150421676352501</v>
      </c>
      <c r="AF420"/>
      <c r="AG420">
        <v>1</v>
      </c>
      <c r="AH420" t="str">
        <f>VLOOKUP(AG420,WikiFormats!$A$3:$B$999,2,0)</f>
        <v>Story</v>
      </c>
      <c r="AI420" t="s">
        <v>669</v>
      </c>
    </row>
    <row r="421" spans="1:35" s="2" customFormat="1" x14ac:dyDescent="0.55000000000000004">
      <c r="A421">
        <v>419</v>
      </c>
      <c r="B421">
        <v>1</v>
      </c>
      <c r="C421" t="str">
        <f>VLOOKUP(B421,Eras!$A$3:$B$999,2,0)</f>
        <v>Classic</v>
      </c>
      <c r="D421">
        <v>1</v>
      </c>
      <c r="E421" t="str">
        <f>VLOOKUP(D421,EpisodeFormats!$A$3:$B$999,2,0)</f>
        <v>Series</v>
      </c>
      <c r="F421">
        <v>4</v>
      </c>
      <c r="G421" t="str">
        <f>VLOOKUP(F421,Doctors!$A$3:$B$999,2,0)</f>
        <v>Tom Baker</v>
      </c>
      <c r="H421">
        <v>13</v>
      </c>
      <c r="I421">
        <v>1</v>
      </c>
      <c r="J421" t="str">
        <f>VLOOKUP(I421,SeasonFormats!$A$3:$B$999,2,0)</f>
        <v>Season</v>
      </c>
      <c r="K421">
        <v>84</v>
      </c>
      <c r="L421">
        <v>5</v>
      </c>
      <c r="M421" t="s">
        <v>441</v>
      </c>
      <c r="N421">
        <v>2</v>
      </c>
      <c r="O421" t="s">
        <v>10</v>
      </c>
      <c r="P421">
        <v>18</v>
      </c>
      <c r="Q421" s="6" t="d">
        <v>1976-01-10</v>
      </c>
      <c r="R421">
        <v>25</v>
      </c>
      <c r="S421"/>
      <c r="T421" s="15" t="s">
        <v>1080</v>
      </c>
      <c r="U421" t="str" cm="1">
        <f t="array" ref="U421">_xlfn.TEXTJOIN(",",TRUE,_xlfn.XLOOKUP(_xlfn.FILTERXML("&lt;t&gt;&lt;s&gt;" &amp; SUBSTITUTE(T421,",","&lt;/s&gt;&lt;s&gt;") &amp; "&lt;/s&gt;&lt;/t&gt;", "//s"),Writers!$A$3:$A$999,Writers!$B$3:$B$999,""))</f>
        <v>Terrance Dicks,Robert Holmes</v>
      </c>
      <c r="V421">
        <v>14</v>
      </c>
      <c r="W421" t="str">
        <f>IF(V421="","",_xlfn.XLOOKUP(V421,Writers!$A$3:$A$999,Writers!$B$3:$B$999,""))</f>
        <v>Robin Bland</v>
      </c>
      <c r="X421">
        <v>9.3000000000000007</v>
      </c>
      <c r="Y421"/>
      <c r="Z421"/>
      <c r="AA421">
        <f t="shared" si="18"/>
        <v>11.3</v>
      </c>
      <c r="AB421" t="str">
        <f t="shared" si="19"/>
        <v/>
      </c>
      <c r="AC421" t="str">
        <f t="shared" si="20"/>
        <v/>
      </c>
      <c r="AD421">
        <f>VLOOKUP(YEAR(Q421),Populations!$A$3:$B$999,2,0)</f>
        <v>56216100</v>
      </c>
      <c r="AE421">
        <f>(Calculations!B1/AD421)</f>
        <v>1.2150421676352501</v>
      </c>
      <c r="AF421"/>
      <c r="AG421">
        <v>1</v>
      </c>
      <c r="AH421" t="str">
        <f>VLOOKUP(AG421,WikiFormats!$A$3:$B$999,2,0)</f>
        <v>Story</v>
      </c>
      <c r="AI421" t="s">
        <v>669</v>
      </c>
    </row>
    <row r="422" spans="1:35" s="2" customFormat="1" x14ac:dyDescent="0.55000000000000004">
      <c r="A422">
        <v>420</v>
      </c>
      <c r="B422">
        <v>1</v>
      </c>
      <c r="C422" t="str">
        <f>VLOOKUP(B422,Eras!$A$3:$B$999,2,0)</f>
        <v>Classic</v>
      </c>
      <c r="D422">
        <v>1</v>
      </c>
      <c r="E422" t="str">
        <f>VLOOKUP(D422,EpisodeFormats!$A$3:$B$999,2,0)</f>
        <v>Series</v>
      </c>
      <c r="F422">
        <v>4</v>
      </c>
      <c r="G422" t="str">
        <f>VLOOKUP(F422,Doctors!$A$3:$B$999,2,0)</f>
        <v>Tom Baker</v>
      </c>
      <c r="H422">
        <v>13</v>
      </c>
      <c r="I422">
        <v>1</v>
      </c>
      <c r="J422" t="str">
        <f>VLOOKUP(I422,SeasonFormats!$A$3:$B$999,2,0)</f>
        <v>Season</v>
      </c>
      <c r="K422">
        <v>84</v>
      </c>
      <c r="L422">
        <v>5</v>
      </c>
      <c r="M422" t="s">
        <v>441</v>
      </c>
      <c r="N422">
        <v>3</v>
      </c>
      <c r="O422" t="s">
        <v>11</v>
      </c>
      <c r="P422">
        <v>19</v>
      </c>
      <c r="Q422" s="6" t="d">
        <v>1976-01-17</v>
      </c>
      <c r="R422">
        <v>25</v>
      </c>
      <c r="S422"/>
      <c r="T422" s="15" t="s">
        <v>1080</v>
      </c>
      <c r="U422" t="str" cm="1">
        <f t="array" ref="U422">_xlfn.TEXTJOIN(",",TRUE,_xlfn.XLOOKUP(_xlfn.FILTERXML("&lt;t&gt;&lt;s&gt;" &amp; SUBSTITUTE(T422,",","&lt;/s&gt;&lt;s&gt;") &amp; "&lt;/s&gt;&lt;/t&gt;", "//s"),Writers!$A$3:$A$999,Writers!$B$3:$B$999,""))</f>
        <v>Terrance Dicks,Robert Holmes</v>
      </c>
      <c r="V422">
        <v>14</v>
      </c>
      <c r="W422" t="str">
        <f>IF(V422="","",_xlfn.XLOOKUP(V422,Writers!$A$3:$A$999,Writers!$B$3:$B$999,""))</f>
        <v>Robin Bland</v>
      </c>
      <c r="X422">
        <v>10.1</v>
      </c>
      <c r="Y422"/>
      <c r="Z422"/>
      <c r="AA422">
        <f t="shared" si="18"/>
        <v>12.27</v>
      </c>
      <c r="AB422" t="str">
        <f t="shared" si="19"/>
        <v/>
      </c>
      <c r="AC422" t="str">
        <f t="shared" si="20"/>
        <v/>
      </c>
      <c r="AD422">
        <f>VLOOKUP(YEAR(Q422),Populations!$A$3:$B$999,2,0)</f>
        <v>56216100</v>
      </c>
      <c r="AE422">
        <f>(Calculations!B1/AD422)</f>
        <v>1.2150421676352501</v>
      </c>
      <c r="AF422"/>
      <c r="AG422">
        <v>1</v>
      </c>
      <c r="AH422" t="str">
        <f>VLOOKUP(AG422,WikiFormats!$A$3:$B$999,2,0)</f>
        <v>Story</v>
      </c>
      <c r="AI422" t="s">
        <v>669</v>
      </c>
    </row>
    <row r="423" spans="1:35" s="2" customFormat="1" x14ac:dyDescent="0.55000000000000004">
      <c r="A423">
        <v>421</v>
      </c>
      <c r="B423">
        <v>1</v>
      </c>
      <c r="C423" t="str">
        <f>VLOOKUP(B423,Eras!$A$3:$B$999,2,0)</f>
        <v>Classic</v>
      </c>
      <c r="D423">
        <v>1</v>
      </c>
      <c r="E423" t="str">
        <f>VLOOKUP(D423,EpisodeFormats!$A$3:$B$999,2,0)</f>
        <v>Series</v>
      </c>
      <c r="F423">
        <v>4</v>
      </c>
      <c r="G423" t="str">
        <f>VLOOKUP(F423,Doctors!$A$3:$B$999,2,0)</f>
        <v>Tom Baker</v>
      </c>
      <c r="H423">
        <v>13</v>
      </c>
      <c r="I423">
        <v>1</v>
      </c>
      <c r="J423" t="str">
        <f>VLOOKUP(I423,SeasonFormats!$A$3:$B$999,2,0)</f>
        <v>Season</v>
      </c>
      <c r="K423">
        <v>84</v>
      </c>
      <c r="L423">
        <v>5</v>
      </c>
      <c r="M423" t="s">
        <v>441</v>
      </c>
      <c r="N423">
        <v>4</v>
      </c>
      <c r="O423" t="s">
        <v>12</v>
      </c>
      <c r="P423">
        <v>20</v>
      </c>
      <c r="Q423" s="6" t="d">
        <v>1976-01-24</v>
      </c>
      <c r="R423">
        <v>24</v>
      </c>
      <c r="S423"/>
      <c r="T423" s="15" t="s">
        <v>1080</v>
      </c>
      <c r="U423" t="str" cm="1">
        <f t="array" ref="U423">_xlfn.TEXTJOIN(",",TRUE,_xlfn.XLOOKUP(_xlfn.FILTERXML("&lt;t&gt;&lt;s&gt;" &amp; SUBSTITUTE(T423,",","&lt;/s&gt;&lt;s&gt;") &amp; "&lt;/s&gt;&lt;/t&gt;", "//s"),Writers!$A$3:$A$999,Writers!$B$3:$B$999,""))</f>
        <v>Terrance Dicks,Robert Holmes</v>
      </c>
      <c r="V423">
        <v>14</v>
      </c>
      <c r="W423" t="str">
        <f>IF(V423="","",_xlfn.XLOOKUP(V423,Writers!$A$3:$A$999,Writers!$B$3:$B$999,""))</f>
        <v>Robin Bland</v>
      </c>
      <c r="X423">
        <v>10.199999999999999</v>
      </c>
      <c r="Y423"/>
      <c r="Z423"/>
      <c r="AA423">
        <f t="shared" si="18"/>
        <v>12.39</v>
      </c>
      <c r="AB423" t="str">
        <f t="shared" si="19"/>
        <v/>
      </c>
      <c r="AC423" t="str">
        <f t="shared" si="20"/>
        <v/>
      </c>
      <c r="AD423">
        <f>VLOOKUP(YEAR(Q423),Populations!$A$3:$B$999,2,0)</f>
        <v>56216100</v>
      </c>
      <c r="AE423">
        <f>(Calculations!B1/AD423)</f>
        <v>1.2150421676352501</v>
      </c>
      <c r="AF423"/>
      <c r="AG423">
        <v>1</v>
      </c>
      <c r="AH423" t="str">
        <f>VLOOKUP(AG423,WikiFormats!$A$3:$B$999,2,0)</f>
        <v>Story</v>
      </c>
      <c r="AI423" t="s">
        <v>669</v>
      </c>
    </row>
    <row r="424" spans="1:35" s="8" customFormat="1" x14ac:dyDescent="0.55000000000000004">
      <c r="A424" s="3">
        <v>422</v>
      </c>
      <c r="B424" s="3">
        <v>1</v>
      </c>
      <c r="C424" s="3" t="str">
        <f>VLOOKUP(B424,Eras!$A$3:$B$999,2,0)</f>
        <v>Classic</v>
      </c>
      <c r="D424" s="3">
        <v>1</v>
      </c>
      <c r="E424" s="3" t="str">
        <f>VLOOKUP(D424,EpisodeFormats!$A$3:$B$999,2,0)</f>
        <v>Series</v>
      </c>
      <c r="F424" s="3">
        <v>4</v>
      </c>
      <c r="G424" s="3" t="str">
        <f>VLOOKUP(F424,Doctors!$A$3:$B$999,2,0)</f>
        <v>Tom Baker</v>
      </c>
      <c r="H424" s="3">
        <v>13</v>
      </c>
      <c r="I424" s="3">
        <v>1</v>
      </c>
      <c r="J424" s="3" t="str">
        <f>VLOOKUP(I424,SeasonFormats!$A$3:$B$999,2,0)</f>
        <v>Season</v>
      </c>
      <c r="K424" s="3">
        <v>85</v>
      </c>
      <c r="L424" s="3">
        <v>6</v>
      </c>
      <c r="M424" s="3" t="s">
        <v>442</v>
      </c>
      <c r="N424" s="3">
        <v>1</v>
      </c>
      <c r="O424" s="3" t="s">
        <v>9</v>
      </c>
      <c r="P424" s="3">
        <v>21</v>
      </c>
      <c r="Q424" s="7" t="d">
        <v>1976-01-31</v>
      </c>
      <c r="R424" s="3">
        <v>24</v>
      </c>
      <c r="S424" s="3"/>
      <c r="T424" s="4" t="s">
        <v>1171</v>
      </c>
      <c r="U424" s="3" t="str" cm="1">
        <f t="array" ref="U424">_xlfn.TEXTJOIN(",",TRUE,_xlfn.XLOOKUP(_xlfn.FILTERXML("&lt;t&gt;&lt;s&gt;" &amp; SUBSTITUTE(T424,",","&lt;/s&gt;&lt;s&gt;") &amp; "&lt;/s&gt;&lt;/t&gt;", "//s"),Writers!$A$3:$A$999,Writers!$B$3:$B$999,""))</f>
        <v>Robert Banks Stewart</v>
      </c>
      <c r="V424" s="3"/>
      <c r="W424" s="3" t="str">
        <f>IF(V424="","",_xlfn.XLOOKUP(V424,Writers!$A$3:$A$999,Writers!$B$3:$B$999,""))</f>
        <v/>
      </c>
      <c r="X424" s="3">
        <v>11.4</v>
      </c>
      <c r="Y424" s="3"/>
      <c r="Z424" s="3"/>
      <c r="AA424" s="3">
        <f t="shared" si="18"/>
        <v>13.85</v>
      </c>
      <c r="AB424" s="3" t="str">
        <f t="shared" si="19"/>
        <v/>
      </c>
      <c r="AC424" s="3" t="str">
        <f t="shared" si="20"/>
        <v/>
      </c>
      <c r="AD424" s="3">
        <f>VLOOKUP(YEAR(Q424),Populations!$A$3:$B$999,2,0)</f>
        <v>56216100</v>
      </c>
      <c r="AE424" s="3">
        <f>(Calculations!B1/AD424)</f>
        <v>1.2150421676352501</v>
      </c>
      <c r="AF424" s="3"/>
      <c r="AG424" s="3">
        <v>1</v>
      </c>
      <c r="AH424" s="3" t="str">
        <f>VLOOKUP(AG424,WikiFormats!$A$3:$B$999,2,0)</f>
        <v>Story</v>
      </c>
      <c r="AI424" s="3" t="s">
        <v>670</v>
      </c>
    </row>
    <row r="425" spans="1:35" s="8" customFormat="1" x14ac:dyDescent="0.55000000000000004">
      <c r="A425" s="3">
        <v>423</v>
      </c>
      <c r="B425" s="3">
        <v>1</v>
      </c>
      <c r="C425" s="3" t="str">
        <f>VLOOKUP(B425,Eras!$A$3:$B$999,2,0)</f>
        <v>Classic</v>
      </c>
      <c r="D425" s="3">
        <v>1</v>
      </c>
      <c r="E425" s="3" t="str">
        <f>VLOOKUP(D425,EpisodeFormats!$A$3:$B$999,2,0)</f>
        <v>Series</v>
      </c>
      <c r="F425" s="3">
        <v>4</v>
      </c>
      <c r="G425" s="3" t="str">
        <f>VLOOKUP(F425,Doctors!$A$3:$B$999,2,0)</f>
        <v>Tom Baker</v>
      </c>
      <c r="H425" s="3">
        <v>13</v>
      </c>
      <c r="I425" s="3">
        <v>1</v>
      </c>
      <c r="J425" s="3" t="str">
        <f>VLOOKUP(I425,SeasonFormats!$A$3:$B$999,2,0)</f>
        <v>Season</v>
      </c>
      <c r="K425" s="3">
        <v>85</v>
      </c>
      <c r="L425" s="3">
        <v>6</v>
      </c>
      <c r="M425" s="3" t="s">
        <v>442</v>
      </c>
      <c r="N425" s="3">
        <v>2</v>
      </c>
      <c r="O425" s="3" t="s">
        <v>10</v>
      </c>
      <c r="P425" s="3">
        <v>22</v>
      </c>
      <c r="Q425" s="7" t="d">
        <v>1976-02-07</v>
      </c>
      <c r="R425" s="3">
        <v>24</v>
      </c>
      <c r="S425" s="3"/>
      <c r="T425" s="4" t="s">
        <v>1171</v>
      </c>
      <c r="U425" s="3" t="str" cm="1">
        <f t="array" ref="U425">_xlfn.TEXTJOIN(",",TRUE,_xlfn.XLOOKUP(_xlfn.FILTERXML("&lt;t&gt;&lt;s&gt;" &amp; SUBSTITUTE(T425,",","&lt;/s&gt;&lt;s&gt;") &amp; "&lt;/s&gt;&lt;/t&gt;", "//s"),Writers!$A$3:$A$999,Writers!$B$3:$B$999,""))</f>
        <v>Robert Banks Stewart</v>
      </c>
      <c r="V425" s="3"/>
      <c r="W425" s="3" t="str">
        <f>IF(V425="","",_xlfn.XLOOKUP(V425,Writers!$A$3:$A$999,Writers!$B$3:$B$999,""))</f>
        <v/>
      </c>
      <c r="X425" s="3">
        <v>11.4</v>
      </c>
      <c r="Y425" s="3"/>
      <c r="Z425" s="3"/>
      <c r="AA425" s="3">
        <f t="shared" si="18"/>
        <v>13.85</v>
      </c>
      <c r="AB425" s="3" t="str">
        <f t="shared" si="19"/>
        <v/>
      </c>
      <c r="AC425" s="3" t="str">
        <f t="shared" si="20"/>
        <v/>
      </c>
      <c r="AD425" s="3">
        <f>VLOOKUP(YEAR(Q425),Populations!$A$3:$B$999,2,0)</f>
        <v>56216100</v>
      </c>
      <c r="AE425" s="3">
        <f>(Calculations!B1/AD425)</f>
        <v>1.2150421676352501</v>
      </c>
      <c r="AF425" s="3"/>
      <c r="AG425" s="3">
        <v>1</v>
      </c>
      <c r="AH425" s="3" t="str">
        <f>VLOOKUP(AG425,WikiFormats!$A$3:$B$999,2,0)</f>
        <v>Story</v>
      </c>
      <c r="AI425" s="3" t="s">
        <v>670</v>
      </c>
    </row>
    <row r="426" spans="1:35" s="8" customFormat="1" x14ac:dyDescent="0.55000000000000004">
      <c r="A426" s="3">
        <v>424</v>
      </c>
      <c r="B426" s="3">
        <v>1</v>
      </c>
      <c r="C426" s="3" t="str">
        <f>VLOOKUP(B426,Eras!$A$3:$B$999,2,0)</f>
        <v>Classic</v>
      </c>
      <c r="D426" s="3">
        <v>1</v>
      </c>
      <c r="E426" s="3" t="str">
        <f>VLOOKUP(D426,EpisodeFormats!$A$3:$B$999,2,0)</f>
        <v>Series</v>
      </c>
      <c r="F426" s="3">
        <v>4</v>
      </c>
      <c r="G426" s="3" t="str">
        <f>VLOOKUP(F426,Doctors!$A$3:$B$999,2,0)</f>
        <v>Tom Baker</v>
      </c>
      <c r="H426" s="3">
        <v>13</v>
      </c>
      <c r="I426" s="3">
        <v>1</v>
      </c>
      <c r="J426" s="3" t="str">
        <f>VLOOKUP(I426,SeasonFormats!$A$3:$B$999,2,0)</f>
        <v>Season</v>
      </c>
      <c r="K426" s="3">
        <v>85</v>
      </c>
      <c r="L426" s="3">
        <v>6</v>
      </c>
      <c r="M426" s="3" t="s">
        <v>442</v>
      </c>
      <c r="N426" s="3">
        <v>3</v>
      </c>
      <c r="O426" s="3" t="s">
        <v>11</v>
      </c>
      <c r="P426" s="3">
        <v>23</v>
      </c>
      <c r="Q426" s="7" t="d">
        <v>1976-02-14</v>
      </c>
      <c r="R426" s="3">
        <v>25</v>
      </c>
      <c r="S426" s="3"/>
      <c r="T426" s="4" t="s">
        <v>1171</v>
      </c>
      <c r="U426" s="3" t="str" cm="1">
        <f t="array" ref="U426">_xlfn.TEXTJOIN(",",TRUE,_xlfn.XLOOKUP(_xlfn.FILTERXML("&lt;t&gt;&lt;s&gt;" &amp; SUBSTITUTE(T426,",","&lt;/s&gt;&lt;s&gt;") &amp; "&lt;/s&gt;&lt;/t&gt;", "//s"),Writers!$A$3:$A$999,Writers!$B$3:$B$999,""))</f>
        <v>Robert Banks Stewart</v>
      </c>
      <c r="V426" s="3"/>
      <c r="W426" s="3" t="str">
        <f>IF(V426="","",_xlfn.XLOOKUP(V426,Writers!$A$3:$A$999,Writers!$B$3:$B$999,""))</f>
        <v/>
      </c>
      <c r="X426" s="3">
        <v>10.3</v>
      </c>
      <c r="Y426" s="3"/>
      <c r="Z426" s="3"/>
      <c r="AA426" s="3">
        <f t="shared" si="18"/>
        <v>12.51</v>
      </c>
      <c r="AB426" s="3" t="str">
        <f t="shared" si="19"/>
        <v/>
      </c>
      <c r="AC426" s="3" t="str">
        <f t="shared" si="20"/>
        <v/>
      </c>
      <c r="AD426" s="3">
        <f>VLOOKUP(YEAR(Q426),Populations!$A$3:$B$999,2,0)</f>
        <v>56216100</v>
      </c>
      <c r="AE426" s="3">
        <f>(Calculations!B1/AD426)</f>
        <v>1.2150421676352501</v>
      </c>
      <c r="AF426" s="3"/>
      <c r="AG426" s="3">
        <v>1</v>
      </c>
      <c r="AH426" s="3" t="str">
        <f>VLOOKUP(AG426,WikiFormats!$A$3:$B$999,2,0)</f>
        <v>Story</v>
      </c>
      <c r="AI426" s="3" t="s">
        <v>670</v>
      </c>
    </row>
    <row r="427" spans="1:35" s="8" customFormat="1" x14ac:dyDescent="0.55000000000000004">
      <c r="A427" s="3">
        <v>425</v>
      </c>
      <c r="B427" s="3">
        <v>1</v>
      </c>
      <c r="C427" s="3" t="str">
        <f>VLOOKUP(B427,Eras!$A$3:$B$999,2,0)</f>
        <v>Classic</v>
      </c>
      <c r="D427" s="3">
        <v>1</v>
      </c>
      <c r="E427" s="3" t="str">
        <f>VLOOKUP(D427,EpisodeFormats!$A$3:$B$999,2,0)</f>
        <v>Series</v>
      </c>
      <c r="F427" s="3">
        <v>4</v>
      </c>
      <c r="G427" s="3" t="str">
        <f>VLOOKUP(F427,Doctors!$A$3:$B$999,2,0)</f>
        <v>Tom Baker</v>
      </c>
      <c r="H427" s="3">
        <v>13</v>
      </c>
      <c r="I427" s="3">
        <v>1</v>
      </c>
      <c r="J427" s="3" t="str">
        <f>VLOOKUP(I427,SeasonFormats!$A$3:$B$999,2,0)</f>
        <v>Season</v>
      </c>
      <c r="K427" s="3">
        <v>85</v>
      </c>
      <c r="L427" s="3">
        <v>6</v>
      </c>
      <c r="M427" s="3" t="s">
        <v>442</v>
      </c>
      <c r="N427" s="3">
        <v>4</v>
      </c>
      <c r="O427" s="3" t="s">
        <v>12</v>
      </c>
      <c r="P427" s="3">
        <v>24</v>
      </c>
      <c r="Q427" s="7" t="d">
        <v>1976-02-21</v>
      </c>
      <c r="R427" s="3">
        <v>24</v>
      </c>
      <c r="S427" s="3"/>
      <c r="T427" s="4" t="s">
        <v>1171</v>
      </c>
      <c r="U427" s="3" t="str" cm="1">
        <f t="array" ref="U427">_xlfn.TEXTJOIN(",",TRUE,_xlfn.XLOOKUP(_xlfn.FILTERXML("&lt;t&gt;&lt;s&gt;" &amp; SUBSTITUTE(T427,",","&lt;/s&gt;&lt;s&gt;") &amp; "&lt;/s&gt;&lt;/t&gt;", "//s"),Writers!$A$3:$A$999,Writers!$B$3:$B$999,""))</f>
        <v>Robert Banks Stewart</v>
      </c>
      <c r="V427" s="3"/>
      <c r="W427" s="3" t="str">
        <f>IF(V427="","",_xlfn.XLOOKUP(V427,Writers!$A$3:$A$999,Writers!$B$3:$B$999,""))</f>
        <v/>
      </c>
      <c r="X427" s="3">
        <v>11.1</v>
      </c>
      <c r="Y427" s="3"/>
      <c r="Z427" s="3"/>
      <c r="AA427" s="3">
        <f t="shared" si="18"/>
        <v>13.49</v>
      </c>
      <c r="AB427" s="3" t="str">
        <f t="shared" si="19"/>
        <v/>
      </c>
      <c r="AC427" s="3" t="str">
        <f t="shared" si="20"/>
        <v/>
      </c>
      <c r="AD427" s="3">
        <f>VLOOKUP(YEAR(Q427),Populations!$A$3:$B$999,2,0)</f>
        <v>56216100</v>
      </c>
      <c r="AE427" s="3">
        <f>(Calculations!B1/AD427)</f>
        <v>1.2150421676352501</v>
      </c>
      <c r="AF427" s="3"/>
      <c r="AG427" s="3">
        <v>1</v>
      </c>
      <c r="AH427" s="3" t="str">
        <f>VLOOKUP(AG427,WikiFormats!$A$3:$B$999,2,0)</f>
        <v>Story</v>
      </c>
      <c r="AI427" s="3" t="s">
        <v>670</v>
      </c>
    </row>
    <row r="428" spans="1:35" s="8" customFormat="1" x14ac:dyDescent="0.55000000000000004">
      <c r="A428" s="3">
        <v>426</v>
      </c>
      <c r="B428" s="3">
        <v>1</v>
      </c>
      <c r="C428" s="3" t="str">
        <f>VLOOKUP(B428,Eras!$A$3:$B$999,2,0)</f>
        <v>Classic</v>
      </c>
      <c r="D428" s="3">
        <v>1</v>
      </c>
      <c r="E428" s="3" t="str">
        <f>VLOOKUP(D428,EpisodeFormats!$A$3:$B$999,2,0)</f>
        <v>Series</v>
      </c>
      <c r="F428" s="3">
        <v>4</v>
      </c>
      <c r="G428" s="3" t="str">
        <f>VLOOKUP(F428,Doctors!$A$3:$B$999,2,0)</f>
        <v>Tom Baker</v>
      </c>
      <c r="H428" s="3">
        <v>13</v>
      </c>
      <c r="I428" s="3">
        <v>1</v>
      </c>
      <c r="J428" s="3" t="str">
        <f>VLOOKUP(I428,SeasonFormats!$A$3:$B$999,2,0)</f>
        <v>Season</v>
      </c>
      <c r="K428" s="3">
        <v>85</v>
      </c>
      <c r="L428" s="3">
        <v>6</v>
      </c>
      <c r="M428" s="3" t="s">
        <v>442</v>
      </c>
      <c r="N428" s="3">
        <v>5</v>
      </c>
      <c r="O428" s="3" t="s">
        <v>430</v>
      </c>
      <c r="P428" s="3">
        <v>25</v>
      </c>
      <c r="Q428" s="7" t="d">
        <v>1976-02-28</v>
      </c>
      <c r="R428" s="3">
        <v>25</v>
      </c>
      <c r="S428" s="3"/>
      <c r="T428" s="4" t="s">
        <v>1171</v>
      </c>
      <c r="U428" s="3" t="str" cm="1">
        <f t="array" ref="U428">_xlfn.TEXTJOIN(",",TRUE,_xlfn.XLOOKUP(_xlfn.FILTERXML("&lt;t&gt;&lt;s&gt;" &amp; SUBSTITUTE(T428,",","&lt;/s&gt;&lt;s&gt;") &amp; "&lt;/s&gt;&lt;/t&gt;", "//s"),Writers!$A$3:$A$999,Writers!$B$3:$B$999,""))</f>
        <v>Robert Banks Stewart</v>
      </c>
      <c r="V428" s="3"/>
      <c r="W428" s="3" t="str">
        <f>IF(V428="","",_xlfn.XLOOKUP(V428,Writers!$A$3:$A$999,Writers!$B$3:$B$999,""))</f>
        <v/>
      </c>
      <c r="X428" s="3">
        <v>9.9</v>
      </c>
      <c r="Y428" s="3"/>
      <c r="Z428" s="3"/>
      <c r="AA428" s="3">
        <f t="shared" si="18"/>
        <v>12.03</v>
      </c>
      <c r="AB428" s="3" t="str">
        <f t="shared" si="19"/>
        <v/>
      </c>
      <c r="AC428" s="3" t="str">
        <f t="shared" si="20"/>
        <v/>
      </c>
      <c r="AD428" s="3">
        <f>VLOOKUP(YEAR(Q428),Populations!$A$3:$B$999,2,0)</f>
        <v>56216100</v>
      </c>
      <c r="AE428" s="3">
        <f>(Calculations!B1/AD428)</f>
        <v>1.2150421676352501</v>
      </c>
      <c r="AF428" s="3"/>
      <c r="AG428" s="3">
        <v>1</v>
      </c>
      <c r="AH428" s="3" t="str">
        <f>VLOOKUP(AG428,WikiFormats!$A$3:$B$999,2,0)</f>
        <v>Story</v>
      </c>
      <c r="AI428" s="3" t="s">
        <v>670</v>
      </c>
    </row>
    <row r="429" spans="1:35" s="8" customFormat="1" x14ac:dyDescent="0.55000000000000004">
      <c r="A429" s="3">
        <v>427</v>
      </c>
      <c r="B429" s="3">
        <v>1</v>
      </c>
      <c r="C429" s="3" t="str">
        <f>VLOOKUP(B429,Eras!$A$3:$B$999,2,0)</f>
        <v>Classic</v>
      </c>
      <c r="D429" s="3">
        <v>1</v>
      </c>
      <c r="E429" s="3" t="str">
        <f>VLOOKUP(D429,EpisodeFormats!$A$3:$B$999,2,0)</f>
        <v>Series</v>
      </c>
      <c r="F429" s="3">
        <v>4</v>
      </c>
      <c r="G429" s="3" t="str">
        <f>VLOOKUP(F429,Doctors!$A$3:$B$999,2,0)</f>
        <v>Tom Baker</v>
      </c>
      <c r="H429" s="3">
        <v>13</v>
      </c>
      <c r="I429" s="3">
        <v>1</v>
      </c>
      <c r="J429" s="3" t="str">
        <f>VLOOKUP(I429,SeasonFormats!$A$3:$B$999,2,0)</f>
        <v>Season</v>
      </c>
      <c r="K429" s="3">
        <v>85</v>
      </c>
      <c r="L429" s="3">
        <v>6</v>
      </c>
      <c r="M429" s="3" t="s">
        <v>442</v>
      </c>
      <c r="N429" s="3">
        <v>6</v>
      </c>
      <c r="O429" s="3" t="s">
        <v>431</v>
      </c>
      <c r="P429" s="3">
        <v>26</v>
      </c>
      <c r="Q429" s="7" t="d">
        <v>1976-03-06</v>
      </c>
      <c r="R429" s="3">
        <v>22</v>
      </c>
      <c r="S429" s="3"/>
      <c r="T429" s="4" t="s">
        <v>1171</v>
      </c>
      <c r="U429" s="3" t="str" cm="1">
        <f t="array" ref="U429">_xlfn.TEXTJOIN(",",TRUE,_xlfn.XLOOKUP(_xlfn.FILTERXML("&lt;t&gt;&lt;s&gt;" &amp; SUBSTITUTE(T429,",","&lt;/s&gt;&lt;s&gt;") &amp; "&lt;/s&gt;&lt;/t&gt;", "//s"),Writers!$A$3:$A$999,Writers!$B$3:$B$999,""))</f>
        <v>Robert Banks Stewart</v>
      </c>
      <c r="V429" s="3"/>
      <c r="W429" s="3" t="str">
        <f>IF(V429="","",_xlfn.XLOOKUP(V429,Writers!$A$3:$A$999,Writers!$B$3:$B$999,""))</f>
        <v/>
      </c>
      <c r="X429" s="3">
        <v>11.5</v>
      </c>
      <c r="Y429" s="3"/>
      <c r="Z429" s="3"/>
      <c r="AA429" s="3">
        <f t="shared" si="18"/>
        <v>13.97</v>
      </c>
      <c r="AB429" s="3" t="str">
        <f t="shared" si="19"/>
        <v/>
      </c>
      <c r="AC429" s="3" t="str">
        <f t="shared" si="20"/>
        <v/>
      </c>
      <c r="AD429" s="3">
        <f>VLOOKUP(YEAR(Q429),Populations!$A$3:$B$999,2,0)</f>
        <v>56216100</v>
      </c>
      <c r="AE429" s="3">
        <f>(Calculations!B1/AD429)</f>
        <v>1.2150421676352501</v>
      </c>
      <c r="AF429" s="3"/>
      <c r="AG429" s="3">
        <v>1</v>
      </c>
      <c r="AH429" s="3" t="str">
        <f>VLOOKUP(AG429,WikiFormats!$A$3:$B$999,2,0)</f>
        <v>Story</v>
      </c>
      <c r="AI429" s="3" t="s">
        <v>670</v>
      </c>
    </row>
    <row r="430" spans="1:35" s="2" customFormat="1" x14ac:dyDescent="0.55000000000000004">
      <c r="A430">
        <v>428</v>
      </c>
      <c r="B430">
        <v>1</v>
      </c>
      <c r="C430" t="str">
        <f>VLOOKUP(B430,Eras!$A$3:$B$999,2,0)</f>
        <v>Classic</v>
      </c>
      <c r="D430">
        <v>1</v>
      </c>
      <c r="E430" t="str">
        <f>VLOOKUP(D430,EpisodeFormats!$A$3:$B$999,2,0)</f>
        <v>Series</v>
      </c>
      <c r="F430">
        <v>4</v>
      </c>
      <c r="G430" t="str">
        <f>VLOOKUP(F430,Doctors!$A$3:$B$999,2,0)</f>
        <v>Tom Baker</v>
      </c>
      <c r="H430">
        <v>14</v>
      </c>
      <c r="I430">
        <v>1</v>
      </c>
      <c r="J430" t="str">
        <f>VLOOKUP(I430,SeasonFormats!$A$3:$B$999,2,0)</f>
        <v>Season</v>
      </c>
      <c r="K430">
        <v>86</v>
      </c>
      <c r="L430">
        <v>1</v>
      </c>
      <c r="M430" t="s">
        <v>443</v>
      </c>
      <c r="N430">
        <v>1</v>
      </c>
      <c r="O430" t="s">
        <v>9</v>
      </c>
      <c r="P430">
        <v>1</v>
      </c>
      <c r="Q430" s="6" t="d">
        <v>1976-09-04</v>
      </c>
      <c r="R430">
        <v>25</v>
      </c>
      <c r="S430"/>
      <c r="T430" s="15" t="s">
        <v>1139</v>
      </c>
      <c r="U430" t="str" cm="1">
        <f t="array" ref="U430">_xlfn.TEXTJOIN(",",TRUE,_xlfn.XLOOKUP(_xlfn.FILTERXML("&lt;t&gt;&lt;s&gt;" &amp; SUBSTITUTE(T430,",","&lt;/s&gt;&lt;s&gt;") &amp; "&lt;/s&gt;&lt;/t&gt;", "//s"),Writers!$A$3:$A$999,Writers!$B$3:$B$999,""))</f>
        <v>Louis Marks</v>
      </c>
      <c r="V430"/>
      <c r="W430" t="str">
        <f>IF(V430="","",_xlfn.XLOOKUP(V430,Writers!$A$3:$A$999,Writers!$B$3:$B$999,""))</f>
        <v/>
      </c>
      <c r="X430">
        <v>8.3000000000000007</v>
      </c>
      <c r="Y430"/>
      <c r="Z430"/>
      <c r="AA430">
        <f t="shared" si="18"/>
        <v>10.08</v>
      </c>
      <c r="AB430" t="str">
        <f t="shared" si="19"/>
        <v/>
      </c>
      <c r="AC430" t="str">
        <f t="shared" si="20"/>
        <v/>
      </c>
      <c r="AD430">
        <f>VLOOKUP(YEAR(Q430),Populations!$A$3:$B$999,2,0)</f>
        <v>56216100</v>
      </c>
      <c r="AE430">
        <f>(Calculations!B1/AD430)</f>
        <v>1.2150421676352501</v>
      </c>
      <c r="AF430"/>
      <c r="AG430">
        <v>1</v>
      </c>
      <c r="AH430" t="str">
        <f>VLOOKUP(AG430,WikiFormats!$A$3:$B$999,2,0)</f>
        <v>Story</v>
      </c>
      <c r="AI430" t="s">
        <v>671</v>
      </c>
    </row>
    <row r="431" spans="1:35" s="2" customFormat="1" x14ac:dyDescent="0.55000000000000004">
      <c r="A431">
        <v>429</v>
      </c>
      <c r="B431">
        <v>1</v>
      </c>
      <c r="C431" t="str">
        <f>VLOOKUP(B431,Eras!$A$3:$B$999,2,0)</f>
        <v>Classic</v>
      </c>
      <c r="D431">
        <v>1</v>
      </c>
      <c r="E431" t="str">
        <f>VLOOKUP(D431,EpisodeFormats!$A$3:$B$999,2,0)</f>
        <v>Series</v>
      </c>
      <c r="F431">
        <v>4</v>
      </c>
      <c r="G431" t="str">
        <f>VLOOKUP(F431,Doctors!$A$3:$B$999,2,0)</f>
        <v>Tom Baker</v>
      </c>
      <c r="H431">
        <v>14</v>
      </c>
      <c r="I431">
        <v>1</v>
      </c>
      <c r="J431" t="str">
        <f>VLOOKUP(I431,SeasonFormats!$A$3:$B$999,2,0)</f>
        <v>Season</v>
      </c>
      <c r="K431">
        <v>86</v>
      </c>
      <c r="L431">
        <v>1</v>
      </c>
      <c r="M431" t="s">
        <v>443</v>
      </c>
      <c r="N431">
        <v>2</v>
      </c>
      <c r="O431" t="s">
        <v>10</v>
      </c>
      <c r="P431">
        <v>2</v>
      </c>
      <c r="Q431" s="6" t="d">
        <v>1976-09-11</v>
      </c>
      <c r="R431">
        <v>25</v>
      </c>
      <c r="S431"/>
      <c r="T431" s="15" t="s">
        <v>1139</v>
      </c>
      <c r="U431" t="str" cm="1">
        <f t="array" ref="U431">_xlfn.TEXTJOIN(",",TRUE,_xlfn.XLOOKUP(_xlfn.FILTERXML("&lt;t&gt;&lt;s&gt;" &amp; SUBSTITUTE(T431,",","&lt;/s&gt;&lt;s&gt;") &amp; "&lt;/s&gt;&lt;/t&gt;", "//s"),Writers!$A$3:$A$999,Writers!$B$3:$B$999,""))</f>
        <v>Louis Marks</v>
      </c>
      <c r="V431"/>
      <c r="W431" t="str">
        <f>IF(V431="","",_xlfn.XLOOKUP(V431,Writers!$A$3:$A$999,Writers!$B$3:$B$999,""))</f>
        <v/>
      </c>
      <c r="X431">
        <v>9.8000000000000007</v>
      </c>
      <c r="Y431"/>
      <c r="Z431"/>
      <c r="AA431">
        <f t="shared" si="18"/>
        <v>11.91</v>
      </c>
      <c r="AB431" t="str">
        <f t="shared" si="19"/>
        <v/>
      </c>
      <c r="AC431" t="str">
        <f t="shared" si="20"/>
        <v/>
      </c>
      <c r="AD431">
        <f>VLOOKUP(YEAR(Q431),Populations!$A$3:$B$999,2,0)</f>
        <v>56216100</v>
      </c>
      <c r="AE431">
        <f>(Calculations!B1/AD431)</f>
        <v>1.2150421676352501</v>
      </c>
      <c r="AF431"/>
      <c r="AG431">
        <v>1</v>
      </c>
      <c r="AH431" t="str">
        <f>VLOOKUP(AG431,WikiFormats!$A$3:$B$999,2,0)</f>
        <v>Story</v>
      </c>
      <c r="AI431" t="s">
        <v>671</v>
      </c>
    </row>
    <row r="432" spans="1:35" s="2" customFormat="1" x14ac:dyDescent="0.55000000000000004">
      <c r="A432">
        <v>430</v>
      </c>
      <c r="B432">
        <v>1</v>
      </c>
      <c r="C432" t="str">
        <f>VLOOKUP(B432,Eras!$A$3:$B$999,2,0)</f>
        <v>Classic</v>
      </c>
      <c r="D432">
        <v>1</v>
      </c>
      <c r="E432" t="str">
        <f>VLOOKUP(D432,EpisodeFormats!$A$3:$B$999,2,0)</f>
        <v>Series</v>
      </c>
      <c r="F432">
        <v>4</v>
      </c>
      <c r="G432" t="str">
        <f>VLOOKUP(F432,Doctors!$A$3:$B$999,2,0)</f>
        <v>Tom Baker</v>
      </c>
      <c r="H432">
        <v>14</v>
      </c>
      <c r="I432">
        <v>1</v>
      </c>
      <c r="J432" t="str">
        <f>VLOOKUP(I432,SeasonFormats!$A$3:$B$999,2,0)</f>
        <v>Season</v>
      </c>
      <c r="K432">
        <v>86</v>
      </c>
      <c r="L432">
        <v>1</v>
      </c>
      <c r="M432" t="s">
        <v>443</v>
      </c>
      <c r="N432">
        <v>3</v>
      </c>
      <c r="O432" t="s">
        <v>11</v>
      </c>
      <c r="P432">
        <v>3</v>
      </c>
      <c r="Q432" s="6" t="d">
        <v>1976-09-18</v>
      </c>
      <c r="R432">
        <v>25</v>
      </c>
      <c r="S432"/>
      <c r="T432" s="15" t="s">
        <v>1139</v>
      </c>
      <c r="U432" t="str" cm="1">
        <f t="array" ref="U432">_xlfn.TEXTJOIN(",",TRUE,_xlfn.XLOOKUP(_xlfn.FILTERXML("&lt;t&gt;&lt;s&gt;" &amp; SUBSTITUTE(T432,",","&lt;/s&gt;&lt;s&gt;") &amp; "&lt;/s&gt;&lt;/t&gt;", "//s"),Writers!$A$3:$A$999,Writers!$B$3:$B$999,""))</f>
        <v>Louis Marks</v>
      </c>
      <c r="V432"/>
      <c r="W432" t="str">
        <f>IF(V432="","",_xlfn.XLOOKUP(V432,Writers!$A$3:$A$999,Writers!$B$3:$B$999,""))</f>
        <v/>
      </c>
      <c r="X432">
        <v>9.1999999999999993</v>
      </c>
      <c r="Y432"/>
      <c r="Z432"/>
      <c r="AA432">
        <f t="shared" si="18"/>
        <v>11.18</v>
      </c>
      <c r="AB432" t="str">
        <f t="shared" si="19"/>
        <v/>
      </c>
      <c r="AC432" t="str">
        <f t="shared" si="20"/>
        <v/>
      </c>
      <c r="AD432">
        <f>VLOOKUP(YEAR(Q432),Populations!$A$3:$B$999,2,0)</f>
        <v>56216100</v>
      </c>
      <c r="AE432">
        <f>(Calculations!B1/AD432)</f>
        <v>1.2150421676352501</v>
      </c>
      <c r="AF432"/>
      <c r="AG432">
        <v>1</v>
      </c>
      <c r="AH432" t="str">
        <f>VLOOKUP(AG432,WikiFormats!$A$3:$B$999,2,0)</f>
        <v>Story</v>
      </c>
      <c r="AI432" t="s">
        <v>671</v>
      </c>
    </row>
    <row r="433" spans="1:35" s="2" customFormat="1" x14ac:dyDescent="0.55000000000000004">
      <c r="A433">
        <v>431</v>
      </c>
      <c r="B433">
        <v>1</v>
      </c>
      <c r="C433" t="str">
        <f>VLOOKUP(B433,Eras!$A$3:$B$999,2,0)</f>
        <v>Classic</v>
      </c>
      <c r="D433">
        <v>1</v>
      </c>
      <c r="E433" t="str">
        <f>VLOOKUP(D433,EpisodeFormats!$A$3:$B$999,2,0)</f>
        <v>Series</v>
      </c>
      <c r="F433">
        <v>4</v>
      </c>
      <c r="G433" t="str">
        <f>VLOOKUP(F433,Doctors!$A$3:$B$999,2,0)</f>
        <v>Tom Baker</v>
      </c>
      <c r="H433">
        <v>14</v>
      </c>
      <c r="I433">
        <v>1</v>
      </c>
      <c r="J433" t="str">
        <f>VLOOKUP(I433,SeasonFormats!$A$3:$B$999,2,0)</f>
        <v>Season</v>
      </c>
      <c r="K433">
        <v>86</v>
      </c>
      <c r="L433">
        <v>1</v>
      </c>
      <c r="M433" t="s">
        <v>443</v>
      </c>
      <c r="N433">
        <v>4</v>
      </c>
      <c r="O433" t="s">
        <v>12</v>
      </c>
      <c r="P433">
        <v>4</v>
      </c>
      <c r="Q433" s="6" t="d">
        <v>1976-09-25</v>
      </c>
      <c r="R433">
        <v>25</v>
      </c>
      <c r="S433"/>
      <c r="T433" s="15" t="s">
        <v>1139</v>
      </c>
      <c r="U433" t="str" cm="1">
        <f t="array" ref="U433">_xlfn.TEXTJOIN(",",TRUE,_xlfn.XLOOKUP(_xlfn.FILTERXML("&lt;t&gt;&lt;s&gt;" &amp; SUBSTITUTE(T433,",","&lt;/s&gt;&lt;s&gt;") &amp; "&lt;/s&gt;&lt;/t&gt;", "//s"),Writers!$A$3:$A$999,Writers!$B$3:$B$999,""))</f>
        <v>Louis Marks</v>
      </c>
      <c r="V433"/>
      <c r="W433" t="str">
        <f>IF(V433="","",_xlfn.XLOOKUP(V433,Writers!$A$3:$A$999,Writers!$B$3:$B$999,""))</f>
        <v/>
      </c>
      <c r="X433">
        <v>10.6</v>
      </c>
      <c r="Y433"/>
      <c r="Z433"/>
      <c r="AA433">
        <f t="shared" si="18"/>
        <v>12.88</v>
      </c>
      <c r="AB433" t="str">
        <f t="shared" si="19"/>
        <v/>
      </c>
      <c r="AC433" t="str">
        <f t="shared" si="20"/>
        <v/>
      </c>
      <c r="AD433">
        <f>VLOOKUP(YEAR(Q433),Populations!$A$3:$B$999,2,0)</f>
        <v>56216100</v>
      </c>
      <c r="AE433">
        <f>(Calculations!B1/AD433)</f>
        <v>1.2150421676352501</v>
      </c>
      <c r="AF433"/>
      <c r="AG433">
        <v>1</v>
      </c>
      <c r="AH433" t="str">
        <f>VLOOKUP(AG433,WikiFormats!$A$3:$B$999,2,0)</f>
        <v>Story</v>
      </c>
      <c r="AI433" t="s">
        <v>671</v>
      </c>
    </row>
    <row r="434" spans="1:35" s="8" customFormat="1" x14ac:dyDescent="0.55000000000000004">
      <c r="A434" s="3">
        <v>432</v>
      </c>
      <c r="B434" s="3">
        <v>1</v>
      </c>
      <c r="C434" s="3" t="str">
        <f>VLOOKUP(B434,Eras!$A$3:$B$999,2,0)</f>
        <v>Classic</v>
      </c>
      <c r="D434" s="3">
        <v>1</v>
      </c>
      <c r="E434" s="3" t="str">
        <f>VLOOKUP(D434,EpisodeFormats!$A$3:$B$999,2,0)</f>
        <v>Series</v>
      </c>
      <c r="F434" s="3">
        <v>4</v>
      </c>
      <c r="G434" s="3" t="str">
        <f>VLOOKUP(F434,Doctors!$A$3:$B$999,2,0)</f>
        <v>Tom Baker</v>
      </c>
      <c r="H434" s="3">
        <v>14</v>
      </c>
      <c r="I434" s="3">
        <v>1</v>
      </c>
      <c r="J434" s="3" t="str">
        <f>VLOOKUP(I434,SeasonFormats!$A$3:$B$999,2,0)</f>
        <v>Season</v>
      </c>
      <c r="K434" s="3">
        <v>87</v>
      </c>
      <c r="L434" s="3">
        <v>2</v>
      </c>
      <c r="M434" s="3" t="s">
        <v>444</v>
      </c>
      <c r="N434" s="3">
        <v>1</v>
      </c>
      <c r="O434" s="3" t="s">
        <v>9</v>
      </c>
      <c r="P434" s="3">
        <v>5</v>
      </c>
      <c r="Q434" s="7" t="d">
        <v>1976-10-02</v>
      </c>
      <c r="R434" s="3">
        <v>25</v>
      </c>
      <c r="S434" s="3"/>
      <c r="T434" s="4" t="s">
        <v>1076</v>
      </c>
      <c r="U434" s="3" t="str" cm="1">
        <f t="array" ref="U434">_xlfn.TEXTJOIN(",",TRUE,_xlfn.XLOOKUP(_xlfn.FILTERXML("&lt;t&gt;&lt;s&gt;" &amp; SUBSTITUTE(T434,",","&lt;/s&gt;&lt;s&gt;") &amp; "&lt;/s&gt;&lt;/t&gt;", "//s"),Writers!$A$3:$A$999,Writers!$B$3:$B$999,""))</f>
        <v>Bob Baker,Dave Martin</v>
      </c>
      <c r="V434" s="3"/>
      <c r="W434" s="3" t="str">
        <f>IF(V434="","",_xlfn.XLOOKUP(V434,Writers!$A$3:$A$999,Writers!$B$3:$B$999,""))</f>
        <v/>
      </c>
      <c r="X434" s="3">
        <v>10.5</v>
      </c>
      <c r="Y434" s="3"/>
      <c r="Z434" s="3"/>
      <c r="AA434" s="3">
        <f t="shared" si="18"/>
        <v>12.76</v>
      </c>
      <c r="AB434" s="3" t="str">
        <f t="shared" si="19"/>
        <v/>
      </c>
      <c r="AC434" s="3" t="str">
        <f t="shared" si="20"/>
        <v/>
      </c>
      <c r="AD434" s="3">
        <f>VLOOKUP(YEAR(Q434),Populations!$A$3:$B$999,2,0)</f>
        <v>56216100</v>
      </c>
      <c r="AE434" s="3">
        <f>(Calculations!B1/AD434)</f>
        <v>1.2150421676352501</v>
      </c>
      <c r="AF434" s="3"/>
      <c r="AG434" s="3">
        <v>1</v>
      </c>
      <c r="AH434" s="3" t="str">
        <f>VLOOKUP(AG434,WikiFormats!$A$3:$B$999,2,0)</f>
        <v>Story</v>
      </c>
      <c r="AI434" s="3" t="s">
        <v>672</v>
      </c>
    </row>
    <row r="435" spans="1:35" s="8" customFormat="1" x14ac:dyDescent="0.55000000000000004">
      <c r="A435" s="3">
        <v>433</v>
      </c>
      <c r="B435" s="3">
        <v>1</v>
      </c>
      <c r="C435" s="3" t="str">
        <f>VLOOKUP(B435,Eras!$A$3:$B$999,2,0)</f>
        <v>Classic</v>
      </c>
      <c r="D435" s="3">
        <v>1</v>
      </c>
      <c r="E435" s="3" t="str">
        <f>VLOOKUP(D435,EpisodeFormats!$A$3:$B$999,2,0)</f>
        <v>Series</v>
      </c>
      <c r="F435" s="3">
        <v>4</v>
      </c>
      <c r="G435" s="3" t="str">
        <f>VLOOKUP(F435,Doctors!$A$3:$B$999,2,0)</f>
        <v>Tom Baker</v>
      </c>
      <c r="H435" s="3">
        <v>14</v>
      </c>
      <c r="I435" s="3">
        <v>1</v>
      </c>
      <c r="J435" s="3" t="str">
        <f>VLOOKUP(I435,SeasonFormats!$A$3:$B$999,2,0)</f>
        <v>Season</v>
      </c>
      <c r="K435" s="3">
        <v>87</v>
      </c>
      <c r="L435" s="3">
        <v>2</v>
      </c>
      <c r="M435" s="3" t="s">
        <v>444</v>
      </c>
      <c r="N435" s="3">
        <v>2</v>
      </c>
      <c r="O435" s="3" t="s">
        <v>10</v>
      </c>
      <c r="P435" s="3">
        <v>6</v>
      </c>
      <c r="Q435" s="7" t="d">
        <v>1976-10-09</v>
      </c>
      <c r="R435" s="3">
        <v>25</v>
      </c>
      <c r="S435" s="3"/>
      <c r="T435" s="4" t="s">
        <v>1076</v>
      </c>
      <c r="U435" s="3" t="str" cm="1">
        <f t="array" ref="U435">_xlfn.TEXTJOIN(",",TRUE,_xlfn.XLOOKUP(_xlfn.FILTERXML("&lt;t&gt;&lt;s&gt;" &amp; SUBSTITUTE(T435,",","&lt;/s&gt;&lt;s&gt;") &amp; "&lt;/s&gt;&lt;/t&gt;", "//s"),Writers!$A$3:$A$999,Writers!$B$3:$B$999,""))</f>
        <v>Bob Baker,Dave Martin</v>
      </c>
      <c r="V435" s="3"/>
      <c r="W435" s="3" t="str">
        <f>IF(V435="","",_xlfn.XLOOKUP(V435,Writers!$A$3:$A$999,Writers!$B$3:$B$999,""))</f>
        <v/>
      </c>
      <c r="X435" s="3">
        <v>10.199999999999999</v>
      </c>
      <c r="Y435" s="3"/>
      <c r="Z435" s="3"/>
      <c r="AA435" s="3">
        <f t="shared" si="18"/>
        <v>12.39</v>
      </c>
      <c r="AB435" s="3" t="str">
        <f t="shared" si="19"/>
        <v/>
      </c>
      <c r="AC435" s="3" t="str">
        <f t="shared" si="20"/>
        <v/>
      </c>
      <c r="AD435" s="3">
        <f>VLOOKUP(YEAR(Q435),Populations!$A$3:$B$999,2,0)</f>
        <v>56216100</v>
      </c>
      <c r="AE435" s="3">
        <f>(Calculations!B1/AD435)</f>
        <v>1.2150421676352501</v>
      </c>
      <c r="AF435" s="3"/>
      <c r="AG435" s="3">
        <v>1</v>
      </c>
      <c r="AH435" s="3" t="str">
        <f>VLOOKUP(AG435,WikiFormats!$A$3:$B$999,2,0)</f>
        <v>Story</v>
      </c>
      <c r="AI435" s="3" t="s">
        <v>672</v>
      </c>
    </row>
    <row r="436" spans="1:35" s="8" customFormat="1" x14ac:dyDescent="0.55000000000000004">
      <c r="A436" s="3">
        <v>434</v>
      </c>
      <c r="B436" s="3">
        <v>1</v>
      </c>
      <c r="C436" s="3" t="str">
        <f>VLOOKUP(B436,Eras!$A$3:$B$999,2,0)</f>
        <v>Classic</v>
      </c>
      <c r="D436" s="3">
        <v>1</v>
      </c>
      <c r="E436" s="3" t="str">
        <f>VLOOKUP(D436,EpisodeFormats!$A$3:$B$999,2,0)</f>
        <v>Series</v>
      </c>
      <c r="F436" s="3">
        <v>4</v>
      </c>
      <c r="G436" s="3" t="str">
        <f>VLOOKUP(F436,Doctors!$A$3:$B$999,2,0)</f>
        <v>Tom Baker</v>
      </c>
      <c r="H436" s="3">
        <v>14</v>
      </c>
      <c r="I436" s="3">
        <v>1</v>
      </c>
      <c r="J436" s="3" t="str">
        <f>VLOOKUP(I436,SeasonFormats!$A$3:$B$999,2,0)</f>
        <v>Season</v>
      </c>
      <c r="K436" s="3">
        <v>87</v>
      </c>
      <c r="L436" s="3">
        <v>2</v>
      </c>
      <c r="M436" s="3" t="s">
        <v>444</v>
      </c>
      <c r="N436" s="3">
        <v>3</v>
      </c>
      <c r="O436" s="3" t="s">
        <v>11</v>
      </c>
      <c r="P436" s="3">
        <v>7</v>
      </c>
      <c r="Q436" s="7" t="d">
        <v>1976-10-16</v>
      </c>
      <c r="R436" s="3">
        <v>24</v>
      </c>
      <c r="S436" s="3"/>
      <c r="T436" s="4" t="s">
        <v>1076</v>
      </c>
      <c r="U436" s="3" t="str" cm="1">
        <f t="array" ref="U436">_xlfn.TEXTJOIN(",",TRUE,_xlfn.XLOOKUP(_xlfn.FILTERXML("&lt;t&gt;&lt;s&gt;" &amp; SUBSTITUTE(T436,",","&lt;/s&gt;&lt;s&gt;") &amp; "&lt;/s&gt;&lt;/t&gt;", "//s"),Writers!$A$3:$A$999,Writers!$B$3:$B$999,""))</f>
        <v>Bob Baker,Dave Martin</v>
      </c>
      <c r="V436" s="3"/>
      <c r="W436" s="3" t="str">
        <f>IF(V436="","",_xlfn.XLOOKUP(V436,Writers!$A$3:$A$999,Writers!$B$3:$B$999,""))</f>
        <v/>
      </c>
      <c r="X436" s="3">
        <v>11.1</v>
      </c>
      <c r="Y436" s="3"/>
      <c r="Z436" s="3"/>
      <c r="AA436" s="3">
        <f t="shared" si="18"/>
        <v>13.49</v>
      </c>
      <c r="AB436" s="3" t="str">
        <f t="shared" si="19"/>
        <v/>
      </c>
      <c r="AC436" s="3" t="str">
        <f t="shared" si="20"/>
        <v/>
      </c>
      <c r="AD436" s="3">
        <f>VLOOKUP(YEAR(Q436),Populations!$A$3:$B$999,2,0)</f>
        <v>56216100</v>
      </c>
      <c r="AE436" s="3">
        <f>(Calculations!B1/AD436)</f>
        <v>1.2150421676352501</v>
      </c>
      <c r="AF436" s="3"/>
      <c r="AG436" s="3">
        <v>1</v>
      </c>
      <c r="AH436" s="3" t="str">
        <f>VLOOKUP(AG436,WikiFormats!$A$3:$B$999,2,0)</f>
        <v>Story</v>
      </c>
      <c r="AI436" s="3" t="s">
        <v>672</v>
      </c>
    </row>
    <row r="437" spans="1:35" s="8" customFormat="1" x14ac:dyDescent="0.55000000000000004">
      <c r="A437" s="3">
        <v>435</v>
      </c>
      <c r="B437" s="3">
        <v>1</v>
      </c>
      <c r="C437" s="3" t="str">
        <f>VLOOKUP(B437,Eras!$A$3:$B$999,2,0)</f>
        <v>Classic</v>
      </c>
      <c r="D437" s="3">
        <v>1</v>
      </c>
      <c r="E437" s="3" t="str">
        <f>VLOOKUP(D437,EpisodeFormats!$A$3:$B$999,2,0)</f>
        <v>Series</v>
      </c>
      <c r="F437" s="3">
        <v>4</v>
      </c>
      <c r="G437" s="3" t="str">
        <f>VLOOKUP(F437,Doctors!$A$3:$B$999,2,0)</f>
        <v>Tom Baker</v>
      </c>
      <c r="H437" s="3">
        <v>14</v>
      </c>
      <c r="I437" s="3">
        <v>1</v>
      </c>
      <c r="J437" s="3" t="str">
        <f>VLOOKUP(I437,SeasonFormats!$A$3:$B$999,2,0)</f>
        <v>Season</v>
      </c>
      <c r="K437" s="3">
        <v>87</v>
      </c>
      <c r="L437" s="3">
        <v>2</v>
      </c>
      <c r="M437" s="3" t="s">
        <v>444</v>
      </c>
      <c r="N437" s="3">
        <v>4</v>
      </c>
      <c r="O437" s="3" t="s">
        <v>12</v>
      </c>
      <c r="P437" s="3">
        <v>8</v>
      </c>
      <c r="Q437" s="7" t="d">
        <v>1976-10-23</v>
      </c>
      <c r="R437" s="3">
        <v>25</v>
      </c>
      <c r="S437" s="3"/>
      <c r="T437" s="4" t="s">
        <v>1076</v>
      </c>
      <c r="U437" s="3" t="str" cm="1">
        <f t="array" ref="U437">_xlfn.TEXTJOIN(",",TRUE,_xlfn.XLOOKUP(_xlfn.FILTERXML("&lt;t&gt;&lt;s&gt;" &amp; SUBSTITUTE(T437,",","&lt;/s&gt;&lt;s&gt;") &amp; "&lt;/s&gt;&lt;/t&gt;", "//s"),Writers!$A$3:$A$999,Writers!$B$3:$B$999,""))</f>
        <v>Bob Baker,Dave Martin</v>
      </c>
      <c r="V437" s="3"/>
      <c r="W437" s="3" t="str">
        <f>IF(V437="","",_xlfn.XLOOKUP(V437,Writers!$A$3:$A$999,Writers!$B$3:$B$999,""))</f>
        <v/>
      </c>
      <c r="X437" s="3">
        <v>12</v>
      </c>
      <c r="Y437" s="3"/>
      <c r="Z437" s="3"/>
      <c r="AA437" s="3">
        <f t="shared" si="18"/>
        <v>14.58</v>
      </c>
      <c r="AB437" s="3" t="str">
        <f t="shared" si="19"/>
        <v/>
      </c>
      <c r="AC437" s="3" t="str">
        <f t="shared" si="20"/>
        <v/>
      </c>
      <c r="AD437" s="3">
        <f>VLOOKUP(YEAR(Q437),Populations!$A$3:$B$999,2,0)</f>
        <v>56216100</v>
      </c>
      <c r="AE437" s="3">
        <f>(Calculations!B1/AD437)</f>
        <v>1.2150421676352501</v>
      </c>
      <c r="AF437" s="3"/>
      <c r="AG437" s="3">
        <v>1</v>
      </c>
      <c r="AH437" s="3" t="str">
        <f>VLOOKUP(AG437,WikiFormats!$A$3:$B$999,2,0)</f>
        <v>Story</v>
      </c>
      <c r="AI437" s="3" t="s">
        <v>672</v>
      </c>
    </row>
    <row r="438" spans="1:35" s="2" customFormat="1" x14ac:dyDescent="0.55000000000000004">
      <c r="A438">
        <v>436</v>
      </c>
      <c r="B438">
        <v>1</v>
      </c>
      <c r="C438" t="str">
        <f>VLOOKUP(B438,Eras!$A$3:$B$999,2,0)</f>
        <v>Classic</v>
      </c>
      <c r="D438">
        <v>1</v>
      </c>
      <c r="E438" t="str">
        <f>VLOOKUP(D438,EpisodeFormats!$A$3:$B$999,2,0)</f>
        <v>Series</v>
      </c>
      <c r="F438">
        <v>4</v>
      </c>
      <c r="G438" t="str">
        <f>VLOOKUP(F438,Doctors!$A$3:$B$999,2,0)</f>
        <v>Tom Baker</v>
      </c>
      <c r="H438">
        <v>14</v>
      </c>
      <c r="I438">
        <v>1</v>
      </c>
      <c r="J438" t="str">
        <f>VLOOKUP(I438,SeasonFormats!$A$3:$B$999,2,0)</f>
        <v>Season</v>
      </c>
      <c r="K438">
        <v>88</v>
      </c>
      <c r="L438">
        <v>3</v>
      </c>
      <c r="M438" t="s">
        <v>445</v>
      </c>
      <c r="N438">
        <v>1</v>
      </c>
      <c r="O438" t="s">
        <v>9</v>
      </c>
      <c r="P438">
        <v>9</v>
      </c>
      <c r="Q438" s="6" t="d">
        <v>1976-10-30</v>
      </c>
      <c r="R438">
        <v>21</v>
      </c>
      <c r="S438"/>
      <c r="T438" s="15" t="s">
        <v>1122</v>
      </c>
      <c r="U438" t="str" cm="1">
        <f t="array" ref="U438">_xlfn.TEXTJOIN(",",TRUE,_xlfn.XLOOKUP(_xlfn.FILTERXML("&lt;t&gt;&lt;s&gt;" &amp; SUBSTITUTE(T438,",","&lt;/s&gt;&lt;s&gt;") &amp; "&lt;/s&gt;&lt;/t&gt;", "//s"),Writers!$A$3:$A$999,Writers!$B$3:$B$999,""))</f>
        <v>Robert Holmes</v>
      </c>
      <c r="V438"/>
      <c r="W438" t="str">
        <f>IF(V438="","",_xlfn.XLOOKUP(V438,Writers!$A$3:$A$999,Writers!$B$3:$B$999,""))</f>
        <v/>
      </c>
      <c r="X438">
        <v>11.8</v>
      </c>
      <c r="Y438"/>
      <c r="Z438"/>
      <c r="AA438">
        <f t="shared" si="18"/>
        <v>14.34</v>
      </c>
      <c r="AB438" t="str">
        <f t="shared" si="19"/>
        <v/>
      </c>
      <c r="AC438" t="str">
        <f t="shared" si="20"/>
        <v/>
      </c>
      <c r="AD438">
        <f>VLOOKUP(YEAR(Q438),Populations!$A$3:$B$999,2,0)</f>
        <v>56216100</v>
      </c>
      <c r="AE438">
        <f>(Calculations!B1/AD438)</f>
        <v>1.2150421676352501</v>
      </c>
      <c r="AF438"/>
      <c r="AG438">
        <v>1</v>
      </c>
      <c r="AH438" t="str">
        <f>VLOOKUP(AG438,WikiFormats!$A$3:$B$999,2,0)</f>
        <v>Story</v>
      </c>
      <c r="AI438" t="s">
        <v>673</v>
      </c>
    </row>
    <row r="439" spans="1:35" s="2" customFormat="1" x14ac:dyDescent="0.55000000000000004">
      <c r="A439">
        <v>437</v>
      </c>
      <c r="B439">
        <v>1</v>
      </c>
      <c r="C439" t="str">
        <f>VLOOKUP(B439,Eras!$A$3:$B$999,2,0)</f>
        <v>Classic</v>
      </c>
      <c r="D439">
        <v>1</v>
      </c>
      <c r="E439" t="str">
        <f>VLOOKUP(D439,EpisodeFormats!$A$3:$B$999,2,0)</f>
        <v>Series</v>
      </c>
      <c r="F439">
        <v>4</v>
      </c>
      <c r="G439" t="str">
        <f>VLOOKUP(F439,Doctors!$A$3:$B$999,2,0)</f>
        <v>Tom Baker</v>
      </c>
      <c r="H439">
        <v>14</v>
      </c>
      <c r="I439">
        <v>1</v>
      </c>
      <c r="J439" t="str">
        <f>VLOOKUP(I439,SeasonFormats!$A$3:$B$999,2,0)</f>
        <v>Season</v>
      </c>
      <c r="K439">
        <v>88</v>
      </c>
      <c r="L439">
        <v>3</v>
      </c>
      <c r="M439" t="s">
        <v>445</v>
      </c>
      <c r="N439">
        <v>2</v>
      </c>
      <c r="O439" t="s">
        <v>10</v>
      </c>
      <c r="P439">
        <v>10</v>
      </c>
      <c r="Q439" s="6" t="d">
        <v>1976-11-06</v>
      </c>
      <c r="R439">
        <v>25</v>
      </c>
      <c r="S439"/>
      <c r="T439" s="15" t="s">
        <v>1122</v>
      </c>
      <c r="U439" t="str" cm="1">
        <f t="array" ref="U439">_xlfn.TEXTJOIN(",",TRUE,_xlfn.XLOOKUP(_xlfn.FILTERXML("&lt;t&gt;&lt;s&gt;" &amp; SUBSTITUTE(T439,",","&lt;/s&gt;&lt;s&gt;") &amp; "&lt;/s&gt;&lt;/t&gt;", "//s"),Writers!$A$3:$A$999,Writers!$B$3:$B$999,""))</f>
        <v>Robert Holmes</v>
      </c>
      <c r="V439"/>
      <c r="W439" t="str">
        <f>IF(V439="","",_xlfn.XLOOKUP(V439,Writers!$A$3:$A$999,Writers!$B$3:$B$999,""))</f>
        <v/>
      </c>
      <c r="X439">
        <v>12.1</v>
      </c>
      <c r="Y439"/>
      <c r="Z439"/>
      <c r="AA439">
        <f t="shared" si="18"/>
        <v>14.7</v>
      </c>
      <c r="AB439" t="str">
        <f t="shared" si="19"/>
        <v/>
      </c>
      <c r="AC439" t="str">
        <f t="shared" si="20"/>
        <v/>
      </c>
      <c r="AD439">
        <f>VLOOKUP(YEAR(Q439),Populations!$A$3:$B$999,2,0)</f>
        <v>56216100</v>
      </c>
      <c r="AE439">
        <f>(Calculations!B1/AD439)</f>
        <v>1.2150421676352501</v>
      </c>
      <c r="AF439"/>
      <c r="AG439">
        <v>1</v>
      </c>
      <c r="AH439" t="str">
        <f>VLOOKUP(AG439,WikiFormats!$A$3:$B$999,2,0)</f>
        <v>Story</v>
      </c>
      <c r="AI439" t="s">
        <v>673</v>
      </c>
    </row>
    <row r="440" spans="1:35" s="2" customFormat="1" x14ac:dyDescent="0.55000000000000004">
      <c r="A440">
        <v>438</v>
      </c>
      <c r="B440">
        <v>1</v>
      </c>
      <c r="C440" t="str">
        <f>VLOOKUP(B440,Eras!$A$3:$B$999,2,0)</f>
        <v>Classic</v>
      </c>
      <c r="D440">
        <v>1</v>
      </c>
      <c r="E440" t="str">
        <f>VLOOKUP(D440,EpisodeFormats!$A$3:$B$999,2,0)</f>
        <v>Series</v>
      </c>
      <c r="F440">
        <v>4</v>
      </c>
      <c r="G440" t="str">
        <f>VLOOKUP(F440,Doctors!$A$3:$B$999,2,0)</f>
        <v>Tom Baker</v>
      </c>
      <c r="H440">
        <v>14</v>
      </c>
      <c r="I440">
        <v>1</v>
      </c>
      <c r="J440" t="str">
        <f>VLOOKUP(I440,SeasonFormats!$A$3:$B$999,2,0)</f>
        <v>Season</v>
      </c>
      <c r="K440">
        <v>88</v>
      </c>
      <c r="L440">
        <v>3</v>
      </c>
      <c r="M440" t="s">
        <v>445</v>
      </c>
      <c r="N440">
        <v>3</v>
      </c>
      <c r="O440" t="s">
        <v>11</v>
      </c>
      <c r="P440">
        <v>11</v>
      </c>
      <c r="Q440" s="6" t="d">
        <v>1976-11-13</v>
      </c>
      <c r="R440">
        <v>24</v>
      </c>
      <c r="S440"/>
      <c r="T440" s="15" t="s">
        <v>1122</v>
      </c>
      <c r="U440" t="str" cm="1">
        <f t="array" ref="U440">_xlfn.TEXTJOIN(",",TRUE,_xlfn.XLOOKUP(_xlfn.FILTERXML("&lt;t&gt;&lt;s&gt;" &amp; SUBSTITUTE(T440,",","&lt;/s&gt;&lt;s&gt;") &amp; "&lt;/s&gt;&lt;/t&gt;", "//s"),Writers!$A$3:$A$999,Writers!$B$3:$B$999,""))</f>
        <v>Robert Holmes</v>
      </c>
      <c r="V440"/>
      <c r="W440" t="str">
        <f>IF(V440="","",_xlfn.XLOOKUP(V440,Writers!$A$3:$A$999,Writers!$B$3:$B$999,""))</f>
        <v/>
      </c>
      <c r="X440">
        <v>13</v>
      </c>
      <c r="Y440"/>
      <c r="Z440"/>
      <c r="AA440">
        <f t="shared" si="18"/>
        <v>15.8</v>
      </c>
      <c r="AB440" t="str">
        <f t="shared" si="19"/>
        <v/>
      </c>
      <c r="AC440" t="str">
        <f t="shared" si="20"/>
        <v/>
      </c>
      <c r="AD440">
        <f>VLOOKUP(YEAR(Q440),Populations!$A$3:$B$999,2,0)</f>
        <v>56216100</v>
      </c>
      <c r="AE440">
        <f>(Calculations!B1/AD440)</f>
        <v>1.2150421676352501</v>
      </c>
      <c r="AF440"/>
      <c r="AG440">
        <v>1</v>
      </c>
      <c r="AH440" t="str">
        <f>VLOOKUP(AG440,WikiFormats!$A$3:$B$999,2,0)</f>
        <v>Story</v>
      </c>
      <c r="AI440" t="s">
        <v>673</v>
      </c>
    </row>
    <row r="441" spans="1:35" s="2" customFormat="1" x14ac:dyDescent="0.55000000000000004">
      <c r="A441">
        <v>439</v>
      </c>
      <c r="B441">
        <v>1</v>
      </c>
      <c r="C441" t="str">
        <f>VLOOKUP(B441,Eras!$A$3:$B$999,2,0)</f>
        <v>Classic</v>
      </c>
      <c r="D441">
        <v>1</v>
      </c>
      <c r="E441" t="str">
        <f>VLOOKUP(D441,EpisodeFormats!$A$3:$B$999,2,0)</f>
        <v>Series</v>
      </c>
      <c r="F441">
        <v>4</v>
      </c>
      <c r="G441" t="str">
        <f>VLOOKUP(F441,Doctors!$A$3:$B$999,2,0)</f>
        <v>Tom Baker</v>
      </c>
      <c r="H441">
        <v>14</v>
      </c>
      <c r="I441">
        <v>1</v>
      </c>
      <c r="J441" t="str">
        <f>VLOOKUP(I441,SeasonFormats!$A$3:$B$999,2,0)</f>
        <v>Season</v>
      </c>
      <c r="K441">
        <v>88</v>
      </c>
      <c r="L441">
        <v>3</v>
      </c>
      <c r="M441" t="s">
        <v>445</v>
      </c>
      <c r="N441">
        <v>4</v>
      </c>
      <c r="O441" t="s">
        <v>12</v>
      </c>
      <c r="P441">
        <v>12</v>
      </c>
      <c r="Q441" s="6" t="d">
        <v>1976-11-20</v>
      </c>
      <c r="R441">
        <v>24</v>
      </c>
      <c r="S441"/>
      <c r="T441" s="15" t="s">
        <v>1122</v>
      </c>
      <c r="U441" t="str" cm="1">
        <f t="array" ref="U441">_xlfn.TEXTJOIN(",",TRUE,_xlfn.XLOOKUP(_xlfn.FILTERXML("&lt;t&gt;&lt;s&gt;" &amp; SUBSTITUTE(T441,",","&lt;/s&gt;&lt;s&gt;") &amp; "&lt;/s&gt;&lt;/t&gt;", "//s"),Writers!$A$3:$A$999,Writers!$B$3:$B$999,""))</f>
        <v>Robert Holmes</v>
      </c>
      <c r="V441"/>
      <c r="W441" t="str">
        <f>IF(V441="","",_xlfn.XLOOKUP(V441,Writers!$A$3:$A$999,Writers!$B$3:$B$999,""))</f>
        <v/>
      </c>
      <c r="X441">
        <v>11.8</v>
      </c>
      <c r="Y441"/>
      <c r="Z441"/>
      <c r="AA441">
        <f t="shared" si="18"/>
        <v>14.34</v>
      </c>
      <c r="AB441" t="str">
        <f t="shared" si="19"/>
        <v/>
      </c>
      <c r="AC441" t="str">
        <f t="shared" si="20"/>
        <v/>
      </c>
      <c r="AD441">
        <f>VLOOKUP(YEAR(Q441),Populations!$A$3:$B$999,2,0)</f>
        <v>56216100</v>
      </c>
      <c r="AE441">
        <f>(Calculations!B1/AD441)</f>
        <v>1.2150421676352501</v>
      </c>
      <c r="AF441"/>
      <c r="AG441">
        <v>1</v>
      </c>
      <c r="AH441" t="str">
        <f>VLOOKUP(AG441,WikiFormats!$A$3:$B$999,2,0)</f>
        <v>Story</v>
      </c>
      <c r="AI441" t="s">
        <v>673</v>
      </c>
    </row>
    <row r="442" spans="1:35" s="8" customFormat="1" x14ac:dyDescent="0.55000000000000004">
      <c r="A442" s="3">
        <v>440</v>
      </c>
      <c r="B442" s="3">
        <v>1</v>
      </c>
      <c r="C442" s="3" t="str">
        <f>VLOOKUP(B442,Eras!$A$3:$B$999,2,0)</f>
        <v>Classic</v>
      </c>
      <c r="D442" s="3">
        <v>1</v>
      </c>
      <c r="E442" s="3" t="str">
        <f>VLOOKUP(D442,EpisodeFormats!$A$3:$B$999,2,0)</f>
        <v>Series</v>
      </c>
      <c r="F442" s="3">
        <v>4</v>
      </c>
      <c r="G442" s="3" t="str">
        <f>VLOOKUP(F442,Doctors!$A$3:$B$999,2,0)</f>
        <v>Tom Baker</v>
      </c>
      <c r="H442" s="3">
        <v>14</v>
      </c>
      <c r="I442" s="3">
        <v>1</v>
      </c>
      <c r="J442" s="3" t="str">
        <f>VLOOKUP(I442,SeasonFormats!$A$3:$B$999,2,0)</f>
        <v>Season</v>
      </c>
      <c r="K442" s="3">
        <v>89</v>
      </c>
      <c r="L442" s="3">
        <v>4</v>
      </c>
      <c r="M442" s="3" t="s">
        <v>446</v>
      </c>
      <c r="N442" s="3">
        <v>1</v>
      </c>
      <c r="O442" s="3" t="s">
        <v>9</v>
      </c>
      <c r="P442" s="3">
        <v>13</v>
      </c>
      <c r="Q442" s="7" t="d">
        <v>1977-01-01</v>
      </c>
      <c r="R442" s="3">
        <v>25</v>
      </c>
      <c r="S442" s="3"/>
      <c r="T442" s="4" t="s">
        <v>1081</v>
      </c>
      <c r="U442" s="3" t="str" cm="1">
        <f t="array" ref="U442">_xlfn.TEXTJOIN(",",TRUE,_xlfn.XLOOKUP(_xlfn.FILTERXML("&lt;t&gt;&lt;s&gt;" &amp; SUBSTITUTE(T442,",","&lt;/s&gt;&lt;s&gt;") &amp; "&lt;/s&gt;&lt;/t&gt;", "//s"),Writers!$A$3:$A$999,Writers!$B$3:$B$999,""))</f>
        <v>Chris Boucher</v>
      </c>
      <c r="V442" s="3"/>
      <c r="W442" s="3" t="str">
        <f>IF(V442="","",_xlfn.XLOOKUP(V442,Writers!$A$3:$A$999,Writers!$B$3:$B$999,""))</f>
        <v/>
      </c>
      <c r="X442" s="3">
        <v>10.7</v>
      </c>
      <c r="Y442" s="3"/>
      <c r="Z442" s="3"/>
      <c r="AA442" s="3">
        <f t="shared" si="18"/>
        <v>13.01</v>
      </c>
      <c r="AB442" s="3" t="str">
        <f t="shared" si="19"/>
        <v/>
      </c>
      <c r="AC442" s="3" t="str">
        <f t="shared" si="20"/>
        <v/>
      </c>
      <c r="AD442" s="3">
        <f>VLOOKUP(YEAR(Q442),Populations!$A$3:$B$999,2,0)</f>
        <v>56189900</v>
      </c>
      <c r="AE442" s="3">
        <f>(Calculations!B1/AD442)</f>
        <v>1.2156087125978201</v>
      </c>
      <c r="AF442" s="3"/>
      <c r="AG442" s="3">
        <v>1</v>
      </c>
      <c r="AH442" s="3" t="str">
        <f>VLOOKUP(AG442,WikiFormats!$A$3:$B$999,2,0)</f>
        <v>Story</v>
      </c>
      <c r="AI442" s="3" t="s">
        <v>674</v>
      </c>
    </row>
    <row r="443" spans="1:35" s="8" customFormat="1" x14ac:dyDescent="0.55000000000000004">
      <c r="A443" s="3">
        <v>441</v>
      </c>
      <c r="B443" s="3">
        <v>1</v>
      </c>
      <c r="C443" s="3" t="str">
        <f>VLOOKUP(B443,Eras!$A$3:$B$999,2,0)</f>
        <v>Classic</v>
      </c>
      <c r="D443" s="3">
        <v>1</v>
      </c>
      <c r="E443" s="3" t="str">
        <f>VLOOKUP(D443,EpisodeFormats!$A$3:$B$999,2,0)</f>
        <v>Series</v>
      </c>
      <c r="F443" s="3">
        <v>4</v>
      </c>
      <c r="G443" s="3" t="str">
        <f>VLOOKUP(F443,Doctors!$A$3:$B$999,2,0)</f>
        <v>Tom Baker</v>
      </c>
      <c r="H443" s="3">
        <v>14</v>
      </c>
      <c r="I443" s="3">
        <v>1</v>
      </c>
      <c r="J443" s="3" t="str">
        <f>VLOOKUP(I443,SeasonFormats!$A$3:$B$999,2,0)</f>
        <v>Season</v>
      </c>
      <c r="K443" s="3">
        <v>89</v>
      </c>
      <c r="L443" s="3">
        <v>4</v>
      </c>
      <c r="M443" s="3" t="s">
        <v>446</v>
      </c>
      <c r="N443" s="3">
        <v>2</v>
      </c>
      <c r="O443" s="3" t="s">
        <v>10</v>
      </c>
      <c r="P443" s="3">
        <v>14</v>
      </c>
      <c r="Q443" s="7" t="d">
        <v>1977-01-08</v>
      </c>
      <c r="R443" s="3">
        <v>25</v>
      </c>
      <c r="S443" s="3"/>
      <c r="T443" s="4" t="s">
        <v>1081</v>
      </c>
      <c r="U443" s="3" t="str" cm="1">
        <f t="array" ref="U443">_xlfn.TEXTJOIN(",",TRUE,_xlfn.XLOOKUP(_xlfn.FILTERXML("&lt;t&gt;&lt;s&gt;" &amp; SUBSTITUTE(T443,",","&lt;/s&gt;&lt;s&gt;") &amp; "&lt;/s&gt;&lt;/t&gt;", "//s"),Writers!$A$3:$A$999,Writers!$B$3:$B$999,""))</f>
        <v>Chris Boucher</v>
      </c>
      <c r="V443" s="3"/>
      <c r="W443" s="3" t="str">
        <f>IF(V443="","",_xlfn.XLOOKUP(V443,Writers!$A$3:$A$999,Writers!$B$3:$B$999,""))</f>
        <v/>
      </c>
      <c r="X443" s="3">
        <v>11.1</v>
      </c>
      <c r="Y443" s="3"/>
      <c r="Z443" s="3"/>
      <c r="AA443" s="3">
        <f t="shared" si="18"/>
        <v>13.49</v>
      </c>
      <c r="AB443" s="3" t="str">
        <f t="shared" si="19"/>
        <v/>
      </c>
      <c r="AC443" s="3" t="str">
        <f t="shared" si="20"/>
        <v/>
      </c>
      <c r="AD443" s="3">
        <f>VLOOKUP(YEAR(Q443),Populations!$A$3:$B$999,2,0)</f>
        <v>56189900</v>
      </c>
      <c r="AE443" s="3">
        <f>(Calculations!B1/AD443)</f>
        <v>1.2156087125978201</v>
      </c>
      <c r="AF443" s="3"/>
      <c r="AG443" s="3">
        <v>1</v>
      </c>
      <c r="AH443" s="3" t="str">
        <f>VLOOKUP(AG443,WikiFormats!$A$3:$B$999,2,0)</f>
        <v>Story</v>
      </c>
      <c r="AI443" s="3" t="s">
        <v>674</v>
      </c>
    </row>
    <row r="444" spans="1:35" s="8" customFormat="1" x14ac:dyDescent="0.55000000000000004">
      <c r="A444" s="3">
        <v>442</v>
      </c>
      <c r="B444" s="3">
        <v>1</v>
      </c>
      <c r="C444" s="3" t="str">
        <f>VLOOKUP(B444,Eras!$A$3:$B$999,2,0)</f>
        <v>Classic</v>
      </c>
      <c r="D444" s="3">
        <v>1</v>
      </c>
      <c r="E444" s="3" t="str">
        <f>VLOOKUP(D444,EpisodeFormats!$A$3:$B$999,2,0)</f>
        <v>Series</v>
      </c>
      <c r="F444" s="3">
        <v>4</v>
      </c>
      <c r="G444" s="3" t="str">
        <f>VLOOKUP(F444,Doctors!$A$3:$B$999,2,0)</f>
        <v>Tom Baker</v>
      </c>
      <c r="H444" s="3">
        <v>14</v>
      </c>
      <c r="I444" s="3">
        <v>1</v>
      </c>
      <c r="J444" s="3" t="str">
        <f>VLOOKUP(I444,SeasonFormats!$A$3:$B$999,2,0)</f>
        <v>Season</v>
      </c>
      <c r="K444" s="3">
        <v>89</v>
      </c>
      <c r="L444" s="3">
        <v>4</v>
      </c>
      <c r="M444" s="3" t="s">
        <v>446</v>
      </c>
      <c r="N444" s="3">
        <v>3</v>
      </c>
      <c r="O444" s="3" t="s">
        <v>11</v>
      </c>
      <c r="P444" s="3">
        <v>15</v>
      </c>
      <c r="Q444" s="7" t="d">
        <v>1977-01-15</v>
      </c>
      <c r="R444" s="3">
        <v>25</v>
      </c>
      <c r="S444" s="3"/>
      <c r="T444" s="4" t="s">
        <v>1081</v>
      </c>
      <c r="U444" s="3" t="str" cm="1">
        <f t="array" ref="U444">_xlfn.TEXTJOIN(",",TRUE,_xlfn.XLOOKUP(_xlfn.FILTERXML("&lt;t&gt;&lt;s&gt;" &amp; SUBSTITUTE(T444,",","&lt;/s&gt;&lt;s&gt;") &amp; "&lt;/s&gt;&lt;/t&gt;", "//s"),Writers!$A$3:$A$999,Writers!$B$3:$B$999,""))</f>
        <v>Chris Boucher</v>
      </c>
      <c r="V444" s="3"/>
      <c r="W444" s="3" t="str">
        <f>IF(V444="","",_xlfn.XLOOKUP(V444,Writers!$A$3:$A$999,Writers!$B$3:$B$999,""))</f>
        <v/>
      </c>
      <c r="X444" s="3">
        <v>11.3</v>
      </c>
      <c r="Y444" s="3"/>
      <c r="Z444" s="3"/>
      <c r="AA444" s="3">
        <f t="shared" si="18"/>
        <v>13.74</v>
      </c>
      <c r="AB444" s="3" t="str">
        <f t="shared" si="19"/>
        <v/>
      </c>
      <c r="AC444" s="3" t="str">
        <f t="shared" si="20"/>
        <v/>
      </c>
      <c r="AD444" s="3">
        <f>VLOOKUP(YEAR(Q444),Populations!$A$3:$B$999,2,0)</f>
        <v>56189900</v>
      </c>
      <c r="AE444" s="3">
        <f>(Calculations!B1/AD444)</f>
        <v>1.2156087125978201</v>
      </c>
      <c r="AF444" s="3"/>
      <c r="AG444" s="3">
        <v>1</v>
      </c>
      <c r="AH444" s="3" t="str">
        <f>VLOOKUP(AG444,WikiFormats!$A$3:$B$999,2,0)</f>
        <v>Story</v>
      </c>
      <c r="AI444" s="3" t="s">
        <v>674</v>
      </c>
    </row>
    <row r="445" spans="1:35" s="8" customFormat="1" x14ac:dyDescent="0.55000000000000004">
      <c r="A445" s="3">
        <v>443</v>
      </c>
      <c r="B445" s="3">
        <v>1</v>
      </c>
      <c r="C445" s="3" t="str">
        <f>VLOOKUP(B445,Eras!$A$3:$B$999,2,0)</f>
        <v>Classic</v>
      </c>
      <c r="D445" s="3">
        <v>1</v>
      </c>
      <c r="E445" s="3" t="str">
        <f>VLOOKUP(D445,EpisodeFormats!$A$3:$B$999,2,0)</f>
        <v>Series</v>
      </c>
      <c r="F445" s="3">
        <v>4</v>
      </c>
      <c r="G445" s="3" t="str">
        <f>VLOOKUP(F445,Doctors!$A$3:$B$999,2,0)</f>
        <v>Tom Baker</v>
      </c>
      <c r="H445" s="3">
        <v>14</v>
      </c>
      <c r="I445" s="3">
        <v>1</v>
      </c>
      <c r="J445" s="3" t="str">
        <f>VLOOKUP(I445,SeasonFormats!$A$3:$B$999,2,0)</f>
        <v>Season</v>
      </c>
      <c r="K445" s="3">
        <v>89</v>
      </c>
      <c r="L445" s="3">
        <v>4</v>
      </c>
      <c r="M445" s="3" t="s">
        <v>446</v>
      </c>
      <c r="N445" s="3">
        <v>4</v>
      </c>
      <c r="O445" s="3" t="s">
        <v>12</v>
      </c>
      <c r="P445" s="3">
        <v>16</v>
      </c>
      <c r="Q445" s="7" t="d">
        <v>1977-01-22</v>
      </c>
      <c r="R445" s="3">
        <v>25</v>
      </c>
      <c r="S445" s="3"/>
      <c r="T445" s="4" t="s">
        <v>1081</v>
      </c>
      <c r="U445" s="3" t="str" cm="1">
        <f t="array" ref="U445">_xlfn.TEXTJOIN(",",TRUE,_xlfn.XLOOKUP(_xlfn.FILTERXML("&lt;t&gt;&lt;s&gt;" &amp; SUBSTITUTE(T445,",","&lt;/s&gt;&lt;s&gt;") &amp; "&lt;/s&gt;&lt;/t&gt;", "//s"),Writers!$A$3:$A$999,Writers!$B$3:$B$999,""))</f>
        <v>Chris Boucher</v>
      </c>
      <c r="V445" s="3"/>
      <c r="W445" s="3" t="str">
        <f>IF(V445="","",_xlfn.XLOOKUP(V445,Writers!$A$3:$A$999,Writers!$B$3:$B$999,""))</f>
        <v/>
      </c>
      <c r="X445" s="3">
        <v>11.7</v>
      </c>
      <c r="Y445" s="3"/>
      <c r="Z445" s="3"/>
      <c r="AA445" s="3">
        <f t="shared" si="18"/>
        <v>14.22</v>
      </c>
      <c r="AB445" s="3" t="str">
        <f t="shared" si="19"/>
        <v/>
      </c>
      <c r="AC445" s="3" t="str">
        <f t="shared" si="20"/>
        <v/>
      </c>
      <c r="AD445" s="3">
        <f>VLOOKUP(YEAR(Q445),Populations!$A$3:$B$999,2,0)</f>
        <v>56189900</v>
      </c>
      <c r="AE445" s="3">
        <f>(Calculations!B1/AD445)</f>
        <v>1.2156087125978201</v>
      </c>
      <c r="AF445" s="3"/>
      <c r="AG445" s="3">
        <v>1</v>
      </c>
      <c r="AH445" s="3" t="str">
        <f>VLOOKUP(AG445,WikiFormats!$A$3:$B$999,2,0)</f>
        <v>Story</v>
      </c>
      <c r="AI445" s="3" t="s">
        <v>674</v>
      </c>
    </row>
    <row r="446" spans="1:35" s="2" customFormat="1" x14ac:dyDescent="0.55000000000000004">
      <c r="A446">
        <v>444</v>
      </c>
      <c r="B446">
        <v>1</v>
      </c>
      <c r="C446" t="str">
        <f>VLOOKUP(B446,Eras!$A$3:$B$999,2,0)</f>
        <v>Classic</v>
      </c>
      <c r="D446">
        <v>1</v>
      </c>
      <c r="E446" t="str">
        <f>VLOOKUP(D446,EpisodeFormats!$A$3:$B$999,2,0)</f>
        <v>Series</v>
      </c>
      <c r="F446">
        <v>4</v>
      </c>
      <c r="G446" t="str">
        <f>VLOOKUP(F446,Doctors!$A$3:$B$999,2,0)</f>
        <v>Tom Baker</v>
      </c>
      <c r="H446">
        <v>14</v>
      </c>
      <c r="I446">
        <v>1</v>
      </c>
      <c r="J446" t="str">
        <f>VLOOKUP(I446,SeasonFormats!$A$3:$B$999,2,0)</f>
        <v>Season</v>
      </c>
      <c r="K446">
        <v>90</v>
      </c>
      <c r="L446">
        <v>5</v>
      </c>
      <c r="M446" t="s">
        <v>447</v>
      </c>
      <c r="N446">
        <v>1</v>
      </c>
      <c r="O446" t="s">
        <v>9</v>
      </c>
      <c r="P446">
        <v>17</v>
      </c>
      <c r="Q446" s="6" t="d">
        <v>1977-01-29</v>
      </c>
      <c r="R446">
        <v>24</v>
      </c>
      <c r="S446"/>
      <c r="T446" s="15" t="s">
        <v>1081</v>
      </c>
      <c r="U446" t="str" cm="1">
        <f t="array" ref="U446">_xlfn.TEXTJOIN(",",TRUE,_xlfn.XLOOKUP(_xlfn.FILTERXML("&lt;t&gt;&lt;s&gt;" &amp; SUBSTITUTE(T446,",","&lt;/s&gt;&lt;s&gt;") &amp; "&lt;/s&gt;&lt;/t&gt;", "//s"),Writers!$A$3:$A$999,Writers!$B$3:$B$999,""))</f>
        <v>Chris Boucher</v>
      </c>
      <c r="V446"/>
      <c r="W446" t="str">
        <f>IF(V446="","",_xlfn.XLOOKUP(V446,Writers!$A$3:$A$999,Writers!$B$3:$B$999,""))</f>
        <v/>
      </c>
      <c r="X446">
        <v>12.8</v>
      </c>
      <c r="Y446"/>
      <c r="Z446"/>
      <c r="AA446">
        <f t="shared" si="18"/>
        <v>15.56</v>
      </c>
      <c r="AB446" t="str">
        <f t="shared" si="19"/>
        <v/>
      </c>
      <c r="AC446" t="str">
        <f t="shared" si="20"/>
        <v/>
      </c>
      <c r="AD446">
        <f>VLOOKUP(YEAR(Q446),Populations!$A$3:$B$999,2,0)</f>
        <v>56189900</v>
      </c>
      <c r="AE446">
        <f>(Calculations!B1/AD446)</f>
        <v>1.2156087125978201</v>
      </c>
      <c r="AF446"/>
      <c r="AG446">
        <v>1</v>
      </c>
      <c r="AH446" t="str">
        <f>VLOOKUP(AG446,WikiFormats!$A$3:$B$999,2,0)</f>
        <v>Story</v>
      </c>
      <c r="AI446" t="s">
        <v>675</v>
      </c>
    </row>
    <row r="447" spans="1:35" s="2" customFormat="1" x14ac:dyDescent="0.55000000000000004">
      <c r="A447">
        <v>445</v>
      </c>
      <c r="B447">
        <v>1</v>
      </c>
      <c r="C447" t="str">
        <f>VLOOKUP(B447,Eras!$A$3:$B$999,2,0)</f>
        <v>Classic</v>
      </c>
      <c r="D447">
        <v>1</v>
      </c>
      <c r="E447" t="str">
        <f>VLOOKUP(D447,EpisodeFormats!$A$3:$B$999,2,0)</f>
        <v>Series</v>
      </c>
      <c r="F447">
        <v>4</v>
      </c>
      <c r="G447" t="str">
        <f>VLOOKUP(F447,Doctors!$A$3:$B$999,2,0)</f>
        <v>Tom Baker</v>
      </c>
      <c r="H447">
        <v>14</v>
      </c>
      <c r="I447">
        <v>1</v>
      </c>
      <c r="J447" t="str">
        <f>VLOOKUP(I447,SeasonFormats!$A$3:$B$999,2,0)</f>
        <v>Season</v>
      </c>
      <c r="K447">
        <v>90</v>
      </c>
      <c r="L447">
        <v>5</v>
      </c>
      <c r="M447" t="s">
        <v>447</v>
      </c>
      <c r="N447">
        <v>2</v>
      </c>
      <c r="O447" t="s">
        <v>10</v>
      </c>
      <c r="P447">
        <v>18</v>
      </c>
      <c r="Q447" s="6" t="d">
        <v>1977-02-05</v>
      </c>
      <c r="R447">
        <v>24</v>
      </c>
      <c r="S447"/>
      <c r="T447" s="15" t="s">
        <v>1081</v>
      </c>
      <c r="U447" t="str" cm="1">
        <f t="array" ref="U447">_xlfn.TEXTJOIN(",",TRUE,_xlfn.XLOOKUP(_xlfn.FILTERXML("&lt;t&gt;&lt;s&gt;" &amp; SUBSTITUTE(T447,",","&lt;/s&gt;&lt;s&gt;") &amp; "&lt;/s&gt;&lt;/t&gt;", "//s"),Writers!$A$3:$A$999,Writers!$B$3:$B$999,""))</f>
        <v>Chris Boucher</v>
      </c>
      <c r="V447"/>
      <c r="W447" t="str">
        <f>IF(V447="","",_xlfn.XLOOKUP(V447,Writers!$A$3:$A$999,Writers!$B$3:$B$999,""))</f>
        <v/>
      </c>
      <c r="X447">
        <v>12.4</v>
      </c>
      <c r="Y447"/>
      <c r="Z447"/>
      <c r="AA447">
        <f t="shared" si="18"/>
        <v>15.07</v>
      </c>
      <c r="AB447" t="str">
        <f t="shared" si="19"/>
        <v/>
      </c>
      <c r="AC447" t="str">
        <f t="shared" si="20"/>
        <v/>
      </c>
      <c r="AD447">
        <f>VLOOKUP(YEAR(Q447),Populations!$A$3:$B$999,2,0)</f>
        <v>56189900</v>
      </c>
      <c r="AE447">
        <f>(Calculations!B1/AD447)</f>
        <v>1.2156087125978201</v>
      </c>
      <c r="AF447"/>
      <c r="AG447">
        <v>1</v>
      </c>
      <c r="AH447" t="str">
        <f>VLOOKUP(AG447,WikiFormats!$A$3:$B$999,2,0)</f>
        <v>Story</v>
      </c>
      <c r="AI447" t="s">
        <v>675</v>
      </c>
    </row>
    <row r="448" spans="1:35" s="2" customFormat="1" x14ac:dyDescent="0.55000000000000004">
      <c r="A448">
        <v>446</v>
      </c>
      <c r="B448">
        <v>1</v>
      </c>
      <c r="C448" t="str">
        <f>VLOOKUP(B448,Eras!$A$3:$B$999,2,0)</f>
        <v>Classic</v>
      </c>
      <c r="D448">
        <v>1</v>
      </c>
      <c r="E448" t="str">
        <f>VLOOKUP(D448,EpisodeFormats!$A$3:$B$999,2,0)</f>
        <v>Series</v>
      </c>
      <c r="F448">
        <v>4</v>
      </c>
      <c r="G448" t="str">
        <f>VLOOKUP(F448,Doctors!$A$3:$B$999,2,0)</f>
        <v>Tom Baker</v>
      </c>
      <c r="H448">
        <v>14</v>
      </c>
      <c r="I448">
        <v>1</v>
      </c>
      <c r="J448" t="str">
        <f>VLOOKUP(I448,SeasonFormats!$A$3:$B$999,2,0)</f>
        <v>Season</v>
      </c>
      <c r="K448">
        <v>90</v>
      </c>
      <c r="L448">
        <v>5</v>
      </c>
      <c r="M448" t="s">
        <v>447</v>
      </c>
      <c r="N448">
        <v>3</v>
      </c>
      <c r="O448" t="s">
        <v>11</v>
      </c>
      <c r="P448">
        <v>19</v>
      </c>
      <c r="Q448" s="6" t="d">
        <v>1977-02-12</v>
      </c>
      <c r="R448">
        <v>24</v>
      </c>
      <c r="S448"/>
      <c r="T448" s="15" t="s">
        <v>1081</v>
      </c>
      <c r="U448" t="str" cm="1">
        <f t="array" ref="U448">_xlfn.TEXTJOIN(",",TRUE,_xlfn.XLOOKUP(_xlfn.FILTERXML("&lt;t&gt;&lt;s&gt;" &amp; SUBSTITUTE(T448,",","&lt;/s&gt;&lt;s&gt;") &amp; "&lt;/s&gt;&lt;/t&gt;", "//s"),Writers!$A$3:$A$999,Writers!$B$3:$B$999,""))</f>
        <v>Chris Boucher</v>
      </c>
      <c r="V448"/>
      <c r="W448" t="str">
        <f>IF(V448="","",_xlfn.XLOOKUP(V448,Writers!$A$3:$A$999,Writers!$B$3:$B$999,""))</f>
        <v/>
      </c>
      <c r="X448">
        <v>13.1</v>
      </c>
      <c r="Y448"/>
      <c r="Z448"/>
      <c r="AA448">
        <f t="shared" si="18"/>
        <v>15.92</v>
      </c>
      <c r="AB448" t="str">
        <f t="shared" si="19"/>
        <v/>
      </c>
      <c r="AC448" t="str">
        <f t="shared" si="20"/>
        <v/>
      </c>
      <c r="AD448">
        <f>VLOOKUP(YEAR(Q448),Populations!$A$3:$B$999,2,0)</f>
        <v>56189900</v>
      </c>
      <c r="AE448">
        <f>(Calculations!B1/AD448)</f>
        <v>1.2156087125978201</v>
      </c>
      <c r="AF448"/>
      <c r="AG448">
        <v>1</v>
      </c>
      <c r="AH448" t="str">
        <f>VLOOKUP(AG448,WikiFormats!$A$3:$B$999,2,0)</f>
        <v>Story</v>
      </c>
      <c r="AI448" t="s">
        <v>675</v>
      </c>
    </row>
    <row r="449" spans="1:35" s="2" customFormat="1" x14ac:dyDescent="0.55000000000000004">
      <c r="A449">
        <v>447</v>
      </c>
      <c r="B449">
        <v>1</v>
      </c>
      <c r="C449" t="str">
        <f>VLOOKUP(B449,Eras!$A$3:$B$999,2,0)</f>
        <v>Classic</v>
      </c>
      <c r="D449">
        <v>1</v>
      </c>
      <c r="E449" t="str">
        <f>VLOOKUP(D449,EpisodeFormats!$A$3:$B$999,2,0)</f>
        <v>Series</v>
      </c>
      <c r="F449">
        <v>4</v>
      </c>
      <c r="G449" t="str">
        <f>VLOOKUP(F449,Doctors!$A$3:$B$999,2,0)</f>
        <v>Tom Baker</v>
      </c>
      <c r="H449">
        <v>14</v>
      </c>
      <c r="I449">
        <v>1</v>
      </c>
      <c r="J449" t="str">
        <f>VLOOKUP(I449,SeasonFormats!$A$3:$B$999,2,0)</f>
        <v>Season</v>
      </c>
      <c r="K449">
        <v>90</v>
      </c>
      <c r="L449">
        <v>5</v>
      </c>
      <c r="M449" t="s">
        <v>447</v>
      </c>
      <c r="N449">
        <v>4</v>
      </c>
      <c r="O449" t="s">
        <v>12</v>
      </c>
      <c r="P449">
        <v>20</v>
      </c>
      <c r="Q449" s="6" t="d">
        <v>1977-02-19</v>
      </c>
      <c r="R449">
        <v>24</v>
      </c>
      <c r="S449"/>
      <c r="T449" s="15" t="s">
        <v>1081</v>
      </c>
      <c r="U449" t="str" cm="1">
        <f t="array" ref="U449">_xlfn.TEXTJOIN(",",TRUE,_xlfn.XLOOKUP(_xlfn.FILTERXML("&lt;t&gt;&lt;s&gt;" &amp; SUBSTITUTE(T449,",","&lt;/s&gt;&lt;s&gt;") &amp; "&lt;/s&gt;&lt;/t&gt;", "//s"),Writers!$A$3:$A$999,Writers!$B$3:$B$999,""))</f>
        <v>Chris Boucher</v>
      </c>
      <c r="V449"/>
      <c r="W449" t="str">
        <f>IF(V449="","",_xlfn.XLOOKUP(V449,Writers!$A$3:$A$999,Writers!$B$3:$B$999,""))</f>
        <v/>
      </c>
      <c r="X449">
        <v>12.6</v>
      </c>
      <c r="Y449"/>
      <c r="Z449"/>
      <c r="AA449">
        <f t="shared" si="18"/>
        <v>15.32</v>
      </c>
      <c r="AB449" t="str">
        <f t="shared" si="19"/>
        <v/>
      </c>
      <c r="AC449" t="str">
        <f t="shared" si="20"/>
        <v/>
      </c>
      <c r="AD449">
        <f>VLOOKUP(YEAR(Q449),Populations!$A$3:$B$999,2,0)</f>
        <v>56189900</v>
      </c>
      <c r="AE449">
        <f>(Calculations!B1/AD449)</f>
        <v>1.2156087125978201</v>
      </c>
      <c r="AF449"/>
      <c r="AG449">
        <v>1</v>
      </c>
      <c r="AH449" t="str">
        <f>VLOOKUP(AG449,WikiFormats!$A$3:$B$999,2,0)</f>
        <v>Story</v>
      </c>
      <c r="AI449" t="s">
        <v>675</v>
      </c>
    </row>
    <row r="450" spans="1:35" s="8" customFormat="1" x14ac:dyDescent="0.55000000000000004">
      <c r="A450" s="3">
        <v>448</v>
      </c>
      <c r="B450" s="3">
        <v>1</v>
      </c>
      <c r="C450" s="3" t="str">
        <f>VLOOKUP(B450,Eras!$A$3:$B$999,2,0)</f>
        <v>Classic</v>
      </c>
      <c r="D450" s="3">
        <v>1</v>
      </c>
      <c r="E450" s="3" t="str">
        <f>VLOOKUP(D450,EpisodeFormats!$A$3:$B$999,2,0)</f>
        <v>Series</v>
      </c>
      <c r="F450" s="3">
        <v>4</v>
      </c>
      <c r="G450" s="3" t="str">
        <f>VLOOKUP(F450,Doctors!$A$3:$B$999,2,0)</f>
        <v>Tom Baker</v>
      </c>
      <c r="H450" s="3">
        <v>14</v>
      </c>
      <c r="I450" s="3">
        <v>1</v>
      </c>
      <c r="J450" s="3" t="str">
        <f>VLOOKUP(I450,SeasonFormats!$A$3:$B$999,2,0)</f>
        <v>Season</v>
      </c>
      <c r="K450" s="3">
        <v>91</v>
      </c>
      <c r="L450" s="3">
        <v>6</v>
      </c>
      <c r="M450" s="3" t="s">
        <v>448</v>
      </c>
      <c r="N450" s="3">
        <v>1</v>
      </c>
      <c r="O450" s="3" t="s">
        <v>9</v>
      </c>
      <c r="P450" s="3">
        <v>21</v>
      </c>
      <c r="Q450" s="7" t="d">
        <v>1977-02-26</v>
      </c>
      <c r="R450" s="3">
        <v>25</v>
      </c>
      <c r="S450" s="3"/>
      <c r="T450" s="4" t="s">
        <v>1122</v>
      </c>
      <c r="U450" s="3" t="str" cm="1">
        <f t="array" ref="U450">_xlfn.TEXTJOIN(",",TRUE,_xlfn.XLOOKUP(_xlfn.FILTERXML("&lt;t&gt;&lt;s&gt;" &amp; SUBSTITUTE(T450,",","&lt;/s&gt;&lt;s&gt;") &amp; "&lt;/s&gt;&lt;/t&gt;", "//s"),Writers!$A$3:$A$999,Writers!$B$3:$B$999,""))</f>
        <v>Robert Holmes</v>
      </c>
      <c r="V450" s="3"/>
      <c r="W450" s="3" t="str">
        <f>IF(V450="","",_xlfn.XLOOKUP(V450,Writers!$A$3:$A$999,Writers!$B$3:$B$999,""))</f>
        <v/>
      </c>
      <c r="X450" s="3">
        <v>11.3</v>
      </c>
      <c r="Y450" s="3"/>
      <c r="Z450" s="3"/>
      <c r="AA450" s="3">
        <f t="shared" si="18"/>
        <v>13.74</v>
      </c>
      <c r="AB450" s="3" t="str">
        <f t="shared" si="19"/>
        <v/>
      </c>
      <c r="AC450" s="3" t="str">
        <f t="shared" si="20"/>
        <v/>
      </c>
      <c r="AD450" s="3">
        <f>VLOOKUP(YEAR(Q450),Populations!$A$3:$B$999,2,0)</f>
        <v>56189900</v>
      </c>
      <c r="AE450" s="3">
        <f>(Calculations!B1/AD450)</f>
        <v>1.2156087125978201</v>
      </c>
      <c r="AF450" s="3"/>
      <c r="AG450" s="3">
        <v>1</v>
      </c>
      <c r="AH450" s="3" t="str">
        <f>VLOOKUP(AG450,WikiFormats!$A$3:$B$999,2,0)</f>
        <v>Story</v>
      </c>
      <c r="AI450" s="3" t="s">
        <v>676</v>
      </c>
    </row>
    <row r="451" spans="1:35" s="8" customFormat="1" x14ac:dyDescent="0.55000000000000004">
      <c r="A451" s="3">
        <v>449</v>
      </c>
      <c r="B451" s="3">
        <v>1</v>
      </c>
      <c r="C451" s="3" t="str">
        <f>VLOOKUP(B451,Eras!$A$3:$B$999,2,0)</f>
        <v>Classic</v>
      </c>
      <c r="D451" s="3">
        <v>1</v>
      </c>
      <c r="E451" s="3" t="str">
        <f>VLOOKUP(D451,EpisodeFormats!$A$3:$B$999,2,0)</f>
        <v>Series</v>
      </c>
      <c r="F451" s="3">
        <v>4</v>
      </c>
      <c r="G451" s="3" t="str">
        <f>VLOOKUP(F451,Doctors!$A$3:$B$999,2,0)</f>
        <v>Tom Baker</v>
      </c>
      <c r="H451" s="3">
        <v>14</v>
      </c>
      <c r="I451" s="3">
        <v>1</v>
      </c>
      <c r="J451" s="3" t="str">
        <f>VLOOKUP(I451,SeasonFormats!$A$3:$B$999,2,0)</f>
        <v>Season</v>
      </c>
      <c r="K451" s="3">
        <v>91</v>
      </c>
      <c r="L451" s="3">
        <v>6</v>
      </c>
      <c r="M451" s="3" t="s">
        <v>448</v>
      </c>
      <c r="N451" s="3">
        <v>2</v>
      </c>
      <c r="O451" s="3" t="s">
        <v>10</v>
      </c>
      <c r="P451" s="3">
        <v>22</v>
      </c>
      <c r="Q451" s="7" t="d">
        <v>1977-03-05</v>
      </c>
      <c r="R451" s="3">
        <v>24</v>
      </c>
      <c r="S451" s="3"/>
      <c r="T451" s="4" t="s">
        <v>1122</v>
      </c>
      <c r="U451" s="3" t="str" cm="1">
        <f t="array" ref="U451">_xlfn.TEXTJOIN(",",TRUE,_xlfn.XLOOKUP(_xlfn.FILTERXML("&lt;t&gt;&lt;s&gt;" &amp; SUBSTITUTE(T451,",","&lt;/s&gt;&lt;s&gt;") &amp; "&lt;/s&gt;&lt;/t&gt;", "//s"),Writers!$A$3:$A$999,Writers!$B$3:$B$999,""))</f>
        <v>Robert Holmes</v>
      </c>
      <c r="V451" s="3"/>
      <c r="W451" s="3" t="str">
        <f>IF(V451="","",_xlfn.XLOOKUP(V451,Writers!$A$3:$A$999,Writers!$B$3:$B$999,""))</f>
        <v/>
      </c>
      <c r="X451" s="3">
        <v>9.8000000000000007</v>
      </c>
      <c r="Y451" s="3"/>
      <c r="Z451" s="3"/>
      <c r="AA451" s="3">
        <f t="shared" si="18"/>
        <v>11.91</v>
      </c>
      <c r="AB451" s="3" t="str">
        <f t="shared" si="19"/>
        <v/>
      </c>
      <c r="AC451" s="3" t="str">
        <f t="shared" si="20"/>
        <v/>
      </c>
      <c r="AD451" s="3">
        <f>VLOOKUP(YEAR(Q451),Populations!$A$3:$B$999,2,0)</f>
        <v>56189900</v>
      </c>
      <c r="AE451" s="3">
        <f>(Calculations!B1/AD451)</f>
        <v>1.2156087125978201</v>
      </c>
      <c r="AF451" s="3"/>
      <c r="AG451" s="3">
        <v>1</v>
      </c>
      <c r="AH451" s="3" t="str">
        <f>VLOOKUP(AG451,WikiFormats!$A$3:$B$999,2,0)</f>
        <v>Story</v>
      </c>
      <c r="AI451" s="3" t="s">
        <v>676</v>
      </c>
    </row>
    <row r="452" spans="1:35" s="8" customFormat="1" x14ac:dyDescent="0.55000000000000004">
      <c r="A452" s="3">
        <v>450</v>
      </c>
      <c r="B452" s="3">
        <v>1</v>
      </c>
      <c r="C452" s="3" t="str">
        <f>VLOOKUP(B452,Eras!$A$3:$B$999,2,0)</f>
        <v>Classic</v>
      </c>
      <c r="D452" s="3">
        <v>1</v>
      </c>
      <c r="E452" s="3" t="str">
        <f>VLOOKUP(D452,EpisodeFormats!$A$3:$B$999,2,0)</f>
        <v>Series</v>
      </c>
      <c r="F452" s="3">
        <v>4</v>
      </c>
      <c r="G452" s="3" t="str">
        <f>VLOOKUP(F452,Doctors!$A$3:$B$999,2,0)</f>
        <v>Tom Baker</v>
      </c>
      <c r="H452" s="3">
        <v>14</v>
      </c>
      <c r="I452" s="3">
        <v>1</v>
      </c>
      <c r="J452" s="3" t="str">
        <f>VLOOKUP(I452,SeasonFormats!$A$3:$B$999,2,0)</f>
        <v>Season</v>
      </c>
      <c r="K452" s="3">
        <v>91</v>
      </c>
      <c r="L452" s="3">
        <v>6</v>
      </c>
      <c r="M452" s="3" t="s">
        <v>448</v>
      </c>
      <c r="N452" s="3">
        <v>3</v>
      </c>
      <c r="O452" s="3" t="s">
        <v>11</v>
      </c>
      <c r="P452" s="3">
        <v>23</v>
      </c>
      <c r="Q452" s="7" t="d">
        <v>1977-03-12</v>
      </c>
      <c r="R452" s="3">
        <v>22</v>
      </c>
      <c r="S452" s="3"/>
      <c r="T452" s="4" t="s">
        <v>1122</v>
      </c>
      <c r="U452" s="3" t="str" cm="1">
        <f t="array" ref="U452">_xlfn.TEXTJOIN(",",TRUE,_xlfn.XLOOKUP(_xlfn.FILTERXML("&lt;t&gt;&lt;s&gt;" &amp; SUBSTITUTE(T452,",","&lt;/s&gt;&lt;s&gt;") &amp; "&lt;/s&gt;&lt;/t&gt;", "//s"),Writers!$A$3:$A$999,Writers!$B$3:$B$999,""))</f>
        <v>Robert Holmes</v>
      </c>
      <c r="V452" s="3"/>
      <c r="W452" s="3" t="str">
        <f>IF(V452="","",_xlfn.XLOOKUP(V452,Writers!$A$3:$A$999,Writers!$B$3:$B$999,""))</f>
        <v/>
      </c>
      <c r="X452" s="3">
        <v>10.199999999999999</v>
      </c>
      <c r="Y452" s="3"/>
      <c r="Z452" s="3"/>
      <c r="AA452" s="3">
        <f t="shared" ref="AA452:AA515" si="21">IF(ISBLANK(X452),"",ROUND(X452*AE452,2))</f>
        <v>12.4</v>
      </c>
      <c r="AB452" s="3" t="str">
        <f t="shared" ref="AB452:AB515" si="22">IF(ISBLANK(Y452),"",ROUND(Y452*AE452,2))</f>
        <v/>
      </c>
      <c r="AC452" s="3" t="str">
        <f t="shared" ref="AC452:AC515" si="23">IF(ISBLANK(Z452),"",ROUND(Z452*AE452,2))</f>
        <v/>
      </c>
      <c r="AD452" s="3">
        <f>VLOOKUP(YEAR(Q452),Populations!$A$3:$B$999,2,0)</f>
        <v>56189900</v>
      </c>
      <c r="AE452" s="3">
        <f>(Calculations!B1/AD452)</f>
        <v>1.2156087125978201</v>
      </c>
      <c r="AF452" s="3"/>
      <c r="AG452" s="3">
        <v>1</v>
      </c>
      <c r="AH452" s="3" t="str">
        <f>VLOOKUP(AG452,WikiFormats!$A$3:$B$999,2,0)</f>
        <v>Story</v>
      </c>
      <c r="AI452" s="3" t="s">
        <v>676</v>
      </c>
    </row>
    <row r="453" spans="1:35" s="8" customFormat="1" x14ac:dyDescent="0.55000000000000004">
      <c r="A453" s="3">
        <v>451</v>
      </c>
      <c r="B453" s="3">
        <v>1</v>
      </c>
      <c r="C453" s="3" t="str">
        <f>VLOOKUP(B453,Eras!$A$3:$B$999,2,0)</f>
        <v>Classic</v>
      </c>
      <c r="D453" s="3">
        <v>1</v>
      </c>
      <c r="E453" s="3" t="str">
        <f>VLOOKUP(D453,EpisodeFormats!$A$3:$B$999,2,0)</f>
        <v>Series</v>
      </c>
      <c r="F453" s="3">
        <v>4</v>
      </c>
      <c r="G453" s="3" t="str">
        <f>VLOOKUP(F453,Doctors!$A$3:$B$999,2,0)</f>
        <v>Tom Baker</v>
      </c>
      <c r="H453" s="3">
        <v>14</v>
      </c>
      <c r="I453" s="3">
        <v>1</v>
      </c>
      <c r="J453" s="3" t="str">
        <f>VLOOKUP(I453,SeasonFormats!$A$3:$B$999,2,0)</f>
        <v>Season</v>
      </c>
      <c r="K453" s="3">
        <v>91</v>
      </c>
      <c r="L453" s="3">
        <v>6</v>
      </c>
      <c r="M453" s="3" t="s">
        <v>448</v>
      </c>
      <c r="N453" s="3">
        <v>4</v>
      </c>
      <c r="O453" s="3" t="s">
        <v>12</v>
      </c>
      <c r="P453" s="3">
        <v>24</v>
      </c>
      <c r="Q453" s="7" t="d">
        <v>1977-03-19</v>
      </c>
      <c r="R453" s="3">
        <v>25</v>
      </c>
      <c r="S453" s="3"/>
      <c r="T453" s="4" t="s">
        <v>1122</v>
      </c>
      <c r="U453" s="3" t="str" cm="1">
        <f t="array" ref="U453">_xlfn.TEXTJOIN(",",TRUE,_xlfn.XLOOKUP(_xlfn.FILTERXML("&lt;t&gt;&lt;s&gt;" &amp; SUBSTITUTE(T453,",","&lt;/s&gt;&lt;s&gt;") &amp; "&lt;/s&gt;&lt;/t&gt;", "//s"),Writers!$A$3:$A$999,Writers!$B$3:$B$999,""))</f>
        <v>Robert Holmes</v>
      </c>
      <c r="V453" s="3"/>
      <c r="W453" s="3" t="str">
        <f>IF(V453="","",_xlfn.XLOOKUP(V453,Writers!$A$3:$A$999,Writers!$B$3:$B$999,""))</f>
        <v/>
      </c>
      <c r="X453" s="3">
        <v>11.4</v>
      </c>
      <c r="Y453" s="3"/>
      <c r="Z453" s="3"/>
      <c r="AA453" s="3">
        <f t="shared" si="21"/>
        <v>13.86</v>
      </c>
      <c r="AB453" s="3" t="str">
        <f t="shared" si="22"/>
        <v/>
      </c>
      <c r="AC453" s="3" t="str">
        <f t="shared" si="23"/>
        <v/>
      </c>
      <c r="AD453" s="3">
        <f>VLOOKUP(YEAR(Q453),Populations!$A$3:$B$999,2,0)</f>
        <v>56189900</v>
      </c>
      <c r="AE453" s="3">
        <f>(Calculations!B1/AD453)</f>
        <v>1.2156087125978201</v>
      </c>
      <c r="AF453" s="3"/>
      <c r="AG453" s="3">
        <v>1</v>
      </c>
      <c r="AH453" s="3" t="str">
        <f>VLOOKUP(AG453,WikiFormats!$A$3:$B$999,2,0)</f>
        <v>Story</v>
      </c>
      <c r="AI453" s="3" t="s">
        <v>676</v>
      </c>
    </row>
    <row r="454" spans="1:35" s="8" customFormat="1" x14ac:dyDescent="0.55000000000000004">
      <c r="A454" s="3">
        <v>452</v>
      </c>
      <c r="B454" s="3">
        <v>1</v>
      </c>
      <c r="C454" s="3" t="str">
        <f>VLOOKUP(B454,Eras!$A$3:$B$999,2,0)</f>
        <v>Classic</v>
      </c>
      <c r="D454" s="3">
        <v>1</v>
      </c>
      <c r="E454" s="3" t="str">
        <f>VLOOKUP(D454,EpisodeFormats!$A$3:$B$999,2,0)</f>
        <v>Series</v>
      </c>
      <c r="F454" s="3">
        <v>4</v>
      </c>
      <c r="G454" s="3" t="str">
        <f>VLOOKUP(F454,Doctors!$A$3:$B$999,2,0)</f>
        <v>Tom Baker</v>
      </c>
      <c r="H454" s="3">
        <v>14</v>
      </c>
      <c r="I454" s="3">
        <v>1</v>
      </c>
      <c r="J454" s="3" t="str">
        <f>VLOOKUP(I454,SeasonFormats!$A$3:$B$999,2,0)</f>
        <v>Season</v>
      </c>
      <c r="K454" s="3">
        <v>91</v>
      </c>
      <c r="L454" s="3">
        <v>6</v>
      </c>
      <c r="M454" s="3" t="s">
        <v>448</v>
      </c>
      <c r="N454" s="3">
        <v>5</v>
      </c>
      <c r="O454" s="3" t="s">
        <v>430</v>
      </c>
      <c r="P454" s="3">
        <v>25</v>
      </c>
      <c r="Q454" s="7" t="d">
        <v>1977-03-26</v>
      </c>
      <c r="R454" s="3">
        <v>25</v>
      </c>
      <c r="S454" s="3"/>
      <c r="T454" s="4" t="s">
        <v>1122</v>
      </c>
      <c r="U454" s="3" t="str" cm="1">
        <f t="array" ref="U454">_xlfn.TEXTJOIN(",",TRUE,_xlfn.XLOOKUP(_xlfn.FILTERXML("&lt;t&gt;&lt;s&gt;" &amp; SUBSTITUTE(T454,",","&lt;/s&gt;&lt;s&gt;") &amp; "&lt;/s&gt;&lt;/t&gt;", "//s"),Writers!$A$3:$A$999,Writers!$B$3:$B$999,""))</f>
        <v>Robert Holmes</v>
      </c>
      <c r="V454" s="3"/>
      <c r="W454" s="3" t="str">
        <f>IF(V454="","",_xlfn.XLOOKUP(V454,Writers!$A$3:$A$999,Writers!$B$3:$B$999,""))</f>
        <v/>
      </c>
      <c r="X454" s="3">
        <v>10.1</v>
      </c>
      <c r="Y454" s="3"/>
      <c r="Z454" s="3"/>
      <c r="AA454" s="3">
        <f t="shared" si="21"/>
        <v>12.28</v>
      </c>
      <c r="AB454" s="3" t="str">
        <f t="shared" si="22"/>
        <v/>
      </c>
      <c r="AC454" s="3" t="str">
        <f t="shared" si="23"/>
        <v/>
      </c>
      <c r="AD454" s="3">
        <f>VLOOKUP(YEAR(Q454),Populations!$A$3:$B$999,2,0)</f>
        <v>56189900</v>
      </c>
      <c r="AE454" s="3">
        <f>(Calculations!B1/AD454)</f>
        <v>1.2156087125978201</v>
      </c>
      <c r="AF454" s="3"/>
      <c r="AG454" s="3">
        <v>1</v>
      </c>
      <c r="AH454" s="3" t="str">
        <f>VLOOKUP(AG454,WikiFormats!$A$3:$B$999,2,0)</f>
        <v>Story</v>
      </c>
      <c r="AI454" s="3" t="s">
        <v>676</v>
      </c>
    </row>
    <row r="455" spans="1:35" s="8" customFormat="1" x14ac:dyDescent="0.55000000000000004">
      <c r="A455" s="3">
        <v>453</v>
      </c>
      <c r="B455" s="3">
        <v>1</v>
      </c>
      <c r="C455" s="3" t="str">
        <f>VLOOKUP(B455,Eras!$A$3:$B$999,2,0)</f>
        <v>Classic</v>
      </c>
      <c r="D455" s="3">
        <v>1</v>
      </c>
      <c r="E455" s="3" t="str">
        <f>VLOOKUP(D455,EpisodeFormats!$A$3:$B$999,2,0)</f>
        <v>Series</v>
      </c>
      <c r="F455" s="3">
        <v>4</v>
      </c>
      <c r="G455" s="3" t="str">
        <f>VLOOKUP(F455,Doctors!$A$3:$B$999,2,0)</f>
        <v>Tom Baker</v>
      </c>
      <c r="H455" s="3">
        <v>14</v>
      </c>
      <c r="I455" s="3">
        <v>1</v>
      </c>
      <c r="J455" s="3" t="str">
        <f>VLOOKUP(I455,SeasonFormats!$A$3:$B$999,2,0)</f>
        <v>Season</v>
      </c>
      <c r="K455" s="3">
        <v>91</v>
      </c>
      <c r="L455" s="3">
        <v>6</v>
      </c>
      <c r="M455" s="3" t="s">
        <v>448</v>
      </c>
      <c r="N455" s="3">
        <v>6</v>
      </c>
      <c r="O455" s="3" t="s">
        <v>431</v>
      </c>
      <c r="P455" s="3">
        <v>26</v>
      </c>
      <c r="Q455" s="7" t="d">
        <v>1977-04-02</v>
      </c>
      <c r="R455" s="3">
        <v>23</v>
      </c>
      <c r="S455" s="3"/>
      <c r="T455" s="4" t="s">
        <v>1122</v>
      </c>
      <c r="U455" s="3" t="str" cm="1">
        <f t="array" ref="U455">_xlfn.TEXTJOIN(",",TRUE,_xlfn.XLOOKUP(_xlfn.FILTERXML("&lt;t&gt;&lt;s&gt;" &amp; SUBSTITUTE(T455,",","&lt;/s&gt;&lt;s&gt;") &amp; "&lt;/s&gt;&lt;/t&gt;", "//s"),Writers!$A$3:$A$999,Writers!$B$3:$B$999,""))</f>
        <v>Robert Holmes</v>
      </c>
      <c r="V455" s="3"/>
      <c r="W455" s="3" t="str">
        <f>IF(V455="","",_xlfn.XLOOKUP(V455,Writers!$A$3:$A$999,Writers!$B$3:$B$999,""))</f>
        <v/>
      </c>
      <c r="X455" s="3">
        <v>9.3000000000000007</v>
      </c>
      <c r="Y455" s="3"/>
      <c r="Z455" s="3"/>
      <c r="AA455" s="3">
        <f t="shared" si="21"/>
        <v>11.31</v>
      </c>
      <c r="AB455" s="3" t="str">
        <f t="shared" si="22"/>
        <v/>
      </c>
      <c r="AC455" s="3" t="str">
        <f t="shared" si="23"/>
        <v/>
      </c>
      <c r="AD455" s="3">
        <f>VLOOKUP(YEAR(Q455),Populations!$A$3:$B$999,2,0)</f>
        <v>56189900</v>
      </c>
      <c r="AE455" s="3">
        <f>(Calculations!B1/AD455)</f>
        <v>1.2156087125978201</v>
      </c>
      <c r="AF455" s="3"/>
      <c r="AG455" s="3">
        <v>1</v>
      </c>
      <c r="AH455" s="3" t="str">
        <f>VLOOKUP(AG455,WikiFormats!$A$3:$B$999,2,0)</f>
        <v>Story</v>
      </c>
      <c r="AI455" s="3" t="s">
        <v>676</v>
      </c>
    </row>
    <row r="456" spans="1:35" s="2" customFormat="1" x14ac:dyDescent="0.55000000000000004">
      <c r="A456">
        <v>454</v>
      </c>
      <c r="B456">
        <v>1</v>
      </c>
      <c r="C456" t="str">
        <f>VLOOKUP(B456,Eras!$A$3:$B$999,2,0)</f>
        <v>Classic</v>
      </c>
      <c r="D456">
        <v>1</v>
      </c>
      <c r="E456" t="str">
        <f>VLOOKUP(D456,EpisodeFormats!$A$3:$B$999,2,0)</f>
        <v>Series</v>
      </c>
      <c r="F456">
        <v>4</v>
      </c>
      <c r="G456" t="str">
        <f>VLOOKUP(F456,Doctors!$A$3:$B$999,2,0)</f>
        <v>Tom Baker</v>
      </c>
      <c r="H456">
        <v>15</v>
      </c>
      <c r="I456">
        <v>1</v>
      </c>
      <c r="J456" t="str">
        <f>VLOOKUP(I456,SeasonFormats!$A$3:$B$999,2,0)</f>
        <v>Season</v>
      </c>
      <c r="K456">
        <v>92</v>
      </c>
      <c r="L456">
        <v>1</v>
      </c>
      <c r="M456" t="s">
        <v>450</v>
      </c>
      <c r="N456">
        <v>1</v>
      </c>
      <c r="O456" t="s">
        <v>9</v>
      </c>
      <c r="P456">
        <v>1</v>
      </c>
      <c r="Q456" s="6" t="d">
        <v>1977-09-03</v>
      </c>
      <c r="R456">
        <v>24</v>
      </c>
      <c r="S456"/>
      <c r="T456" s="15" t="s">
        <v>1105</v>
      </c>
      <c r="U456" t="str" cm="1">
        <f t="array" ref="U456">_xlfn.TEXTJOIN(",",TRUE,_xlfn.XLOOKUP(_xlfn.FILTERXML("&lt;t&gt;&lt;s&gt;" &amp; SUBSTITUTE(T456,",","&lt;/s&gt;&lt;s&gt;") &amp; "&lt;/s&gt;&lt;/t&gt;", "//s"),Writers!$A$3:$A$999,Writers!$B$3:$B$999,""))</f>
        <v>Terrance Dicks</v>
      </c>
      <c r="V456"/>
      <c r="W456" t="str">
        <f>IF(V456="","",_xlfn.XLOOKUP(V456,Writers!$A$3:$A$999,Writers!$B$3:$B$999,""))</f>
        <v/>
      </c>
      <c r="X456">
        <v>6.8</v>
      </c>
      <c r="Y456"/>
      <c r="Z456"/>
      <c r="AA456">
        <f t="shared" si="21"/>
        <v>8.27</v>
      </c>
      <c r="AB456" t="str">
        <f t="shared" si="22"/>
        <v/>
      </c>
      <c r="AC456" t="str">
        <f t="shared" si="23"/>
        <v/>
      </c>
      <c r="AD456">
        <f>VLOOKUP(YEAR(Q456),Populations!$A$3:$B$999,2,0)</f>
        <v>56189900</v>
      </c>
      <c r="AE456">
        <f>(Calculations!B1/AD456)</f>
        <v>1.2156087125978201</v>
      </c>
      <c r="AF456"/>
      <c r="AG456">
        <v>1</v>
      </c>
      <c r="AH456" t="str">
        <f>VLOOKUP(AG456,WikiFormats!$A$3:$B$999,2,0)</f>
        <v>Story</v>
      </c>
      <c r="AI456" t="s">
        <v>677</v>
      </c>
    </row>
    <row r="457" spans="1:35" s="2" customFormat="1" x14ac:dyDescent="0.55000000000000004">
      <c r="A457">
        <v>455</v>
      </c>
      <c r="B457">
        <v>1</v>
      </c>
      <c r="C457" t="str">
        <f>VLOOKUP(B457,Eras!$A$3:$B$999,2,0)</f>
        <v>Classic</v>
      </c>
      <c r="D457">
        <v>1</v>
      </c>
      <c r="E457" t="str">
        <f>VLOOKUP(D457,EpisodeFormats!$A$3:$B$999,2,0)</f>
        <v>Series</v>
      </c>
      <c r="F457">
        <v>4</v>
      </c>
      <c r="G457" t="str">
        <f>VLOOKUP(F457,Doctors!$A$3:$B$999,2,0)</f>
        <v>Tom Baker</v>
      </c>
      <c r="H457">
        <v>15</v>
      </c>
      <c r="I457">
        <v>1</v>
      </c>
      <c r="J457" t="str">
        <f>VLOOKUP(I457,SeasonFormats!$A$3:$B$999,2,0)</f>
        <v>Season</v>
      </c>
      <c r="K457">
        <v>92</v>
      </c>
      <c r="L457">
        <v>1</v>
      </c>
      <c r="M457" t="s">
        <v>450</v>
      </c>
      <c r="N457">
        <v>2</v>
      </c>
      <c r="O457" t="s">
        <v>10</v>
      </c>
      <c r="P457">
        <v>2</v>
      </c>
      <c r="Q457" s="6" t="d">
        <v>1977-09-10</v>
      </c>
      <c r="R457">
        <v>24</v>
      </c>
      <c r="S457"/>
      <c r="T457" s="15" t="s">
        <v>1105</v>
      </c>
      <c r="U457" t="str" cm="1">
        <f t="array" ref="U457">_xlfn.TEXTJOIN(",",TRUE,_xlfn.XLOOKUP(_xlfn.FILTERXML("&lt;t&gt;&lt;s&gt;" &amp; SUBSTITUTE(T457,",","&lt;/s&gt;&lt;s&gt;") &amp; "&lt;/s&gt;&lt;/t&gt;", "//s"),Writers!$A$3:$A$999,Writers!$B$3:$B$999,""))</f>
        <v>Terrance Dicks</v>
      </c>
      <c r="V457"/>
      <c r="W457" t="str">
        <f>IF(V457="","",_xlfn.XLOOKUP(V457,Writers!$A$3:$A$999,Writers!$B$3:$B$999,""))</f>
        <v/>
      </c>
      <c r="X457">
        <v>7.1</v>
      </c>
      <c r="Y457"/>
      <c r="Z457"/>
      <c r="AA457">
        <f t="shared" si="21"/>
        <v>8.6300000000000008</v>
      </c>
      <c r="AB457" t="str">
        <f t="shared" si="22"/>
        <v/>
      </c>
      <c r="AC457" t="str">
        <f t="shared" si="23"/>
        <v/>
      </c>
      <c r="AD457">
        <f>VLOOKUP(YEAR(Q457),Populations!$A$3:$B$999,2,0)</f>
        <v>56189900</v>
      </c>
      <c r="AE457">
        <f>(Calculations!B1/AD457)</f>
        <v>1.2156087125978201</v>
      </c>
      <c r="AF457"/>
      <c r="AG457">
        <v>1</v>
      </c>
      <c r="AH457" t="str">
        <f>VLOOKUP(AG457,WikiFormats!$A$3:$B$999,2,0)</f>
        <v>Story</v>
      </c>
      <c r="AI457" t="s">
        <v>677</v>
      </c>
    </row>
    <row r="458" spans="1:35" s="2" customFormat="1" x14ac:dyDescent="0.55000000000000004">
      <c r="A458">
        <v>456</v>
      </c>
      <c r="B458">
        <v>1</v>
      </c>
      <c r="C458" t="str">
        <f>VLOOKUP(B458,Eras!$A$3:$B$999,2,0)</f>
        <v>Classic</v>
      </c>
      <c r="D458">
        <v>1</v>
      </c>
      <c r="E458" t="str">
        <f>VLOOKUP(D458,EpisodeFormats!$A$3:$B$999,2,0)</f>
        <v>Series</v>
      </c>
      <c r="F458">
        <v>4</v>
      </c>
      <c r="G458" t="str">
        <f>VLOOKUP(F458,Doctors!$A$3:$B$999,2,0)</f>
        <v>Tom Baker</v>
      </c>
      <c r="H458">
        <v>15</v>
      </c>
      <c r="I458">
        <v>1</v>
      </c>
      <c r="J458" t="str">
        <f>VLOOKUP(I458,SeasonFormats!$A$3:$B$999,2,0)</f>
        <v>Season</v>
      </c>
      <c r="K458">
        <v>92</v>
      </c>
      <c r="L458">
        <v>1</v>
      </c>
      <c r="M458" t="s">
        <v>450</v>
      </c>
      <c r="N458">
        <v>3</v>
      </c>
      <c r="O458" t="s">
        <v>11</v>
      </c>
      <c r="P458">
        <v>3</v>
      </c>
      <c r="Q458" s="6" t="d">
        <v>1977-09-17</v>
      </c>
      <c r="R458">
        <v>23</v>
      </c>
      <c r="S458"/>
      <c r="T458" s="15" t="s">
        <v>1105</v>
      </c>
      <c r="U458" t="str" cm="1">
        <f t="array" ref="U458">_xlfn.TEXTJOIN(",",TRUE,_xlfn.XLOOKUP(_xlfn.FILTERXML("&lt;t&gt;&lt;s&gt;" &amp; SUBSTITUTE(T458,",","&lt;/s&gt;&lt;s&gt;") &amp; "&lt;/s&gt;&lt;/t&gt;", "//s"),Writers!$A$3:$A$999,Writers!$B$3:$B$999,""))</f>
        <v>Terrance Dicks</v>
      </c>
      <c r="V458"/>
      <c r="W458" t="str">
        <f>IF(V458="","",_xlfn.XLOOKUP(V458,Writers!$A$3:$A$999,Writers!$B$3:$B$999,""))</f>
        <v/>
      </c>
      <c r="X458">
        <v>9.8000000000000007</v>
      </c>
      <c r="Y458"/>
      <c r="Z458"/>
      <c r="AA458">
        <f t="shared" si="21"/>
        <v>11.91</v>
      </c>
      <c r="AB458" t="str">
        <f t="shared" si="22"/>
        <v/>
      </c>
      <c r="AC458" t="str">
        <f t="shared" si="23"/>
        <v/>
      </c>
      <c r="AD458">
        <f>VLOOKUP(YEAR(Q458),Populations!$A$3:$B$999,2,0)</f>
        <v>56189900</v>
      </c>
      <c r="AE458">
        <f>(Calculations!B1/AD458)</f>
        <v>1.2156087125978201</v>
      </c>
      <c r="AF458"/>
      <c r="AG458">
        <v>1</v>
      </c>
      <c r="AH458" t="str">
        <f>VLOOKUP(AG458,WikiFormats!$A$3:$B$999,2,0)</f>
        <v>Story</v>
      </c>
      <c r="AI458" t="s">
        <v>677</v>
      </c>
    </row>
    <row r="459" spans="1:35" s="2" customFormat="1" x14ac:dyDescent="0.55000000000000004">
      <c r="A459">
        <v>457</v>
      </c>
      <c r="B459">
        <v>1</v>
      </c>
      <c r="C459" t="str">
        <f>VLOOKUP(B459,Eras!$A$3:$B$999,2,0)</f>
        <v>Classic</v>
      </c>
      <c r="D459">
        <v>1</v>
      </c>
      <c r="E459" t="str">
        <f>VLOOKUP(D459,EpisodeFormats!$A$3:$B$999,2,0)</f>
        <v>Series</v>
      </c>
      <c r="F459">
        <v>4</v>
      </c>
      <c r="G459" t="str">
        <f>VLOOKUP(F459,Doctors!$A$3:$B$999,2,0)</f>
        <v>Tom Baker</v>
      </c>
      <c r="H459">
        <v>15</v>
      </c>
      <c r="I459">
        <v>1</v>
      </c>
      <c r="J459" t="str">
        <f>VLOOKUP(I459,SeasonFormats!$A$3:$B$999,2,0)</f>
        <v>Season</v>
      </c>
      <c r="K459">
        <v>92</v>
      </c>
      <c r="L459">
        <v>1</v>
      </c>
      <c r="M459" t="s">
        <v>450</v>
      </c>
      <c r="N459">
        <v>4</v>
      </c>
      <c r="O459" t="s">
        <v>12</v>
      </c>
      <c r="P459">
        <v>4</v>
      </c>
      <c r="Q459" s="6" t="d">
        <v>1977-09-24</v>
      </c>
      <c r="R459">
        <v>24</v>
      </c>
      <c r="S459"/>
      <c r="T459" s="15" t="s">
        <v>1105</v>
      </c>
      <c r="U459" t="str" cm="1">
        <f t="array" ref="U459">_xlfn.TEXTJOIN(",",TRUE,_xlfn.XLOOKUP(_xlfn.FILTERXML("&lt;t&gt;&lt;s&gt;" &amp; SUBSTITUTE(T459,",","&lt;/s&gt;&lt;s&gt;") &amp; "&lt;/s&gt;&lt;/t&gt;", "//s"),Writers!$A$3:$A$999,Writers!$B$3:$B$999,""))</f>
        <v>Terrance Dicks</v>
      </c>
      <c r="V459"/>
      <c r="W459" t="str">
        <f>IF(V459="","",_xlfn.XLOOKUP(V459,Writers!$A$3:$A$999,Writers!$B$3:$B$999,""))</f>
        <v/>
      </c>
      <c r="X459">
        <v>9.9</v>
      </c>
      <c r="Y459"/>
      <c r="Z459"/>
      <c r="AA459">
        <f t="shared" si="21"/>
        <v>12.03</v>
      </c>
      <c r="AB459" t="str">
        <f t="shared" si="22"/>
        <v/>
      </c>
      <c r="AC459" t="str">
        <f t="shared" si="23"/>
        <v/>
      </c>
      <c r="AD459">
        <f>VLOOKUP(YEAR(Q459),Populations!$A$3:$B$999,2,0)</f>
        <v>56189900</v>
      </c>
      <c r="AE459">
        <f>(Calculations!B1/AD459)</f>
        <v>1.2156087125978201</v>
      </c>
      <c r="AF459"/>
      <c r="AG459">
        <v>1</v>
      </c>
      <c r="AH459" t="str">
        <f>VLOOKUP(AG459,WikiFormats!$A$3:$B$999,2,0)</f>
        <v>Story</v>
      </c>
      <c r="AI459" t="s">
        <v>677</v>
      </c>
    </row>
    <row r="460" spans="1:35" s="8" customFormat="1" x14ac:dyDescent="0.55000000000000004">
      <c r="A460" s="3">
        <v>458</v>
      </c>
      <c r="B460" s="3">
        <v>1</v>
      </c>
      <c r="C460" s="3" t="str">
        <f>VLOOKUP(B460,Eras!$A$3:$B$999,2,0)</f>
        <v>Classic</v>
      </c>
      <c r="D460" s="3">
        <v>1</v>
      </c>
      <c r="E460" s="3" t="str">
        <f>VLOOKUP(D460,EpisodeFormats!$A$3:$B$999,2,0)</f>
        <v>Series</v>
      </c>
      <c r="F460" s="3">
        <v>4</v>
      </c>
      <c r="G460" s="3" t="str">
        <f>VLOOKUP(F460,Doctors!$A$3:$B$999,2,0)</f>
        <v>Tom Baker</v>
      </c>
      <c r="H460" s="3">
        <v>15</v>
      </c>
      <c r="I460" s="3">
        <v>1</v>
      </c>
      <c r="J460" s="3" t="str">
        <f>VLOOKUP(I460,SeasonFormats!$A$3:$B$999,2,0)</f>
        <v>Season</v>
      </c>
      <c r="K460" s="3">
        <v>93</v>
      </c>
      <c r="L460" s="3">
        <v>2</v>
      </c>
      <c r="M460" s="3" t="s">
        <v>451</v>
      </c>
      <c r="N460" s="3">
        <v>1</v>
      </c>
      <c r="O460" s="3" t="s">
        <v>9</v>
      </c>
      <c r="P460" s="3">
        <v>5</v>
      </c>
      <c r="Q460" s="7" t="d">
        <v>1977-10-01</v>
      </c>
      <c r="R460" s="3">
        <v>23</v>
      </c>
      <c r="S460" s="3"/>
      <c r="T460" s="4" t="s">
        <v>1076</v>
      </c>
      <c r="U460" s="3" t="str" cm="1">
        <f t="array" ref="U460">_xlfn.TEXTJOIN(",",TRUE,_xlfn.XLOOKUP(_xlfn.FILTERXML("&lt;t&gt;&lt;s&gt;" &amp; SUBSTITUTE(T460,",","&lt;/s&gt;&lt;s&gt;") &amp; "&lt;/s&gt;&lt;/t&gt;", "//s"),Writers!$A$3:$A$999,Writers!$B$3:$B$999,""))</f>
        <v>Bob Baker,Dave Martin</v>
      </c>
      <c r="V460" s="3"/>
      <c r="W460" s="3" t="str">
        <f>IF(V460="","",_xlfn.XLOOKUP(V460,Writers!$A$3:$A$999,Writers!$B$3:$B$999,""))</f>
        <v/>
      </c>
      <c r="X460" s="3">
        <v>8.6</v>
      </c>
      <c r="Y460" s="3"/>
      <c r="Z460" s="3"/>
      <c r="AA460" s="3">
        <f t="shared" si="21"/>
        <v>10.45</v>
      </c>
      <c r="AB460" s="3" t="str">
        <f t="shared" si="22"/>
        <v/>
      </c>
      <c r="AC460" s="3" t="str">
        <f t="shared" si="23"/>
        <v/>
      </c>
      <c r="AD460" s="3">
        <f>VLOOKUP(YEAR(Q460),Populations!$A$3:$B$999,2,0)</f>
        <v>56189900</v>
      </c>
      <c r="AE460" s="3">
        <f>(Calculations!B1/AD460)</f>
        <v>1.2156087125978201</v>
      </c>
      <c r="AF460" s="3"/>
      <c r="AG460" s="3">
        <v>1</v>
      </c>
      <c r="AH460" s="3" t="str">
        <f>VLOOKUP(AG460,WikiFormats!$A$3:$B$999,2,0)</f>
        <v>Story</v>
      </c>
      <c r="AI460" s="3" t="s">
        <v>678</v>
      </c>
    </row>
    <row r="461" spans="1:35" s="8" customFormat="1" x14ac:dyDescent="0.55000000000000004">
      <c r="A461" s="3">
        <v>459</v>
      </c>
      <c r="B461" s="3">
        <v>1</v>
      </c>
      <c r="C461" s="3" t="str">
        <f>VLOOKUP(B461,Eras!$A$3:$B$999,2,0)</f>
        <v>Classic</v>
      </c>
      <c r="D461" s="3">
        <v>1</v>
      </c>
      <c r="E461" s="3" t="str">
        <f>VLOOKUP(D461,EpisodeFormats!$A$3:$B$999,2,0)</f>
        <v>Series</v>
      </c>
      <c r="F461" s="3">
        <v>4</v>
      </c>
      <c r="G461" s="3" t="str">
        <f>VLOOKUP(F461,Doctors!$A$3:$B$999,2,0)</f>
        <v>Tom Baker</v>
      </c>
      <c r="H461" s="3">
        <v>15</v>
      </c>
      <c r="I461" s="3">
        <v>1</v>
      </c>
      <c r="J461" s="3" t="str">
        <f>VLOOKUP(I461,SeasonFormats!$A$3:$B$999,2,0)</f>
        <v>Season</v>
      </c>
      <c r="K461" s="3">
        <v>93</v>
      </c>
      <c r="L461" s="3">
        <v>2</v>
      </c>
      <c r="M461" s="3" t="s">
        <v>451</v>
      </c>
      <c r="N461" s="3">
        <v>2</v>
      </c>
      <c r="O461" s="3" t="s">
        <v>10</v>
      </c>
      <c r="P461" s="3">
        <v>6</v>
      </c>
      <c r="Q461" s="7" t="d">
        <v>1977-10-08</v>
      </c>
      <c r="R461" s="3">
        <v>25</v>
      </c>
      <c r="S461" s="3"/>
      <c r="T461" s="4" t="s">
        <v>1076</v>
      </c>
      <c r="U461" s="3" t="str" cm="1">
        <f t="array" ref="U461">_xlfn.TEXTJOIN(",",TRUE,_xlfn.XLOOKUP(_xlfn.FILTERXML("&lt;t&gt;&lt;s&gt;" &amp; SUBSTITUTE(T461,",","&lt;/s&gt;&lt;s&gt;") &amp; "&lt;/s&gt;&lt;/t&gt;", "//s"),Writers!$A$3:$A$999,Writers!$B$3:$B$999,""))</f>
        <v>Bob Baker,Dave Martin</v>
      </c>
      <c r="V461" s="3"/>
      <c r="W461" s="3" t="str">
        <f>IF(V461="","",_xlfn.XLOOKUP(V461,Writers!$A$3:$A$999,Writers!$B$3:$B$999,""))</f>
        <v/>
      </c>
      <c r="X461" s="3">
        <v>7.3</v>
      </c>
      <c r="Y461" s="3"/>
      <c r="Z461" s="3"/>
      <c r="AA461" s="3">
        <f t="shared" si="21"/>
        <v>8.8699999999999992</v>
      </c>
      <c r="AB461" s="3" t="str">
        <f t="shared" si="22"/>
        <v/>
      </c>
      <c r="AC461" s="3" t="str">
        <f t="shared" si="23"/>
        <v/>
      </c>
      <c r="AD461" s="3">
        <f>VLOOKUP(YEAR(Q461),Populations!$A$3:$B$999,2,0)</f>
        <v>56189900</v>
      </c>
      <c r="AE461" s="3">
        <f>(Calculations!B1/AD461)</f>
        <v>1.2156087125978201</v>
      </c>
      <c r="AF461" s="3"/>
      <c r="AG461" s="3">
        <v>1</v>
      </c>
      <c r="AH461" s="3" t="str">
        <f>VLOOKUP(AG461,WikiFormats!$A$3:$B$999,2,0)</f>
        <v>Story</v>
      </c>
      <c r="AI461" s="3" t="s">
        <v>678</v>
      </c>
    </row>
    <row r="462" spans="1:35" s="8" customFormat="1" x14ac:dyDescent="0.55000000000000004">
      <c r="A462" s="3">
        <v>460</v>
      </c>
      <c r="B462" s="3">
        <v>1</v>
      </c>
      <c r="C462" s="3" t="str">
        <f>VLOOKUP(B462,Eras!$A$3:$B$999,2,0)</f>
        <v>Classic</v>
      </c>
      <c r="D462" s="3">
        <v>1</v>
      </c>
      <c r="E462" s="3" t="str">
        <f>VLOOKUP(D462,EpisodeFormats!$A$3:$B$999,2,0)</f>
        <v>Series</v>
      </c>
      <c r="F462" s="3">
        <v>4</v>
      </c>
      <c r="G462" s="3" t="str">
        <f>VLOOKUP(F462,Doctors!$A$3:$B$999,2,0)</f>
        <v>Tom Baker</v>
      </c>
      <c r="H462" s="3">
        <v>15</v>
      </c>
      <c r="I462" s="3">
        <v>1</v>
      </c>
      <c r="J462" s="3" t="str">
        <f>VLOOKUP(I462,SeasonFormats!$A$3:$B$999,2,0)</f>
        <v>Season</v>
      </c>
      <c r="K462" s="3">
        <v>93</v>
      </c>
      <c r="L462" s="3">
        <v>2</v>
      </c>
      <c r="M462" s="3" t="s">
        <v>451</v>
      </c>
      <c r="N462" s="3">
        <v>3</v>
      </c>
      <c r="O462" s="3" t="s">
        <v>11</v>
      </c>
      <c r="P462" s="3">
        <v>7</v>
      </c>
      <c r="Q462" s="7" t="d">
        <v>1977-10-15</v>
      </c>
      <c r="R462" s="3">
        <v>23</v>
      </c>
      <c r="S462" s="3"/>
      <c r="T462" s="4" t="s">
        <v>1076</v>
      </c>
      <c r="U462" s="3" t="str" cm="1">
        <f t="array" ref="U462">_xlfn.TEXTJOIN(",",TRUE,_xlfn.XLOOKUP(_xlfn.FILTERXML("&lt;t&gt;&lt;s&gt;" &amp; SUBSTITUTE(T462,",","&lt;/s&gt;&lt;s&gt;") &amp; "&lt;/s&gt;&lt;/t&gt;", "//s"),Writers!$A$3:$A$999,Writers!$B$3:$B$999,""))</f>
        <v>Bob Baker,Dave Martin</v>
      </c>
      <c r="V462" s="3"/>
      <c r="W462" s="3" t="str">
        <f>IF(V462="","",_xlfn.XLOOKUP(V462,Writers!$A$3:$A$999,Writers!$B$3:$B$999,""))</f>
        <v/>
      </c>
      <c r="X462" s="3">
        <v>7.5</v>
      </c>
      <c r="Y462" s="3"/>
      <c r="Z462" s="3"/>
      <c r="AA462" s="3">
        <f t="shared" si="21"/>
        <v>9.1199999999999992</v>
      </c>
      <c r="AB462" s="3" t="str">
        <f t="shared" si="22"/>
        <v/>
      </c>
      <c r="AC462" s="3" t="str">
        <f t="shared" si="23"/>
        <v/>
      </c>
      <c r="AD462" s="3">
        <f>VLOOKUP(YEAR(Q462),Populations!$A$3:$B$999,2,0)</f>
        <v>56189900</v>
      </c>
      <c r="AE462" s="3">
        <f>(Calculations!B1/AD462)</f>
        <v>1.2156087125978201</v>
      </c>
      <c r="AF462" s="3"/>
      <c r="AG462" s="3">
        <v>1</v>
      </c>
      <c r="AH462" s="3" t="str">
        <f>VLOOKUP(AG462,WikiFormats!$A$3:$B$999,2,0)</f>
        <v>Story</v>
      </c>
      <c r="AI462" s="3" t="s">
        <v>678</v>
      </c>
    </row>
    <row r="463" spans="1:35" s="8" customFormat="1" x14ac:dyDescent="0.55000000000000004">
      <c r="A463" s="3">
        <v>461</v>
      </c>
      <c r="B463" s="3">
        <v>1</v>
      </c>
      <c r="C463" s="3" t="str">
        <f>VLOOKUP(B463,Eras!$A$3:$B$999,2,0)</f>
        <v>Classic</v>
      </c>
      <c r="D463" s="3">
        <v>1</v>
      </c>
      <c r="E463" s="3" t="str">
        <f>VLOOKUP(D463,EpisodeFormats!$A$3:$B$999,2,0)</f>
        <v>Series</v>
      </c>
      <c r="F463" s="3">
        <v>4</v>
      </c>
      <c r="G463" s="3" t="str">
        <f>VLOOKUP(F463,Doctors!$A$3:$B$999,2,0)</f>
        <v>Tom Baker</v>
      </c>
      <c r="H463" s="3">
        <v>15</v>
      </c>
      <c r="I463" s="3">
        <v>1</v>
      </c>
      <c r="J463" s="3" t="str">
        <f>VLOOKUP(I463,SeasonFormats!$A$3:$B$999,2,0)</f>
        <v>Season</v>
      </c>
      <c r="K463" s="3">
        <v>93</v>
      </c>
      <c r="L463" s="3">
        <v>2</v>
      </c>
      <c r="M463" s="3" t="s">
        <v>451</v>
      </c>
      <c r="N463" s="3">
        <v>4</v>
      </c>
      <c r="O463" s="3" t="s">
        <v>12</v>
      </c>
      <c r="P463" s="3">
        <v>8</v>
      </c>
      <c r="Q463" s="7" t="d">
        <v>1977-10-22</v>
      </c>
      <c r="R463" s="3">
        <v>21</v>
      </c>
      <c r="S463" s="3"/>
      <c r="T463" s="4" t="s">
        <v>1076</v>
      </c>
      <c r="U463" s="3" t="str" cm="1">
        <f t="array" ref="U463">_xlfn.TEXTJOIN(",",TRUE,_xlfn.XLOOKUP(_xlfn.FILTERXML("&lt;t&gt;&lt;s&gt;" &amp; SUBSTITUTE(T463,",","&lt;/s&gt;&lt;s&gt;") &amp; "&lt;/s&gt;&lt;/t&gt;", "//s"),Writers!$A$3:$A$999,Writers!$B$3:$B$999,""))</f>
        <v>Bob Baker,Dave Martin</v>
      </c>
      <c r="V463" s="3"/>
      <c r="W463" s="3" t="str">
        <f>IF(V463="","",_xlfn.XLOOKUP(V463,Writers!$A$3:$A$999,Writers!$B$3:$B$999,""))</f>
        <v/>
      </c>
      <c r="X463" s="3">
        <v>8.3000000000000007</v>
      </c>
      <c r="Y463" s="3"/>
      <c r="Z463" s="3"/>
      <c r="AA463" s="3">
        <f t="shared" si="21"/>
        <v>10.09</v>
      </c>
      <c r="AB463" s="3" t="str">
        <f t="shared" si="22"/>
        <v/>
      </c>
      <c r="AC463" s="3" t="str">
        <f t="shared" si="23"/>
        <v/>
      </c>
      <c r="AD463" s="3">
        <f>VLOOKUP(YEAR(Q463),Populations!$A$3:$B$999,2,0)</f>
        <v>56189900</v>
      </c>
      <c r="AE463" s="3">
        <f>(Calculations!B1/AD463)</f>
        <v>1.2156087125978201</v>
      </c>
      <c r="AF463" s="3"/>
      <c r="AG463" s="3">
        <v>1</v>
      </c>
      <c r="AH463" s="3" t="str">
        <f>VLOOKUP(AG463,WikiFormats!$A$3:$B$999,2,0)</f>
        <v>Story</v>
      </c>
      <c r="AI463" s="3" t="s">
        <v>678</v>
      </c>
    </row>
    <row r="464" spans="1:35" s="2" customFormat="1" x14ac:dyDescent="0.55000000000000004">
      <c r="A464">
        <v>462</v>
      </c>
      <c r="B464">
        <v>1</v>
      </c>
      <c r="C464" t="str">
        <f>VLOOKUP(B464,Eras!$A$3:$B$999,2,0)</f>
        <v>Classic</v>
      </c>
      <c r="D464">
        <v>1</v>
      </c>
      <c r="E464" t="str">
        <f>VLOOKUP(D464,EpisodeFormats!$A$3:$B$999,2,0)</f>
        <v>Series</v>
      </c>
      <c r="F464">
        <v>4</v>
      </c>
      <c r="G464" t="str">
        <f>VLOOKUP(F464,Doctors!$A$3:$B$999,2,0)</f>
        <v>Tom Baker</v>
      </c>
      <c r="H464">
        <v>15</v>
      </c>
      <c r="I464">
        <v>1</v>
      </c>
      <c r="J464" t="str">
        <f>VLOOKUP(I464,SeasonFormats!$A$3:$B$999,2,0)</f>
        <v>Season</v>
      </c>
      <c r="K464">
        <v>94</v>
      </c>
      <c r="L464">
        <v>3</v>
      </c>
      <c r="M464" t="s">
        <v>452</v>
      </c>
      <c r="N464">
        <v>1</v>
      </c>
      <c r="O464" t="s">
        <v>9</v>
      </c>
      <c r="P464">
        <v>9</v>
      </c>
      <c r="Q464" s="6" t="d">
        <v>1977-10-29</v>
      </c>
      <c r="R464">
        <v>25</v>
      </c>
      <c r="S464"/>
      <c r="T464" s="15" t="s">
        <v>1081</v>
      </c>
      <c r="U464" t="str" cm="1">
        <f t="array" ref="U464">_xlfn.TEXTJOIN(",",TRUE,_xlfn.XLOOKUP(_xlfn.FILTERXML("&lt;t&gt;&lt;s&gt;" &amp; SUBSTITUTE(T464,",","&lt;/s&gt;&lt;s&gt;") &amp; "&lt;/s&gt;&lt;/t&gt;", "//s"),Writers!$A$3:$A$999,Writers!$B$3:$B$999,""))</f>
        <v>Chris Boucher</v>
      </c>
      <c r="V464"/>
      <c r="W464" t="str">
        <f>IF(V464="","",_xlfn.XLOOKUP(V464,Writers!$A$3:$A$999,Writers!$B$3:$B$999,""))</f>
        <v/>
      </c>
      <c r="X464">
        <v>6.7</v>
      </c>
      <c r="Y464"/>
      <c r="Z464"/>
      <c r="AA464">
        <f t="shared" si="21"/>
        <v>8.14</v>
      </c>
      <c r="AB464" t="str">
        <f t="shared" si="22"/>
        <v/>
      </c>
      <c r="AC464" t="str">
        <f t="shared" si="23"/>
        <v/>
      </c>
      <c r="AD464">
        <f>VLOOKUP(YEAR(Q464),Populations!$A$3:$B$999,2,0)</f>
        <v>56189900</v>
      </c>
      <c r="AE464">
        <f>(Calculations!B1/AD464)</f>
        <v>1.2156087125978201</v>
      </c>
      <c r="AF464"/>
      <c r="AG464">
        <v>1</v>
      </c>
      <c r="AH464" t="str">
        <f>VLOOKUP(AG464,WikiFormats!$A$3:$B$999,2,0)</f>
        <v>Story</v>
      </c>
      <c r="AI464" t="s">
        <v>679</v>
      </c>
    </row>
    <row r="465" spans="1:35" s="2" customFormat="1" x14ac:dyDescent="0.55000000000000004">
      <c r="A465">
        <v>463</v>
      </c>
      <c r="B465">
        <v>1</v>
      </c>
      <c r="C465" t="str">
        <f>VLOOKUP(B465,Eras!$A$3:$B$999,2,0)</f>
        <v>Classic</v>
      </c>
      <c r="D465">
        <v>1</v>
      </c>
      <c r="E465" t="str">
        <f>VLOOKUP(D465,EpisodeFormats!$A$3:$B$999,2,0)</f>
        <v>Series</v>
      </c>
      <c r="F465">
        <v>4</v>
      </c>
      <c r="G465" t="str">
        <f>VLOOKUP(F465,Doctors!$A$3:$B$999,2,0)</f>
        <v>Tom Baker</v>
      </c>
      <c r="H465">
        <v>15</v>
      </c>
      <c r="I465">
        <v>1</v>
      </c>
      <c r="J465" t="str">
        <f>VLOOKUP(I465,SeasonFormats!$A$3:$B$999,2,0)</f>
        <v>Season</v>
      </c>
      <c r="K465">
        <v>94</v>
      </c>
      <c r="L465">
        <v>3</v>
      </c>
      <c r="M465" t="s">
        <v>452</v>
      </c>
      <c r="N465">
        <v>2</v>
      </c>
      <c r="O465" t="s">
        <v>10</v>
      </c>
      <c r="P465">
        <v>10</v>
      </c>
      <c r="Q465" s="6" t="d">
        <v>1977-11-05</v>
      </c>
      <c r="R465">
        <v>25</v>
      </c>
      <c r="S465"/>
      <c r="T465" s="15" t="s">
        <v>1081</v>
      </c>
      <c r="U465" t="str" cm="1">
        <f t="array" ref="U465">_xlfn.TEXTJOIN(",",TRUE,_xlfn.XLOOKUP(_xlfn.FILTERXML("&lt;t&gt;&lt;s&gt;" &amp; SUBSTITUTE(T465,",","&lt;/s&gt;&lt;s&gt;") &amp; "&lt;/s&gt;&lt;/t&gt;", "//s"),Writers!$A$3:$A$999,Writers!$B$3:$B$999,""))</f>
        <v>Chris Boucher</v>
      </c>
      <c r="V465"/>
      <c r="W465" t="str">
        <f>IF(V465="","",_xlfn.XLOOKUP(V465,Writers!$A$3:$A$999,Writers!$B$3:$B$999,""))</f>
        <v/>
      </c>
      <c r="X465">
        <v>7.5</v>
      </c>
      <c r="Y465"/>
      <c r="Z465"/>
      <c r="AA465">
        <f t="shared" si="21"/>
        <v>9.1199999999999992</v>
      </c>
      <c r="AB465" t="str">
        <f t="shared" si="22"/>
        <v/>
      </c>
      <c r="AC465" t="str">
        <f t="shared" si="23"/>
        <v/>
      </c>
      <c r="AD465">
        <f>VLOOKUP(YEAR(Q465),Populations!$A$3:$B$999,2,0)</f>
        <v>56189900</v>
      </c>
      <c r="AE465">
        <f>(Calculations!B1/AD465)</f>
        <v>1.2156087125978201</v>
      </c>
      <c r="AF465"/>
      <c r="AG465">
        <v>1</v>
      </c>
      <c r="AH465" t="str">
        <f>VLOOKUP(AG465,WikiFormats!$A$3:$B$999,2,0)</f>
        <v>Story</v>
      </c>
      <c r="AI465" t="s">
        <v>679</v>
      </c>
    </row>
    <row r="466" spans="1:35" s="2" customFormat="1" x14ac:dyDescent="0.55000000000000004">
      <c r="A466">
        <v>464</v>
      </c>
      <c r="B466">
        <v>1</v>
      </c>
      <c r="C466" t="str">
        <f>VLOOKUP(B466,Eras!$A$3:$B$999,2,0)</f>
        <v>Classic</v>
      </c>
      <c r="D466">
        <v>1</v>
      </c>
      <c r="E466" t="str">
        <f>VLOOKUP(D466,EpisodeFormats!$A$3:$B$999,2,0)</f>
        <v>Series</v>
      </c>
      <c r="F466">
        <v>4</v>
      </c>
      <c r="G466" t="str">
        <f>VLOOKUP(F466,Doctors!$A$3:$B$999,2,0)</f>
        <v>Tom Baker</v>
      </c>
      <c r="H466">
        <v>15</v>
      </c>
      <c r="I466">
        <v>1</v>
      </c>
      <c r="J466" t="str">
        <f>VLOOKUP(I466,SeasonFormats!$A$3:$B$999,2,0)</f>
        <v>Season</v>
      </c>
      <c r="K466">
        <v>94</v>
      </c>
      <c r="L466">
        <v>3</v>
      </c>
      <c r="M466" t="s">
        <v>452</v>
      </c>
      <c r="N466">
        <v>3</v>
      </c>
      <c r="O466" t="s">
        <v>11</v>
      </c>
      <c r="P466">
        <v>11</v>
      </c>
      <c r="Q466" s="6" t="d">
        <v>1977-11-12</v>
      </c>
      <c r="R466">
        <v>24</v>
      </c>
      <c r="S466"/>
      <c r="T466" s="15" t="s">
        <v>1081</v>
      </c>
      <c r="U466" t="str" cm="1">
        <f t="array" ref="U466">_xlfn.TEXTJOIN(",",TRUE,_xlfn.XLOOKUP(_xlfn.FILTERXML("&lt;t&gt;&lt;s&gt;" &amp; SUBSTITUTE(T466,",","&lt;/s&gt;&lt;s&gt;") &amp; "&lt;/s&gt;&lt;/t&gt;", "//s"),Writers!$A$3:$A$999,Writers!$B$3:$B$999,""))</f>
        <v>Chris Boucher</v>
      </c>
      <c r="V466"/>
      <c r="W466" t="str">
        <f>IF(V466="","",_xlfn.XLOOKUP(V466,Writers!$A$3:$A$999,Writers!$B$3:$B$999,""))</f>
        <v/>
      </c>
      <c r="X466">
        <v>7.9</v>
      </c>
      <c r="Y466"/>
      <c r="Z466"/>
      <c r="AA466">
        <f t="shared" si="21"/>
        <v>9.6</v>
      </c>
      <c r="AB466" t="str">
        <f t="shared" si="22"/>
        <v/>
      </c>
      <c r="AC466" t="str">
        <f t="shared" si="23"/>
        <v/>
      </c>
      <c r="AD466">
        <f>VLOOKUP(YEAR(Q466),Populations!$A$3:$B$999,2,0)</f>
        <v>56189900</v>
      </c>
      <c r="AE466">
        <f>(Calculations!B1/AD466)</f>
        <v>1.2156087125978201</v>
      </c>
      <c r="AF466"/>
      <c r="AG466">
        <v>1</v>
      </c>
      <c r="AH466" t="str">
        <f>VLOOKUP(AG466,WikiFormats!$A$3:$B$999,2,0)</f>
        <v>Story</v>
      </c>
      <c r="AI466" t="s">
        <v>679</v>
      </c>
    </row>
    <row r="467" spans="1:35" s="2" customFormat="1" x14ac:dyDescent="0.55000000000000004">
      <c r="A467">
        <v>465</v>
      </c>
      <c r="B467">
        <v>1</v>
      </c>
      <c r="C467" t="str">
        <f>VLOOKUP(B467,Eras!$A$3:$B$999,2,0)</f>
        <v>Classic</v>
      </c>
      <c r="D467">
        <v>1</v>
      </c>
      <c r="E467" t="str">
        <f>VLOOKUP(D467,EpisodeFormats!$A$3:$B$999,2,0)</f>
        <v>Series</v>
      </c>
      <c r="F467">
        <v>4</v>
      </c>
      <c r="G467" t="str">
        <f>VLOOKUP(F467,Doctors!$A$3:$B$999,2,0)</f>
        <v>Tom Baker</v>
      </c>
      <c r="H467">
        <v>15</v>
      </c>
      <c r="I467">
        <v>1</v>
      </c>
      <c r="J467" t="str">
        <f>VLOOKUP(I467,SeasonFormats!$A$3:$B$999,2,0)</f>
        <v>Season</v>
      </c>
      <c r="K467">
        <v>94</v>
      </c>
      <c r="L467">
        <v>3</v>
      </c>
      <c r="M467" t="s">
        <v>452</v>
      </c>
      <c r="N467">
        <v>4</v>
      </c>
      <c r="O467" t="s">
        <v>12</v>
      </c>
      <c r="P467">
        <v>12</v>
      </c>
      <c r="Q467" s="6" t="d">
        <v>1977-11-19</v>
      </c>
      <c r="R467">
        <v>21</v>
      </c>
      <c r="S467"/>
      <c r="T467" s="15" t="s">
        <v>1081</v>
      </c>
      <c r="U467" t="str" cm="1">
        <f t="array" ref="U467">_xlfn.TEXTJOIN(",",TRUE,_xlfn.XLOOKUP(_xlfn.FILTERXML("&lt;t&gt;&lt;s&gt;" &amp; SUBSTITUTE(T467,",","&lt;/s&gt;&lt;s&gt;") &amp; "&lt;/s&gt;&lt;/t&gt;", "//s"),Writers!$A$3:$A$999,Writers!$B$3:$B$999,""))</f>
        <v>Chris Boucher</v>
      </c>
      <c r="V467"/>
      <c r="W467" t="str">
        <f>IF(V467="","",_xlfn.XLOOKUP(V467,Writers!$A$3:$A$999,Writers!$B$3:$B$999,""))</f>
        <v/>
      </c>
      <c r="X467">
        <v>9.1</v>
      </c>
      <c r="Y467"/>
      <c r="Z467"/>
      <c r="AA467">
        <f t="shared" si="21"/>
        <v>11.06</v>
      </c>
      <c r="AB467" t="str">
        <f t="shared" si="22"/>
        <v/>
      </c>
      <c r="AC467" t="str">
        <f t="shared" si="23"/>
        <v/>
      </c>
      <c r="AD467">
        <f>VLOOKUP(YEAR(Q467),Populations!$A$3:$B$999,2,0)</f>
        <v>56189900</v>
      </c>
      <c r="AE467">
        <f>(Calculations!B1/AD467)</f>
        <v>1.2156087125978201</v>
      </c>
      <c r="AF467"/>
      <c r="AG467">
        <v>1</v>
      </c>
      <c r="AH467" t="str">
        <f>VLOOKUP(AG467,WikiFormats!$A$3:$B$999,2,0)</f>
        <v>Story</v>
      </c>
      <c r="AI467" t="s">
        <v>679</v>
      </c>
    </row>
    <row r="468" spans="1:35" s="8" customFormat="1" x14ac:dyDescent="0.55000000000000004">
      <c r="A468" s="3">
        <v>466</v>
      </c>
      <c r="B468" s="3">
        <v>1</v>
      </c>
      <c r="C468" s="3" t="str">
        <f>VLOOKUP(B468,Eras!$A$3:$B$999,2,0)</f>
        <v>Classic</v>
      </c>
      <c r="D468" s="3">
        <v>1</v>
      </c>
      <c r="E468" s="3" t="str">
        <f>VLOOKUP(D468,EpisodeFormats!$A$3:$B$999,2,0)</f>
        <v>Series</v>
      </c>
      <c r="F468" s="3">
        <v>4</v>
      </c>
      <c r="G468" s="3" t="str">
        <f>VLOOKUP(F468,Doctors!$A$3:$B$999,2,0)</f>
        <v>Tom Baker</v>
      </c>
      <c r="H468" s="3">
        <v>15</v>
      </c>
      <c r="I468" s="3">
        <v>1</v>
      </c>
      <c r="J468" s="3" t="str">
        <f>VLOOKUP(I468,SeasonFormats!$A$3:$B$999,2,0)</f>
        <v>Season</v>
      </c>
      <c r="K468" s="3">
        <v>95</v>
      </c>
      <c r="L468" s="3">
        <v>4</v>
      </c>
      <c r="M468" s="3" t="s">
        <v>453</v>
      </c>
      <c r="N468" s="3">
        <v>1</v>
      </c>
      <c r="O468" s="3" t="s">
        <v>9</v>
      </c>
      <c r="P468" s="3">
        <v>13</v>
      </c>
      <c r="Q468" s="7" t="d">
        <v>1977-11-26</v>
      </c>
      <c r="R468" s="3">
        <v>25</v>
      </c>
      <c r="S468" s="3"/>
      <c r="T468" s="4" t="s">
        <v>1122</v>
      </c>
      <c r="U468" s="3" t="str" cm="1">
        <f t="array" ref="U468">_xlfn.TEXTJOIN(",",TRUE,_xlfn.XLOOKUP(_xlfn.FILTERXML("&lt;t&gt;&lt;s&gt;" &amp; SUBSTITUTE(T468,",","&lt;/s&gt;&lt;s&gt;") &amp; "&lt;/s&gt;&lt;/t&gt;", "//s"),Writers!$A$3:$A$999,Writers!$B$3:$B$999,""))</f>
        <v>Robert Holmes</v>
      </c>
      <c r="V468" s="3"/>
      <c r="W468" s="3" t="str">
        <f>IF(V468="","",_xlfn.XLOOKUP(V468,Writers!$A$3:$A$999,Writers!$B$3:$B$999,""))</f>
        <v/>
      </c>
      <c r="X468" s="3">
        <v>8.5</v>
      </c>
      <c r="Y468" s="3"/>
      <c r="Z468" s="3"/>
      <c r="AA468" s="3">
        <f t="shared" si="21"/>
        <v>10.33</v>
      </c>
      <c r="AB468" s="3" t="str">
        <f t="shared" si="22"/>
        <v/>
      </c>
      <c r="AC468" s="3" t="str">
        <f t="shared" si="23"/>
        <v/>
      </c>
      <c r="AD468" s="3">
        <f>VLOOKUP(YEAR(Q468),Populations!$A$3:$B$999,2,0)</f>
        <v>56189900</v>
      </c>
      <c r="AE468" s="3">
        <f>(Calculations!B1/AD468)</f>
        <v>1.2156087125978201</v>
      </c>
      <c r="AF468" s="3"/>
      <c r="AG468" s="3">
        <v>1</v>
      </c>
      <c r="AH468" s="3" t="str">
        <f>VLOOKUP(AG468,WikiFormats!$A$3:$B$999,2,0)</f>
        <v>Story</v>
      </c>
      <c r="AI468" s="3" t="s">
        <v>680</v>
      </c>
    </row>
    <row r="469" spans="1:35" s="8" customFormat="1" x14ac:dyDescent="0.55000000000000004">
      <c r="A469" s="3">
        <v>467</v>
      </c>
      <c r="B469" s="3">
        <v>1</v>
      </c>
      <c r="C469" s="3" t="str">
        <f>VLOOKUP(B469,Eras!$A$3:$B$999,2,0)</f>
        <v>Classic</v>
      </c>
      <c r="D469" s="3">
        <v>1</v>
      </c>
      <c r="E469" s="3" t="str">
        <f>VLOOKUP(D469,EpisodeFormats!$A$3:$B$999,2,0)</f>
        <v>Series</v>
      </c>
      <c r="F469" s="3">
        <v>4</v>
      </c>
      <c r="G469" s="3" t="str">
        <f>VLOOKUP(F469,Doctors!$A$3:$B$999,2,0)</f>
        <v>Tom Baker</v>
      </c>
      <c r="H469" s="3">
        <v>15</v>
      </c>
      <c r="I469" s="3">
        <v>1</v>
      </c>
      <c r="J469" s="3" t="str">
        <f>VLOOKUP(I469,SeasonFormats!$A$3:$B$999,2,0)</f>
        <v>Season</v>
      </c>
      <c r="K469" s="3">
        <v>95</v>
      </c>
      <c r="L469" s="3">
        <v>4</v>
      </c>
      <c r="M469" s="3" t="s">
        <v>453</v>
      </c>
      <c r="N469" s="3">
        <v>2</v>
      </c>
      <c r="O469" s="3" t="s">
        <v>10</v>
      </c>
      <c r="P469" s="3">
        <v>14</v>
      </c>
      <c r="Q469" s="7" t="d">
        <v>1977-12-03</v>
      </c>
      <c r="R469" s="3">
        <v>25</v>
      </c>
      <c r="S469" s="3"/>
      <c r="T469" s="4" t="s">
        <v>1122</v>
      </c>
      <c r="U469" s="3" t="str" cm="1">
        <f t="array" ref="U469">_xlfn.TEXTJOIN(",",TRUE,_xlfn.XLOOKUP(_xlfn.FILTERXML("&lt;t&gt;&lt;s&gt;" &amp; SUBSTITUTE(T469,",","&lt;/s&gt;&lt;s&gt;") &amp; "&lt;/s&gt;&lt;/t&gt;", "//s"),Writers!$A$3:$A$999,Writers!$B$3:$B$999,""))</f>
        <v>Robert Holmes</v>
      </c>
      <c r="V469" s="3"/>
      <c r="W469" s="3" t="str">
        <f>IF(V469="","",_xlfn.XLOOKUP(V469,Writers!$A$3:$A$999,Writers!$B$3:$B$999,""))</f>
        <v/>
      </c>
      <c r="X469" s="3">
        <v>9.5</v>
      </c>
      <c r="Y469" s="3"/>
      <c r="Z469" s="3"/>
      <c r="AA469" s="3">
        <f t="shared" si="21"/>
        <v>11.55</v>
      </c>
      <c r="AB469" s="3" t="str">
        <f t="shared" si="22"/>
        <v/>
      </c>
      <c r="AC469" s="3" t="str">
        <f t="shared" si="23"/>
        <v/>
      </c>
      <c r="AD469" s="3">
        <f>VLOOKUP(YEAR(Q469),Populations!$A$3:$B$999,2,0)</f>
        <v>56189900</v>
      </c>
      <c r="AE469" s="3">
        <f>(Calculations!B1/AD469)</f>
        <v>1.2156087125978201</v>
      </c>
      <c r="AF469" s="3"/>
      <c r="AG469" s="3">
        <v>1</v>
      </c>
      <c r="AH469" s="3" t="str">
        <f>VLOOKUP(AG469,WikiFormats!$A$3:$B$999,2,0)</f>
        <v>Story</v>
      </c>
      <c r="AI469" s="3" t="s">
        <v>680</v>
      </c>
    </row>
    <row r="470" spans="1:35" s="8" customFormat="1" x14ac:dyDescent="0.55000000000000004">
      <c r="A470" s="3">
        <v>468</v>
      </c>
      <c r="B470" s="3">
        <v>1</v>
      </c>
      <c r="C470" s="3" t="str">
        <f>VLOOKUP(B470,Eras!$A$3:$B$999,2,0)</f>
        <v>Classic</v>
      </c>
      <c r="D470" s="3">
        <v>1</v>
      </c>
      <c r="E470" s="3" t="str">
        <f>VLOOKUP(D470,EpisodeFormats!$A$3:$B$999,2,0)</f>
        <v>Series</v>
      </c>
      <c r="F470" s="3">
        <v>4</v>
      </c>
      <c r="G470" s="3" t="str">
        <f>VLOOKUP(F470,Doctors!$A$3:$B$999,2,0)</f>
        <v>Tom Baker</v>
      </c>
      <c r="H470" s="3">
        <v>15</v>
      </c>
      <c r="I470" s="3">
        <v>1</v>
      </c>
      <c r="J470" s="3" t="str">
        <f>VLOOKUP(I470,SeasonFormats!$A$3:$B$999,2,0)</f>
        <v>Season</v>
      </c>
      <c r="K470" s="3">
        <v>95</v>
      </c>
      <c r="L470" s="3">
        <v>4</v>
      </c>
      <c r="M470" s="3" t="s">
        <v>453</v>
      </c>
      <c r="N470" s="3">
        <v>3</v>
      </c>
      <c r="O470" s="3" t="s">
        <v>11</v>
      </c>
      <c r="P470" s="3">
        <v>15</v>
      </c>
      <c r="Q470" s="7" t="d">
        <v>1977-12-10</v>
      </c>
      <c r="R470" s="3">
        <v>25</v>
      </c>
      <c r="S470" s="3"/>
      <c r="T470" s="4" t="s">
        <v>1122</v>
      </c>
      <c r="U470" s="3" t="str" cm="1">
        <f t="array" ref="U470">_xlfn.TEXTJOIN(",",TRUE,_xlfn.XLOOKUP(_xlfn.FILTERXML("&lt;t&gt;&lt;s&gt;" &amp; SUBSTITUTE(T470,",","&lt;/s&gt;&lt;s&gt;") &amp; "&lt;/s&gt;&lt;/t&gt;", "//s"),Writers!$A$3:$A$999,Writers!$B$3:$B$999,""))</f>
        <v>Robert Holmes</v>
      </c>
      <c r="V470" s="3"/>
      <c r="W470" s="3" t="str">
        <f>IF(V470="","",_xlfn.XLOOKUP(V470,Writers!$A$3:$A$999,Writers!$B$3:$B$999,""))</f>
        <v/>
      </c>
      <c r="X470" s="3">
        <v>8.9</v>
      </c>
      <c r="Y470" s="3"/>
      <c r="Z470" s="3"/>
      <c r="AA470" s="3">
        <f t="shared" si="21"/>
        <v>10.82</v>
      </c>
      <c r="AB470" s="3" t="str">
        <f t="shared" si="22"/>
        <v/>
      </c>
      <c r="AC470" s="3" t="str">
        <f t="shared" si="23"/>
        <v/>
      </c>
      <c r="AD470" s="3">
        <f>VLOOKUP(YEAR(Q470),Populations!$A$3:$B$999,2,0)</f>
        <v>56189900</v>
      </c>
      <c r="AE470" s="3">
        <f>(Calculations!B1/AD470)</f>
        <v>1.2156087125978201</v>
      </c>
      <c r="AF470" s="3"/>
      <c r="AG470" s="3">
        <v>1</v>
      </c>
      <c r="AH470" s="3" t="str">
        <f>VLOOKUP(AG470,WikiFormats!$A$3:$B$999,2,0)</f>
        <v>Story</v>
      </c>
      <c r="AI470" s="3" t="s">
        <v>680</v>
      </c>
    </row>
    <row r="471" spans="1:35" s="8" customFormat="1" x14ac:dyDescent="0.55000000000000004">
      <c r="A471" s="3">
        <v>469</v>
      </c>
      <c r="B471" s="3">
        <v>1</v>
      </c>
      <c r="C471" s="3" t="str">
        <f>VLOOKUP(B471,Eras!$A$3:$B$999,2,0)</f>
        <v>Classic</v>
      </c>
      <c r="D471" s="3">
        <v>1</v>
      </c>
      <c r="E471" s="3" t="str">
        <f>VLOOKUP(D471,EpisodeFormats!$A$3:$B$999,2,0)</f>
        <v>Series</v>
      </c>
      <c r="F471" s="3">
        <v>4</v>
      </c>
      <c r="G471" s="3" t="str">
        <f>VLOOKUP(F471,Doctors!$A$3:$B$999,2,0)</f>
        <v>Tom Baker</v>
      </c>
      <c r="H471" s="3">
        <v>15</v>
      </c>
      <c r="I471" s="3">
        <v>1</v>
      </c>
      <c r="J471" s="3" t="str">
        <f>VLOOKUP(I471,SeasonFormats!$A$3:$B$999,2,0)</f>
        <v>Season</v>
      </c>
      <c r="K471" s="3">
        <v>95</v>
      </c>
      <c r="L471" s="3">
        <v>4</v>
      </c>
      <c r="M471" s="3" t="s">
        <v>453</v>
      </c>
      <c r="N471" s="3">
        <v>4</v>
      </c>
      <c r="O471" s="3" t="s">
        <v>12</v>
      </c>
      <c r="P471" s="3">
        <v>16</v>
      </c>
      <c r="Q471" s="7" t="d">
        <v>1977-12-17</v>
      </c>
      <c r="R471" s="3">
        <v>25</v>
      </c>
      <c r="S471" s="3"/>
      <c r="T471" s="4" t="s">
        <v>1122</v>
      </c>
      <c r="U471" s="3" t="str" cm="1">
        <f t="array" ref="U471">_xlfn.TEXTJOIN(",",TRUE,_xlfn.XLOOKUP(_xlfn.FILTERXML("&lt;t&gt;&lt;s&gt;" &amp; SUBSTITUTE(T471,",","&lt;/s&gt;&lt;s&gt;") &amp; "&lt;/s&gt;&lt;/t&gt;", "//s"),Writers!$A$3:$A$999,Writers!$B$3:$B$999,""))</f>
        <v>Robert Holmes</v>
      </c>
      <c r="V471" s="3"/>
      <c r="W471" s="3" t="str">
        <f>IF(V471="","",_xlfn.XLOOKUP(V471,Writers!$A$3:$A$999,Writers!$B$3:$B$999,""))</f>
        <v/>
      </c>
      <c r="X471" s="3">
        <v>8.4</v>
      </c>
      <c r="Y471" s="3"/>
      <c r="Z471" s="3"/>
      <c r="AA471" s="3">
        <f t="shared" si="21"/>
        <v>10.210000000000001</v>
      </c>
      <c r="AB471" s="3" t="str">
        <f t="shared" si="22"/>
        <v/>
      </c>
      <c r="AC471" s="3" t="str">
        <f t="shared" si="23"/>
        <v/>
      </c>
      <c r="AD471" s="3">
        <f>VLOOKUP(YEAR(Q471),Populations!$A$3:$B$999,2,0)</f>
        <v>56189900</v>
      </c>
      <c r="AE471" s="3">
        <f>(Calculations!B1/AD471)</f>
        <v>1.2156087125978201</v>
      </c>
      <c r="AF471" s="3"/>
      <c r="AG471" s="3">
        <v>1</v>
      </c>
      <c r="AH471" s="3" t="str">
        <f>VLOOKUP(AG471,WikiFormats!$A$3:$B$999,2,0)</f>
        <v>Story</v>
      </c>
      <c r="AI471" s="3" t="s">
        <v>680</v>
      </c>
    </row>
    <row r="472" spans="1:35" s="2" customFormat="1" x14ac:dyDescent="0.55000000000000004">
      <c r="A472">
        <v>470</v>
      </c>
      <c r="B472">
        <v>1</v>
      </c>
      <c r="C472" t="str">
        <f>VLOOKUP(B472,Eras!$A$3:$B$999,2,0)</f>
        <v>Classic</v>
      </c>
      <c r="D472">
        <v>1</v>
      </c>
      <c r="E472" t="str">
        <f>VLOOKUP(D472,EpisodeFormats!$A$3:$B$999,2,0)</f>
        <v>Series</v>
      </c>
      <c r="F472">
        <v>4</v>
      </c>
      <c r="G472" t="str">
        <f>VLOOKUP(F472,Doctors!$A$3:$B$999,2,0)</f>
        <v>Tom Baker</v>
      </c>
      <c r="H472">
        <v>15</v>
      </c>
      <c r="I472">
        <v>1</v>
      </c>
      <c r="J472" t="str">
        <f>VLOOKUP(I472,SeasonFormats!$A$3:$B$999,2,0)</f>
        <v>Season</v>
      </c>
      <c r="K472">
        <v>96</v>
      </c>
      <c r="L472">
        <v>5</v>
      </c>
      <c r="M472" t="s">
        <v>454</v>
      </c>
      <c r="N472">
        <v>1</v>
      </c>
      <c r="O472" t="s">
        <v>9</v>
      </c>
      <c r="P472">
        <v>17</v>
      </c>
      <c r="Q472" s="6" t="d">
        <v>1978-01-07</v>
      </c>
      <c r="R472">
        <v>23</v>
      </c>
      <c r="S472"/>
      <c r="T472" s="15" t="s">
        <v>1076</v>
      </c>
      <c r="U472" t="str" cm="1">
        <f t="array" ref="U472">_xlfn.TEXTJOIN(",",TRUE,_xlfn.XLOOKUP(_xlfn.FILTERXML("&lt;t&gt;&lt;s&gt;" &amp; SUBSTITUTE(T472,",","&lt;/s&gt;&lt;s&gt;") &amp; "&lt;/s&gt;&lt;/t&gt;", "//s"),Writers!$A$3:$A$999,Writers!$B$3:$B$999,""))</f>
        <v>Bob Baker,Dave Martin</v>
      </c>
      <c r="V472"/>
      <c r="W472" t="str">
        <f>IF(V472="","",_xlfn.XLOOKUP(V472,Writers!$A$3:$A$999,Writers!$B$3:$B$999,""))</f>
        <v/>
      </c>
      <c r="X472">
        <v>8.9</v>
      </c>
      <c r="Y472"/>
      <c r="Z472"/>
      <c r="AA472">
        <f t="shared" si="21"/>
        <v>10.82</v>
      </c>
      <c r="AB472" t="str">
        <f t="shared" si="22"/>
        <v/>
      </c>
      <c r="AC472" t="str">
        <f t="shared" si="23"/>
        <v/>
      </c>
      <c r="AD472">
        <f>VLOOKUP(YEAR(Q472),Populations!$A$3:$B$999,2,0)</f>
        <v>56178000</v>
      </c>
      <c r="AE472">
        <f>(Calculations!B1/AD472)</f>
        <v>1.21586621097227</v>
      </c>
      <c r="AF472"/>
      <c r="AG472">
        <v>1</v>
      </c>
      <c r="AH472" t="str">
        <f>VLOOKUP(AG472,WikiFormats!$A$3:$B$999,2,0)</f>
        <v>Story</v>
      </c>
      <c r="AI472" t="s">
        <v>681</v>
      </c>
    </row>
    <row r="473" spans="1:35" s="2" customFormat="1" x14ac:dyDescent="0.55000000000000004">
      <c r="A473">
        <v>471</v>
      </c>
      <c r="B473">
        <v>1</v>
      </c>
      <c r="C473" t="str">
        <f>VLOOKUP(B473,Eras!$A$3:$B$999,2,0)</f>
        <v>Classic</v>
      </c>
      <c r="D473">
        <v>1</v>
      </c>
      <c r="E473" t="str">
        <f>VLOOKUP(D473,EpisodeFormats!$A$3:$B$999,2,0)</f>
        <v>Series</v>
      </c>
      <c r="F473">
        <v>4</v>
      </c>
      <c r="G473" t="str">
        <f>VLOOKUP(F473,Doctors!$A$3:$B$999,2,0)</f>
        <v>Tom Baker</v>
      </c>
      <c r="H473">
        <v>15</v>
      </c>
      <c r="I473">
        <v>1</v>
      </c>
      <c r="J473" t="str">
        <f>VLOOKUP(I473,SeasonFormats!$A$3:$B$999,2,0)</f>
        <v>Season</v>
      </c>
      <c r="K473">
        <v>96</v>
      </c>
      <c r="L473">
        <v>5</v>
      </c>
      <c r="M473" t="s">
        <v>454</v>
      </c>
      <c r="N473">
        <v>2</v>
      </c>
      <c r="O473" t="s">
        <v>10</v>
      </c>
      <c r="P473">
        <v>18</v>
      </c>
      <c r="Q473" s="6" t="d">
        <v>1978-01-14</v>
      </c>
      <c r="R473">
        <v>21</v>
      </c>
      <c r="S473"/>
      <c r="T473" s="15" t="s">
        <v>1076</v>
      </c>
      <c r="U473" t="str" cm="1">
        <f t="array" ref="U473">_xlfn.TEXTJOIN(",",TRUE,_xlfn.XLOOKUP(_xlfn.FILTERXML("&lt;t&gt;&lt;s&gt;" &amp; SUBSTITUTE(T473,",","&lt;/s&gt;&lt;s&gt;") &amp; "&lt;/s&gt;&lt;/t&gt;", "//s"),Writers!$A$3:$A$999,Writers!$B$3:$B$999,""))</f>
        <v>Bob Baker,Dave Martin</v>
      </c>
      <c r="V473"/>
      <c r="W473" t="str">
        <f>IF(V473="","",_xlfn.XLOOKUP(V473,Writers!$A$3:$A$999,Writers!$B$3:$B$999,""))</f>
        <v/>
      </c>
      <c r="X473">
        <v>9.1</v>
      </c>
      <c r="Y473"/>
      <c r="Z473"/>
      <c r="AA473">
        <f t="shared" si="21"/>
        <v>11.06</v>
      </c>
      <c r="AB473" t="str">
        <f t="shared" si="22"/>
        <v/>
      </c>
      <c r="AC473" t="str">
        <f t="shared" si="23"/>
        <v/>
      </c>
      <c r="AD473">
        <f>VLOOKUP(YEAR(Q473),Populations!$A$3:$B$999,2,0)</f>
        <v>56178000</v>
      </c>
      <c r="AE473">
        <f>(Calculations!B1/AD473)</f>
        <v>1.21586621097227</v>
      </c>
      <c r="AF473"/>
      <c r="AG473">
        <v>1</v>
      </c>
      <c r="AH473" t="str">
        <f>VLOOKUP(AG473,WikiFormats!$A$3:$B$999,2,0)</f>
        <v>Story</v>
      </c>
      <c r="AI473" t="s">
        <v>681</v>
      </c>
    </row>
    <row r="474" spans="1:35" s="2" customFormat="1" x14ac:dyDescent="0.55000000000000004">
      <c r="A474">
        <v>472</v>
      </c>
      <c r="B474">
        <v>1</v>
      </c>
      <c r="C474" t="str">
        <f>VLOOKUP(B474,Eras!$A$3:$B$999,2,0)</f>
        <v>Classic</v>
      </c>
      <c r="D474">
        <v>1</v>
      </c>
      <c r="E474" t="str">
        <f>VLOOKUP(D474,EpisodeFormats!$A$3:$B$999,2,0)</f>
        <v>Series</v>
      </c>
      <c r="F474">
        <v>4</v>
      </c>
      <c r="G474" t="str">
        <f>VLOOKUP(F474,Doctors!$A$3:$B$999,2,0)</f>
        <v>Tom Baker</v>
      </c>
      <c r="H474">
        <v>15</v>
      </c>
      <c r="I474">
        <v>1</v>
      </c>
      <c r="J474" t="str">
        <f>VLOOKUP(I474,SeasonFormats!$A$3:$B$999,2,0)</f>
        <v>Season</v>
      </c>
      <c r="K474">
        <v>96</v>
      </c>
      <c r="L474">
        <v>5</v>
      </c>
      <c r="M474" t="s">
        <v>454</v>
      </c>
      <c r="N474">
        <v>3</v>
      </c>
      <c r="O474" t="s">
        <v>11</v>
      </c>
      <c r="P474">
        <v>19</v>
      </c>
      <c r="Q474" s="6" t="d">
        <v>1978-01-21</v>
      </c>
      <c r="R474">
        <v>22</v>
      </c>
      <c r="S474"/>
      <c r="T474" s="15" t="s">
        <v>1076</v>
      </c>
      <c r="U474" t="str" cm="1">
        <f t="array" ref="U474">_xlfn.TEXTJOIN(",",TRUE,_xlfn.XLOOKUP(_xlfn.FILTERXML("&lt;t&gt;&lt;s&gt;" &amp; SUBSTITUTE(T474,",","&lt;/s&gt;&lt;s&gt;") &amp; "&lt;/s&gt;&lt;/t&gt;", "//s"),Writers!$A$3:$A$999,Writers!$B$3:$B$999,""))</f>
        <v>Bob Baker,Dave Martin</v>
      </c>
      <c r="V474"/>
      <c r="W474" t="str">
        <f>IF(V474="","",_xlfn.XLOOKUP(V474,Writers!$A$3:$A$999,Writers!$B$3:$B$999,""))</f>
        <v/>
      </c>
      <c r="X474">
        <v>8.9</v>
      </c>
      <c r="Y474"/>
      <c r="Z474"/>
      <c r="AA474">
        <f t="shared" si="21"/>
        <v>10.82</v>
      </c>
      <c r="AB474" t="str">
        <f t="shared" si="22"/>
        <v/>
      </c>
      <c r="AC474" t="str">
        <f t="shared" si="23"/>
        <v/>
      </c>
      <c r="AD474">
        <f>VLOOKUP(YEAR(Q474),Populations!$A$3:$B$999,2,0)</f>
        <v>56178000</v>
      </c>
      <c r="AE474">
        <f>(Calculations!B1/AD474)</f>
        <v>1.21586621097227</v>
      </c>
      <c r="AF474"/>
      <c r="AG474">
        <v>1</v>
      </c>
      <c r="AH474" t="str">
        <f>VLOOKUP(AG474,WikiFormats!$A$3:$B$999,2,0)</f>
        <v>Story</v>
      </c>
      <c r="AI474" t="s">
        <v>681</v>
      </c>
    </row>
    <row r="475" spans="1:35" s="2" customFormat="1" x14ac:dyDescent="0.55000000000000004">
      <c r="A475">
        <v>473</v>
      </c>
      <c r="B475">
        <v>1</v>
      </c>
      <c r="C475" t="str">
        <f>VLOOKUP(B475,Eras!$A$3:$B$999,2,0)</f>
        <v>Classic</v>
      </c>
      <c r="D475">
        <v>1</v>
      </c>
      <c r="E475" t="str">
        <f>VLOOKUP(D475,EpisodeFormats!$A$3:$B$999,2,0)</f>
        <v>Series</v>
      </c>
      <c r="F475">
        <v>4</v>
      </c>
      <c r="G475" t="str">
        <f>VLOOKUP(F475,Doctors!$A$3:$B$999,2,0)</f>
        <v>Tom Baker</v>
      </c>
      <c r="H475">
        <v>15</v>
      </c>
      <c r="I475">
        <v>1</v>
      </c>
      <c r="J475" t="str">
        <f>VLOOKUP(I475,SeasonFormats!$A$3:$B$999,2,0)</f>
        <v>Season</v>
      </c>
      <c r="K475">
        <v>96</v>
      </c>
      <c r="L475">
        <v>5</v>
      </c>
      <c r="M475" t="s">
        <v>454</v>
      </c>
      <c r="N475">
        <v>4</v>
      </c>
      <c r="O475" t="s">
        <v>12</v>
      </c>
      <c r="P475">
        <v>20</v>
      </c>
      <c r="Q475" s="6" t="d">
        <v>1978-01-28</v>
      </c>
      <c r="R475">
        <v>23</v>
      </c>
      <c r="S475"/>
      <c r="T475" s="15" t="s">
        <v>1076</v>
      </c>
      <c r="U475" t="str" cm="1">
        <f t="array" ref="U475">_xlfn.TEXTJOIN(",",TRUE,_xlfn.XLOOKUP(_xlfn.FILTERXML("&lt;t&gt;&lt;s&gt;" &amp; SUBSTITUTE(T475,",","&lt;/s&gt;&lt;s&gt;") &amp; "&lt;/s&gt;&lt;/t&gt;", "//s"),Writers!$A$3:$A$999,Writers!$B$3:$B$999,""))</f>
        <v>Bob Baker,Dave Martin</v>
      </c>
      <c r="V475"/>
      <c r="W475" t="str">
        <f>IF(V475="","",_xlfn.XLOOKUP(V475,Writers!$A$3:$A$999,Writers!$B$3:$B$999,""))</f>
        <v/>
      </c>
      <c r="X475">
        <v>11.7</v>
      </c>
      <c r="Y475"/>
      <c r="Z475"/>
      <c r="AA475">
        <f t="shared" si="21"/>
        <v>14.23</v>
      </c>
      <c r="AB475" t="str">
        <f t="shared" si="22"/>
        <v/>
      </c>
      <c r="AC475" t="str">
        <f t="shared" si="23"/>
        <v/>
      </c>
      <c r="AD475">
        <f>VLOOKUP(YEAR(Q475),Populations!$A$3:$B$999,2,0)</f>
        <v>56178000</v>
      </c>
      <c r="AE475">
        <f>(Calculations!B1/AD475)</f>
        <v>1.21586621097227</v>
      </c>
      <c r="AF475"/>
      <c r="AG475">
        <v>1</v>
      </c>
      <c r="AH475" t="str">
        <f>VLOOKUP(AG475,WikiFormats!$A$3:$B$999,2,0)</f>
        <v>Story</v>
      </c>
      <c r="AI475" t="s">
        <v>681</v>
      </c>
    </row>
    <row r="476" spans="1:35" s="8" customFormat="1" x14ac:dyDescent="0.55000000000000004">
      <c r="A476" s="3">
        <v>474</v>
      </c>
      <c r="B476" s="3">
        <v>1</v>
      </c>
      <c r="C476" s="3" t="str">
        <f>VLOOKUP(B476,Eras!$A$3:$B$999,2,0)</f>
        <v>Classic</v>
      </c>
      <c r="D476" s="3">
        <v>1</v>
      </c>
      <c r="E476" s="3" t="str">
        <f>VLOOKUP(D476,EpisodeFormats!$A$3:$B$999,2,0)</f>
        <v>Series</v>
      </c>
      <c r="F476" s="3">
        <v>4</v>
      </c>
      <c r="G476" s="3" t="str">
        <f>VLOOKUP(F476,Doctors!$A$3:$B$999,2,0)</f>
        <v>Tom Baker</v>
      </c>
      <c r="H476" s="3">
        <v>15</v>
      </c>
      <c r="I476" s="3">
        <v>1</v>
      </c>
      <c r="J476" s="3" t="str">
        <f>VLOOKUP(I476,SeasonFormats!$A$3:$B$999,2,0)</f>
        <v>Season</v>
      </c>
      <c r="K476" s="3">
        <v>97</v>
      </c>
      <c r="L476" s="3">
        <v>6</v>
      </c>
      <c r="M476" s="3" t="s">
        <v>455</v>
      </c>
      <c r="N476" s="3">
        <v>1</v>
      </c>
      <c r="O476" s="3" t="s">
        <v>9</v>
      </c>
      <c r="P476" s="3">
        <v>21</v>
      </c>
      <c r="Q476" s="7" t="d">
        <v>1978-02-04</v>
      </c>
      <c r="R476" s="3">
        <v>25</v>
      </c>
      <c r="S476" s="3"/>
      <c r="T476" s="4" t="s">
        <v>1069</v>
      </c>
      <c r="U476" s="3" t="str" cm="1">
        <f t="array" ref="U476">_xlfn.TEXTJOIN(",",TRUE,_xlfn.XLOOKUP(_xlfn.FILTERXML("&lt;t&gt;&lt;s&gt;" &amp; SUBSTITUTE(T476,",","&lt;/s&gt;&lt;s&gt;") &amp; "&lt;/s&gt;&lt;/t&gt;", "//s"),Writers!$A$3:$A$999,Writers!$B$3:$B$999,""))</f>
        <v>Anthony Read,Graham Williams</v>
      </c>
      <c r="V476" s="3">
        <v>3</v>
      </c>
      <c r="W476" s="3" t="str">
        <f>IF(V476="","",_xlfn.XLOOKUP(V476,Writers!$A$3:$A$999,Writers!$B$3:$B$999,""))</f>
        <v>David Agnew</v>
      </c>
      <c r="X476" s="3">
        <v>11.2</v>
      </c>
      <c r="Y476" s="3"/>
      <c r="Z476" s="3"/>
      <c r="AA476" s="3">
        <f t="shared" si="21"/>
        <v>13.62</v>
      </c>
      <c r="AB476" s="3" t="str">
        <f t="shared" si="22"/>
        <v/>
      </c>
      <c r="AC476" s="3" t="str">
        <f t="shared" si="23"/>
        <v/>
      </c>
      <c r="AD476" s="3">
        <f>VLOOKUP(YEAR(Q476),Populations!$A$3:$B$999,2,0)</f>
        <v>56178000</v>
      </c>
      <c r="AE476" s="3">
        <f>(Calculations!B1/AD476)</f>
        <v>1.21586621097227</v>
      </c>
      <c r="AF476" s="3"/>
      <c r="AG476" s="3">
        <v>1</v>
      </c>
      <c r="AH476" s="3" t="str">
        <f>VLOOKUP(AG476,WikiFormats!$A$3:$B$999,2,0)</f>
        <v>Story</v>
      </c>
      <c r="AI476" s="3" t="s">
        <v>682</v>
      </c>
    </row>
    <row r="477" spans="1:35" s="8" customFormat="1" x14ac:dyDescent="0.55000000000000004">
      <c r="A477" s="3">
        <v>475</v>
      </c>
      <c r="B477" s="3">
        <v>1</v>
      </c>
      <c r="C477" s="3" t="str">
        <f>VLOOKUP(B477,Eras!$A$3:$B$999,2,0)</f>
        <v>Classic</v>
      </c>
      <c r="D477" s="3">
        <v>1</v>
      </c>
      <c r="E477" s="3" t="str">
        <f>VLOOKUP(D477,EpisodeFormats!$A$3:$B$999,2,0)</f>
        <v>Series</v>
      </c>
      <c r="F477" s="3">
        <v>4</v>
      </c>
      <c r="G477" s="3" t="str">
        <f>VLOOKUP(F477,Doctors!$A$3:$B$999,2,0)</f>
        <v>Tom Baker</v>
      </c>
      <c r="H477" s="3">
        <v>15</v>
      </c>
      <c r="I477" s="3">
        <v>1</v>
      </c>
      <c r="J477" s="3" t="str">
        <f>VLOOKUP(I477,SeasonFormats!$A$3:$B$999,2,0)</f>
        <v>Season</v>
      </c>
      <c r="K477" s="3">
        <v>97</v>
      </c>
      <c r="L477" s="3">
        <v>6</v>
      </c>
      <c r="M477" s="3" t="s">
        <v>455</v>
      </c>
      <c r="N477" s="3">
        <v>2</v>
      </c>
      <c r="O477" s="3" t="s">
        <v>10</v>
      </c>
      <c r="P477" s="3">
        <v>22</v>
      </c>
      <c r="Q477" s="7" t="d">
        <v>1978-02-11</v>
      </c>
      <c r="R477" s="3">
        <v>25</v>
      </c>
      <c r="S477" s="3"/>
      <c r="T477" s="4" t="s">
        <v>1069</v>
      </c>
      <c r="U477" s="3" t="str" cm="1">
        <f t="array" ref="U477">_xlfn.TEXTJOIN(",",TRUE,_xlfn.XLOOKUP(_xlfn.FILTERXML("&lt;t&gt;&lt;s&gt;" &amp; SUBSTITUTE(T477,",","&lt;/s&gt;&lt;s&gt;") &amp; "&lt;/s&gt;&lt;/t&gt;", "//s"),Writers!$A$3:$A$999,Writers!$B$3:$B$999,""))</f>
        <v>Anthony Read,Graham Williams</v>
      </c>
      <c r="V477" s="3">
        <v>3</v>
      </c>
      <c r="W477" s="3" t="str">
        <f>IF(V477="","",_xlfn.XLOOKUP(V477,Writers!$A$3:$A$999,Writers!$B$3:$B$999,""))</f>
        <v>David Agnew</v>
      </c>
      <c r="X477" s="3">
        <v>11.4</v>
      </c>
      <c r="Y477" s="3"/>
      <c r="Z477" s="3"/>
      <c r="AA477" s="3">
        <f t="shared" si="21"/>
        <v>13.86</v>
      </c>
      <c r="AB477" s="3" t="str">
        <f t="shared" si="22"/>
        <v/>
      </c>
      <c r="AC477" s="3" t="str">
        <f t="shared" si="23"/>
        <v/>
      </c>
      <c r="AD477" s="3">
        <f>VLOOKUP(YEAR(Q477),Populations!$A$3:$B$999,2,0)</f>
        <v>56178000</v>
      </c>
      <c r="AE477" s="3">
        <f>(Calculations!B1/AD477)</f>
        <v>1.21586621097227</v>
      </c>
      <c r="AF477" s="3"/>
      <c r="AG477" s="3">
        <v>1</v>
      </c>
      <c r="AH477" s="3" t="str">
        <f>VLOOKUP(AG477,WikiFormats!$A$3:$B$999,2,0)</f>
        <v>Story</v>
      </c>
      <c r="AI477" s="3" t="s">
        <v>682</v>
      </c>
    </row>
    <row r="478" spans="1:35" s="8" customFormat="1" x14ac:dyDescent="0.55000000000000004">
      <c r="A478" s="3">
        <v>476</v>
      </c>
      <c r="B478" s="3">
        <v>1</v>
      </c>
      <c r="C478" s="3" t="str">
        <f>VLOOKUP(B478,Eras!$A$3:$B$999,2,0)</f>
        <v>Classic</v>
      </c>
      <c r="D478" s="3">
        <v>1</v>
      </c>
      <c r="E478" s="3" t="str">
        <f>VLOOKUP(D478,EpisodeFormats!$A$3:$B$999,2,0)</f>
        <v>Series</v>
      </c>
      <c r="F478" s="3">
        <v>4</v>
      </c>
      <c r="G478" s="3" t="str">
        <f>VLOOKUP(F478,Doctors!$A$3:$B$999,2,0)</f>
        <v>Tom Baker</v>
      </c>
      <c r="H478" s="3">
        <v>15</v>
      </c>
      <c r="I478" s="3">
        <v>1</v>
      </c>
      <c r="J478" s="3" t="str">
        <f>VLOOKUP(I478,SeasonFormats!$A$3:$B$999,2,0)</f>
        <v>Season</v>
      </c>
      <c r="K478" s="3">
        <v>97</v>
      </c>
      <c r="L478" s="3">
        <v>6</v>
      </c>
      <c r="M478" s="3" t="s">
        <v>455</v>
      </c>
      <c r="N478" s="3">
        <v>3</v>
      </c>
      <c r="O478" s="3" t="s">
        <v>11</v>
      </c>
      <c r="P478" s="3">
        <v>23</v>
      </c>
      <c r="Q478" s="7" t="d">
        <v>1978-02-18</v>
      </c>
      <c r="R478" s="3">
        <v>25</v>
      </c>
      <c r="S478" s="3"/>
      <c r="T478" s="4" t="s">
        <v>1069</v>
      </c>
      <c r="U478" s="3" t="str" cm="1">
        <f t="array" ref="U478">_xlfn.TEXTJOIN(",",TRUE,_xlfn.XLOOKUP(_xlfn.FILTERXML("&lt;t&gt;&lt;s&gt;" &amp; SUBSTITUTE(T478,",","&lt;/s&gt;&lt;s&gt;") &amp; "&lt;/s&gt;&lt;/t&gt;", "//s"),Writers!$A$3:$A$999,Writers!$B$3:$B$999,""))</f>
        <v>Anthony Read,Graham Williams</v>
      </c>
      <c r="V478" s="3">
        <v>3</v>
      </c>
      <c r="W478" s="3" t="str">
        <f>IF(V478="","",_xlfn.XLOOKUP(V478,Writers!$A$3:$A$999,Writers!$B$3:$B$999,""))</f>
        <v>David Agnew</v>
      </c>
      <c r="X478" s="3">
        <v>9.5</v>
      </c>
      <c r="Y478" s="3"/>
      <c r="Z478" s="3"/>
      <c r="AA478" s="3">
        <f t="shared" si="21"/>
        <v>11.55</v>
      </c>
      <c r="AB478" s="3" t="str">
        <f t="shared" si="22"/>
        <v/>
      </c>
      <c r="AC478" s="3" t="str">
        <f t="shared" si="23"/>
        <v/>
      </c>
      <c r="AD478" s="3">
        <f>VLOOKUP(YEAR(Q478),Populations!$A$3:$B$999,2,0)</f>
        <v>56178000</v>
      </c>
      <c r="AE478" s="3">
        <f>(Calculations!B1/AD478)</f>
        <v>1.21586621097227</v>
      </c>
      <c r="AF478" s="3"/>
      <c r="AG478" s="3">
        <v>1</v>
      </c>
      <c r="AH478" s="3" t="str">
        <f>VLOOKUP(AG478,WikiFormats!$A$3:$B$999,2,0)</f>
        <v>Story</v>
      </c>
      <c r="AI478" s="3" t="s">
        <v>682</v>
      </c>
    </row>
    <row r="479" spans="1:35" s="8" customFormat="1" x14ac:dyDescent="0.55000000000000004">
      <c r="A479" s="3">
        <v>477</v>
      </c>
      <c r="B479" s="3">
        <v>1</v>
      </c>
      <c r="C479" s="3" t="str">
        <f>VLOOKUP(B479,Eras!$A$3:$B$999,2,0)</f>
        <v>Classic</v>
      </c>
      <c r="D479" s="3">
        <v>1</v>
      </c>
      <c r="E479" s="3" t="str">
        <f>VLOOKUP(D479,EpisodeFormats!$A$3:$B$999,2,0)</f>
        <v>Series</v>
      </c>
      <c r="F479" s="3">
        <v>4</v>
      </c>
      <c r="G479" s="3" t="str">
        <f>VLOOKUP(F479,Doctors!$A$3:$B$999,2,0)</f>
        <v>Tom Baker</v>
      </c>
      <c r="H479" s="3">
        <v>15</v>
      </c>
      <c r="I479" s="3">
        <v>1</v>
      </c>
      <c r="J479" s="3" t="str">
        <f>VLOOKUP(I479,SeasonFormats!$A$3:$B$999,2,0)</f>
        <v>Season</v>
      </c>
      <c r="K479" s="3">
        <v>97</v>
      </c>
      <c r="L479" s="3">
        <v>6</v>
      </c>
      <c r="M479" s="3" t="s">
        <v>455</v>
      </c>
      <c r="N479" s="3">
        <v>4</v>
      </c>
      <c r="O479" s="3" t="s">
        <v>12</v>
      </c>
      <c r="P479" s="3">
        <v>24</v>
      </c>
      <c r="Q479" s="7" t="d">
        <v>1978-02-25</v>
      </c>
      <c r="R479" s="3">
        <v>24</v>
      </c>
      <c r="S479" s="3"/>
      <c r="T479" s="4" t="s">
        <v>1069</v>
      </c>
      <c r="U479" s="3" t="str" cm="1">
        <f t="array" ref="U479">_xlfn.TEXTJOIN(",",TRUE,_xlfn.XLOOKUP(_xlfn.FILTERXML("&lt;t&gt;&lt;s&gt;" &amp; SUBSTITUTE(T479,",","&lt;/s&gt;&lt;s&gt;") &amp; "&lt;/s&gt;&lt;/t&gt;", "//s"),Writers!$A$3:$A$999,Writers!$B$3:$B$999,""))</f>
        <v>Anthony Read,Graham Williams</v>
      </c>
      <c r="V479" s="3">
        <v>3</v>
      </c>
      <c r="W479" s="3" t="str">
        <f>IF(V479="","",_xlfn.XLOOKUP(V479,Writers!$A$3:$A$999,Writers!$B$3:$B$999,""))</f>
        <v>David Agnew</v>
      </c>
      <c r="X479" s="3">
        <v>10.9</v>
      </c>
      <c r="Y479" s="3"/>
      <c r="Z479" s="3"/>
      <c r="AA479" s="3">
        <f t="shared" si="21"/>
        <v>13.25</v>
      </c>
      <c r="AB479" s="3" t="str">
        <f t="shared" si="22"/>
        <v/>
      </c>
      <c r="AC479" s="3" t="str">
        <f t="shared" si="23"/>
        <v/>
      </c>
      <c r="AD479" s="3">
        <f>VLOOKUP(YEAR(Q479),Populations!$A$3:$B$999,2,0)</f>
        <v>56178000</v>
      </c>
      <c r="AE479" s="3">
        <f>(Calculations!B1/AD479)</f>
        <v>1.21586621097227</v>
      </c>
      <c r="AF479" s="3"/>
      <c r="AG479" s="3">
        <v>1</v>
      </c>
      <c r="AH479" s="3" t="str">
        <f>VLOOKUP(AG479,WikiFormats!$A$3:$B$999,2,0)</f>
        <v>Story</v>
      </c>
      <c r="AI479" s="3" t="s">
        <v>682</v>
      </c>
    </row>
    <row r="480" spans="1:35" s="8" customFormat="1" x14ac:dyDescent="0.55000000000000004">
      <c r="A480" s="3">
        <v>478</v>
      </c>
      <c r="B480" s="3">
        <v>1</v>
      </c>
      <c r="C480" s="3" t="str">
        <f>VLOOKUP(B480,Eras!$A$3:$B$999,2,0)</f>
        <v>Classic</v>
      </c>
      <c r="D480" s="3">
        <v>1</v>
      </c>
      <c r="E480" s="3" t="str">
        <f>VLOOKUP(D480,EpisodeFormats!$A$3:$B$999,2,0)</f>
        <v>Series</v>
      </c>
      <c r="F480" s="3">
        <v>4</v>
      </c>
      <c r="G480" s="3" t="str">
        <f>VLOOKUP(F480,Doctors!$A$3:$B$999,2,0)</f>
        <v>Tom Baker</v>
      </c>
      <c r="H480" s="3">
        <v>15</v>
      </c>
      <c r="I480" s="3">
        <v>1</v>
      </c>
      <c r="J480" s="3" t="str">
        <f>VLOOKUP(I480,SeasonFormats!$A$3:$B$999,2,0)</f>
        <v>Season</v>
      </c>
      <c r="K480" s="3">
        <v>97</v>
      </c>
      <c r="L480" s="3">
        <v>6</v>
      </c>
      <c r="M480" s="3" t="s">
        <v>455</v>
      </c>
      <c r="N480" s="3">
        <v>5</v>
      </c>
      <c r="O480" s="3" t="s">
        <v>430</v>
      </c>
      <c r="P480" s="3">
        <v>25</v>
      </c>
      <c r="Q480" s="7" t="d">
        <v>1978-03-04</v>
      </c>
      <c r="R480" s="3">
        <v>25</v>
      </c>
      <c r="S480" s="3"/>
      <c r="T480" s="4" t="s">
        <v>1069</v>
      </c>
      <c r="U480" s="3" t="str" cm="1">
        <f t="array" ref="U480">_xlfn.TEXTJOIN(",",TRUE,_xlfn.XLOOKUP(_xlfn.FILTERXML("&lt;t&gt;&lt;s&gt;" &amp; SUBSTITUTE(T480,",","&lt;/s&gt;&lt;s&gt;") &amp; "&lt;/s&gt;&lt;/t&gt;", "//s"),Writers!$A$3:$A$999,Writers!$B$3:$B$999,""))</f>
        <v>Anthony Read,Graham Williams</v>
      </c>
      <c r="V480" s="3">
        <v>3</v>
      </c>
      <c r="W480" s="3" t="str">
        <f>IF(V480="","",_xlfn.XLOOKUP(V480,Writers!$A$3:$A$999,Writers!$B$3:$B$999,""))</f>
        <v>David Agnew</v>
      </c>
      <c r="X480" s="3">
        <v>10.3</v>
      </c>
      <c r="Y480" s="3"/>
      <c r="Z480" s="3"/>
      <c r="AA480" s="3">
        <f t="shared" si="21"/>
        <v>12.52</v>
      </c>
      <c r="AB480" s="3" t="str">
        <f t="shared" si="22"/>
        <v/>
      </c>
      <c r="AC480" s="3" t="str">
        <f t="shared" si="23"/>
        <v/>
      </c>
      <c r="AD480" s="3">
        <f>VLOOKUP(YEAR(Q480),Populations!$A$3:$B$999,2,0)</f>
        <v>56178000</v>
      </c>
      <c r="AE480" s="3">
        <f>(Calculations!B1/AD480)</f>
        <v>1.21586621097227</v>
      </c>
      <c r="AF480" s="3"/>
      <c r="AG480" s="3">
        <v>1</v>
      </c>
      <c r="AH480" s="3" t="str">
        <f>VLOOKUP(AG480,WikiFormats!$A$3:$B$999,2,0)</f>
        <v>Story</v>
      </c>
      <c r="AI480" s="3" t="s">
        <v>682</v>
      </c>
    </row>
    <row r="481" spans="1:35" s="8" customFormat="1" x14ac:dyDescent="0.55000000000000004">
      <c r="A481" s="3">
        <v>479</v>
      </c>
      <c r="B481" s="3">
        <v>1</v>
      </c>
      <c r="C481" s="3" t="str">
        <f>VLOOKUP(B481,Eras!$A$3:$B$999,2,0)</f>
        <v>Classic</v>
      </c>
      <c r="D481" s="3">
        <v>1</v>
      </c>
      <c r="E481" s="3" t="str">
        <f>VLOOKUP(D481,EpisodeFormats!$A$3:$B$999,2,0)</f>
        <v>Series</v>
      </c>
      <c r="F481" s="3">
        <v>4</v>
      </c>
      <c r="G481" s="3" t="str">
        <f>VLOOKUP(F481,Doctors!$A$3:$B$999,2,0)</f>
        <v>Tom Baker</v>
      </c>
      <c r="H481" s="3">
        <v>15</v>
      </c>
      <c r="I481" s="3">
        <v>1</v>
      </c>
      <c r="J481" s="3" t="str">
        <f>VLOOKUP(I481,SeasonFormats!$A$3:$B$999,2,0)</f>
        <v>Season</v>
      </c>
      <c r="K481" s="3">
        <v>97</v>
      </c>
      <c r="L481" s="3">
        <v>6</v>
      </c>
      <c r="M481" s="3" t="s">
        <v>455</v>
      </c>
      <c r="N481" s="3">
        <v>6</v>
      </c>
      <c r="O481" s="3" t="s">
        <v>431</v>
      </c>
      <c r="P481" s="3">
        <v>26</v>
      </c>
      <c r="Q481" s="7" t="d">
        <v>1978-03-11</v>
      </c>
      <c r="R481" s="3">
        <v>26</v>
      </c>
      <c r="S481" s="3"/>
      <c r="T481" s="4" t="s">
        <v>1069</v>
      </c>
      <c r="U481" s="3" t="str" cm="1">
        <f t="array" ref="U481">_xlfn.TEXTJOIN(",",TRUE,_xlfn.XLOOKUP(_xlfn.FILTERXML("&lt;t&gt;&lt;s&gt;" &amp; SUBSTITUTE(T481,",","&lt;/s&gt;&lt;s&gt;") &amp; "&lt;/s&gt;&lt;/t&gt;", "//s"),Writers!$A$3:$A$999,Writers!$B$3:$B$999,""))</f>
        <v>Anthony Read,Graham Williams</v>
      </c>
      <c r="V481" s="3">
        <v>3</v>
      </c>
      <c r="W481" s="3" t="str">
        <f>IF(V481="","",_xlfn.XLOOKUP(V481,Writers!$A$3:$A$999,Writers!$B$3:$B$999,""))</f>
        <v>David Agnew</v>
      </c>
      <c r="X481" s="3">
        <v>9.8000000000000007</v>
      </c>
      <c r="Y481" s="3"/>
      <c r="Z481" s="3"/>
      <c r="AA481" s="3">
        <f t="shared" si="21"/>
        <v>11.92</v>
      </c>
      <c r="AB481" s="3" t="str">
        <f t="shared" si="22"/>
        <v/>
      </c>
      <c r="AC481" s="3" t="str">
        <f t="shared" si="23"/>
        <v/>
      </c>
      <c r="AD481" s="3">
        <f>VLOOKUP(YEAR(Q481),Populations!$A$3:$B$999,2,0)</f>
        <v>56178000</v>
      </c>
      <c r="AE481" s="3">
        <f>(Calculations!B1/AD481)</f>
        <v>1.21586621097227</v>
      </c>
      <c r="AF481" s="3"/>
      <c r="AG481" s="3">
        <v>1</v>
      </c>
      <c r="AH481" s="3" t="str">
        <f>VLOOKUP(AG481,WikiFormats!$A$3:$B$999,2,0)</f>
        <v>Story</v>
      </c>
      <c r="AI481" s="3" t="s">
        <v>682</v>
      </c>
    </row>
    <row r="482" spans="1:35" s="2" customFormat="1" x14ac:dyDescent="0.55000000000000004">
      <c r="A482">
        <v>480</v>
      </c>
      <c r="B482">
        <v>1</v>
      </c>
      <c r="C482" t="str">
        <f>VLOOKUP(B482,Eras!$A$3:$B$999,2,0)</f>
        <v>Classic</v>
      </c>
      <c r="D482">
        <v>1</v>
      </c>
      <c r="E482" t="str">
        <f>VLOOKUP(D482,EpisodeFormats!$A$3:$B$999,2,0)</f>
        <v>Series</v>
      </c>
      <c r="F482">
        <v>4</v>
      </c>
      <c r="G482" t="str">
        <f>VLOOKUP(F482,Doctors!$A$3:$B$999,2,0)</f>
        <v>Tom Baker</v>
      </c>
      <c r="H482">
        <v>16</v>
      </c>
      <c r="I482">
        <v>1</v>
      </c>
      <c r="J482" t="str">
        <f>VLOOKUP(I482,SeasonFormats!$A$3:$B$999,2,0)</f>
        <v>Season</v>
      </c>
      <c r="K482">
        <v>98</v>
      </c>
      <c r="L482">
        <v>1</v>
      </c>
      <c r="M482" t="s">
        <v>456</v>
      </c>
      <c r="N482">
        <v>1</v>
      </c>
      <c r="O482" t="s">
        <v>9</v>
      </c>
      <c r="P482">
        <v>1</v>
      </c>
      <c r="Q482" s="6" t="d">
        <v>1978-09-02</v>
      </c>
      <c r="R482">
        <v>25</v>
      </c>
      <c r="S482"/>
      <c r="T482" s="15" t="s">
        <v>1122</v>
      </c>
      <c r="U482" t="str" cm="1">
        <f t="array" ref="U482">_xlfn.TEXTJOIN(",",TRUE,_xlfn.XLOOKUP(_xlfn.FILTERXML("&lt;t&gt;&lt;s&gt;" &amp; SUBSTITUTE(T482,",","&lt;/s&gt;&lt;s&gt;") &amp; "&lt;/s&gt;&lt;/t&gt;", "//s"),Writers!$A$3:$A$999,Writers!$B$3:$B$999,""))</f>
        <v>Robert Holmes</v>
      </c>
      <c r="V482"/>
      <c r="W482" t="str">
        <f>IF(V482="","",_xlfn.XLOOKUP(V482,Writers!$A$3:$A$999,Writers!$B$3:$B$999,""))</f>
        <v/>
      </c>
      <c r="X482">
        <v>8.3000000000000007</v>
      </c>
      <c r="Y482"/>
      <c r="Z482"/>
      <c r="AA482">
        <f t="shared" si="21"/>
        <v>10.09</v>
      </c>
      <c r="AB482" t="str">
        <f t="shared" si="22"/>
        <v/>
      </c>
      <c r="AC482" t="str">
        <f t="shared" si="23"/>
        <v/>
      </c>
      <c r="AD482">
        <f>VLOOKUP(YEAR(Q482),Populations!$A$3:$B$999,2,0)</f>
        <v>56178000</v>
      </c>
      <c r="AE482">
        <f>(Calculations!B1/AD482)</f>
        <v>1.21586621097227</v>
      </c>
      <c r="AF482"/>
      <c r="AG482">
        <v>1</v>
      </c>
      <c r="AH482" t="str">
        <f>VLOOKUP(AG482,WikiFormats!$A$3:$B$999,2,0)</f>
        <v>Story</v>
      </c>
      <c r="AI482" t="s">
        <v>683</v>
      </c>
    </row>
    <row r="483" spans="1:35" s="2" customFormat="1" x14ac:dyDescent="0.55000000000000004">
      <c r="A483">
        <v>481</v>
      </c>
      <c r="B483">
        <v>1</v>
      </c>
      <c r="C483" t="str">
        <f>VLOOKUP(B483,Eras!$A$3:$B$999,2,0)</f>
        <v>Classic</v>
      </c>
      <c r="D483">
        <v>1</v>
      </c>
      <c r="E483" t="str">
        <f>VLOOKUP(D483,EpisodeFormats!$A$3:$B$999,2,0)</f>
        <v>Series</v>
      </c>
      <c r="F483">
        <v>4</v>
      </c>
      <c r="G483" t="str">
        <f>VLOOKUP(F483,Doctors!$A$3:$B$999,2,0)</f>
        <v>Tom Baker</v>
      </c>
      <c r="H483">
        <v>16</v>
      </c>
      <c r="I483">
        <v>1</v>
      </c>
      <c r="J483" t="str">
        <f>VLOOKUP(I483,SeasonFormats!$A$3:$B$999,2,0)</f>
        <v>Season</v>
      </c>
      <c r="K483">
        <v>98</v>
      </c>
      <c r="L483">
        <v>1</v>
      </c>
      <c r="M483" t="s">
        <v>456</v>
      </c>
      <c r="N483">
        <v>2</v>
      </c>
      <c r="O483" t="s">
        <v>10</v>
      </c>
      <c r="P483">
        <v>2</v>
      </c>
      <c r="Q483" s="6" t="d">
        <v>1978-09-09</v>
      </c>
      <c r="R483">
        <v>25</v>
      </c>
      <c r="S483"/>
      <c r="T483" s="15" t="s">
        <v>1122</v>
      </c>
      <c r="U483" t="str" cm="1">
        <f t="array" ref="U483">_xlfn.TEXTJOIN(",",TRUE,_xlfn.XLOOKUP(_xlfn.FILTERXML("&lt;t&gt;&lt;s&gt;" &amp; SUBSTITUTE(T483,",","&lt;/s&gt;&lt;s&gt;") &amp; "&lt;/s&gt;&lt;/t&gt;", "//s"),Writers!$A$3:$A$999,Writers!$B$3:$B$999,""))</f>
        <v>Robert Holmes</v>
      </c>
      <c r="V483"/>
      <c r="W483" t="str">
        <f>IF(V483="","",_xlfn.XLOOKUP(V483,Writers!$A$3:$A$999,Writers!$B$3:$B$999,""))</f>
        <v/>
      </c>
      <c r="X483">
        <v>8.1</v>
      </c>
      <c r="Y483"/>
      <c r="Z483"/>
      <c r="AA483">
        <f t="shared" si="21"/>
        <v>9.85</v>
      </c>
      <c r="AB483" t="str">
        <f t="shared" si="22"/>
        <v/>
      </c>
      <c r="AC483" t="str">
        <f t="shared" si="23"/>
        <v/>
      </c>
      <c r="AD483">
        <f>VLOOKUP(YEAR(Q483),Populations!$A$3:$B$999,2,0)</f>
        <v>56178000</v>
      </c>
      <c r="AE483">
        <f>(Calculations!B1/AD483)</f>
        <v>1.21586621097227</v>
      </c>
      <c r="AF483"/>
      <c r="AG483">
        <v>1</v>
      </c>
      <c r="AH483" t="str">
        <f>VLOOKUP(AG483,WikiFormats!$A$3:$B$999,2,0)</f>
        <v>Story</v>
      </c>
      <c r="AI483" t="s">
        <v>683</v>
      </c>
    </row>
    <row r="484" spans="1:35" s="2" customFormat="1" x14ac:dyDescent="0.55000000000000004">
      <c r="A484">
        <v>482</v>
      </c>
      <c r="B484">
        <v>1</v>
      </c>
      <c r="C484" t="str">
        <f>VLOOKUP(B484,Eras!$A$3:$B$999,2,0)</f>
        <v>Classic</v>
      </c>
      <c r="D484">
        <v>1</v>
      </c>
      <c r="E484" t="str">
        <f>VLOOKUP(D484,EpisodeFormats!$A$3:$B$999,2,0)</f>
        <v>Series</v>
      </c>
      <c r="F484">
        <v>4</v>
      </c>
      <c r="G484" t="str">
        <f>VLOOKUP(F484,Doctors!$A$3:$B$999,2,0)</f>
        <v>Tom Baker</v>
      </c>
      <c r="H484">
        <v>16</v>
      </c>
      <c r="I484">
        <v>1</v>
      </c>
      <c r="J484" t="str">
        <f>VLOOKUP(I484,SeasonFormats!$A$3:$B$999,2,0)</f>
        <v>Season</v>
      </c>
      <c r="K484">
        <v>98</v>
      </c>
      <c r="L484">
        <v>1</v>
      </c>
      <c r="M484" t="s">
        <v>456</v>
      </c>
      <c r="N484">
        <v>3</v>
      </c>
      <c r="O484" t="s">
        <v>11</v>
      </c>
      <c r="P484">
        <v>3</v>
      </c>
      <c r="Q484" s="6" t="d">
        <v>1978-09-16</v>
      </c>
      <c r="R484">
        <v>25</v>
      </c>
      <c r="S484"/>
      <c r="T484" s="15" t="s">
        <v>1122</v>
      </c>
      <c r="U484" t="str" cm="1">
        <f t="array" ref="U484">_xlfn.TEXTJOIN(",",TRUE,_xlfn.XLOOKUP(_xlfn.FILTERXML("&lt;t&gt;&lt;s&gt;" &amp; SUBSTITUTE(T484,",","&lt;/s&gt;&lt;s&gt;") &amp; "&lt;/s&gt;&lt;/t&gt;", "//s"),Writers!$A$3:$A$999,Writers!$B$3:$B$999,""))</f>
        <v>Robert Holmes</v>
      </c>
      <c r="V484"/>
      <c r="W484" t="str">
        <f>IF(V484="","",_xlfn.XLOOKUP(V484,Writers!$A$3:$A$999,Writers!$B$3:$B$999,""))</f>
        <v/>
      </c>
      <c r="X484">
        <v>7.9</v>
      </c>
      <c r="Y484"/>
      <c r="Z484"/>
      <c r="AA484">
        <f t="shared" si="21"/>
        <v>9.61</v>
      </c>
      <c r="AB484" t="str">
        <f t="shared" si="22"/>
        <v/>
      </c>
      <c r="AC484" t="str">
        <f t="shared" si="23"/>
        <v/>
      </c>
      <c r="AD484">
        <f>VLOOKUP(YEAR(Q484),Populations!$A$3:$B$999,2,0)</f>
        <v>56178000</v>
      </c>
      <c r="AE484">
        <f>(Calculations!B1/AD484)</f>
        <v>1.21586621097227</v>
      </c>
      <c r="AF484"/>
      <c r="AG484">
        <v>1</v>
      </c>
      <c r="AH484" t="str">
        <f>VLOOKUP(AG484,WikiFormats!$A$3:$B$999,2,0)</f>
        <v>Story</v>
      </c>
      <c r="AI484" t="s">
        <v>683</v>
      </c>
    </row>
    <row r="485" spans="1:35" s="2" customFormat="1" x14ac:dyDescent="0.55000000000000004">
      <c r="A485">
        <v>483</v>
      </c>
      <c r="B485">
        <v>1</v>
      </c>
      <c r="C485" t="str">
        <f>VLOOKUP(B485,Eras!$A$3:$B$999,2,0)</f>
        <v>Classic</v>
      </c>
      <c r="D485">
        <v>1</v>
      </c>
      <c r="E485" t="str">
        <f>VLOOKUP(D485,EpisodeFormats!$A$3:$B$999,2,0)</f>
        <v>Series</v>
      </c>
      <c r="F485">
        <v>4</v>
      </c>
      <c r="G485" t="str">
        <f>VLOOKUP(F485,Doctors!$A$3:$B$999,2,0)</f>
        <v>Tom Baker</v>
      </c>
      <c r="H485">
        <v>16</v>
      </c>
      <c r="I485">
        <v>1</v>
      </c>
      <c r="J485" t="str">
        <f>VLOOKUP(I485,SeasonFormats!$A$3:$B$999,2,0)</f>
        <v>Season</v>
      </c>
      <c r="K485">
        <v>98</v>
      </c>
      <c r="L485">
        <v>1</v>
      </c>
      <c r="M485" t="s">
        <v>456</v>
      </c>
      <c r="N485">
        <v>4</v>
      </c>
      <c r="O485" t="s">
        <v>12</v>
      </c>
      <c r="P485">
        <v>4</v>
      </c>
      <c r="Q485" s="6" t="d">
        <v>1978-09-23</v>
      </c>
      <c r="R485">
        <v>25</v>
      </c>
      <c r="S485"/>
      <c r="T485" s="15" t="s">
        <v>1122</v>
      </c>
      <c r="U485" t="str" cm="1">
        <f t="array" ref="U485">_xlfn.TEXTJOIN(",",TRUE,_xlfn.XLOOKUP(_xlfn.FILTERXML("&lt;t&gt;&lt;s&gt;" &amp; SUBSTITUTE(T485,",","&lt;/s&gt;&lt;s&gt;") &amp; "&lt;/s&gt;&lt;/t&gt;", "//s"),Writers!$A$3:$A$999,Writers!$B$3:$B$999,""))</f>
        <v>Robert Holmes</v>
      </c>
      <c r="V485"/>
      <c r="W485" t="str">
        <f>IF(V485="","",_xlfn.XLOOKUP(V485,Writers!$A$3:$A$999,Writers!$B$3:$B$999,""))</f>
        <v/>
      </c>
      <c r="X485">
        <v>8.1999999999999993</v>
      </c>
      <c r="Y485"/>
      <c r="Z485"/>
      <c r="AA485">
        <f t="shared" si="21"/>
        <v>9.9700000000000006</v>
      </c>
      <c r="AB485" t="str">
        <f t="shared" si="22"/>
        <v/>
      </c>
      <c r="AC485" t="str">
        <f t="shared" si="23"/>
        <v/>
      </c>
      <c r="AD485">
        <f>VLOOKUP(YEAR(Q485),Populations!$A$3:$B$999,2,0)</f>
        <v>56178000</v>
      </c>
      <c r="AE485">
        <f>(Calculations!B1/AD485)</f>
        <v>1.21586621097227</v>
      </c>
      <c r="AF485"/>
      <c r="AG485">
        <v>1</v>
      </c>
      <c r="AH485" t="str">
        <f>VLOOKUP(AG485,WikiFormats!$A$3:$B$999,2,0)</f>
        <v>Story</v>
      </c>
      <c r="AI485" t="s">
        <v>683</v>
      </c>
    </row>
    <row r="486" spans="1:35" s="8" customFormat="1" x14ac:dyDescent="0.55000000000000004">
      <c r="A486" s="3">
        <v>484</v>
      </c>
      <c r="B486" s="3">
        <v>1</v>
      </c>
      <c r="C486" s="3" t="str">
        <f>VLOOKUP(B486,Eras!$A$3:$B$999,2,0)</f>
        <v>Classic</v>
      </c>
      <c r="D486" s="3">
        <v>1</v>
      </c>
      <c r="E486" s="3" t="str">
        <f>VLOOKUP(D486,EpisodeFormats!$A$3:$B$999,2,0)</f>
        <v>Series</v>
      </c>
      <c r="F486" s="3">
        <v>4</v>
      </c>
      <c r="G486" s="3" t="str">
        <f>VLOOKUP(F486,Doctors!$A$3:$B$999,2,0)</f>
        <v>Tom Baker</v>
      </c>
      <c r="H486" s="3">
        <v>16</v>
      </c>
      <c r="I486" s="3">
        <v>1</v>
      </c>
      <c r="J486" s="3" t="str">
        <f>VLOOKUP(I486,SeasonFormats!$A$3:$B$999,2,0)</f>
        <v>Season</v>
      </c>
      <c r="K486" s="3">
        <v>99</v>
      </c>
      <c r="L486" s="3">
        <v>2</v>
      </c>
      <c r="M486" s="3" t="s">
        <v>457</v>
      </c>
      <c r="N486" s="3">
        <v>1</v>
      </c>
      <c r="O486" s="3" t="s">
        <v>9</v>
      </c>
      <c r="P486" s="3">
        <v>5</v>
      </c>
      <c r="Q486" s="7" t="d">
        <v>1978-09-30</v>
      </c>
      <c r="R486" s="3">
        <v>25</v>
      </c>
      <c r="S486" s="3"/>
      <c r="T486" s="4">
        <v>2</v>
      </c>
      <c r="U486" s="3" t="str" cm="1">
        <f t="array" ref="U486">_xlfn.TEXTJOIN(",",TRUE,_xlfn.XLOOKUP(_xlfn.FILTERXML("&lt;t&gt;&lt;s&gt;" &amp; SUBSTITUTE(T486,",","&lt;/s&gt;&lt;s&gt;") &amp; "&lt;/s&gt;&lt;/t&gt;", "//s"),Writers!$A$3:$A$999,Writers!$B$3:$B$999,""))</f>
        <v>Douglas Adams</v>
      </c>
      <c r="V486" s="3"/>
      <c r="W486" s="3" t="str">
        <f>IF(V486="","",_xlfn.XLOOKUP(V486,Writers!$A$3:$A$999,Writers!$B$3:$B$999,""))</f>
        <v/>
      </c>
      <c r="X486" s="3">
        <v>9.1</v>
      </c>
      <c r="Y486" s="3"/>
      <c r="Z486" s="3"/>
      <c r="AA486" s="3">
        <f t="shared" si="21"/>
        <v>11.06</v>
      </c>
      <c r="AB486" s="3" t="str">
        <f t="shared" si="22"/>
        <v/>
      </c>
      <c r="AC486" s="3" t="str">
        <f t="shared" si="23"/>
        <v/>
      </c>
      <c r="AD486" s="3">
        <f>VLOOKUP(YEAR(Q486),Populations!$A$3:$B$999,2,0)</f>
        <v>56178000</v>
      </c>
      <c r="AE486" s="3">
        <f>(Calculations!B1/AD486)</f>
        <v>1.21586621097227</v>
      </c>
      <c r="AF486" s="3"/>
      <c r="AG486" s="3">
        <v>1</v>
      </c>
      <c r="AH486" s="3" t="str">
        <f>VLOOKUP(AG486,WikiFormats!$A$3:$B$999,2,0)</f>
        <v>Story</v>
      </c>
      <c r="AI486" s="3" t="s">
        <v>684</v>
      </c>
    </row>
    <row r="487" spans="1:35" s="8" customFormat="1" x14ac:dyDescent="0.55000000000000004">
      <c r="A487" s="3">
        <v>485</v>
      </c>
      <c r="B487" s="3">
        <v>1</v>
      </c>
      <c r="C487" s="3" t="str">
        <f>VLOOKUP(B487,Eras!$A$3:$B$999,2,0)</f>
        <v>Classic</v>
      </c>
      <c r="D487" s="3">
        <v>1</v>
      </c>
      <c r="E487" s="3" t="str">
        <f>VLOOKUP(D487,EpisodeFormats!$A$3:$B$999,2,0)</f>
        <v>Series</v>
      </c>
      <c r="F487" s="3">
        <v>4</v>
      </c>
      <c r="G487" s="3" t="str">
        <f>VLOOKUP(F487,Doctors!$A$3:$B$999,2,0)</f>
        <v>Tom Baker</v>
      </c>
      <c r="H487" s="3">
        <v>16</v>
      </c>
      <c r="I487" s="3">
        <v>1</v>
      </c>
      <c r="J487" s="3" t="str">
        <f>VLOOKUP(I487,SeasonFormats!$A$3:$B$999,2,0)</f>
        <v>Season</v>
      </c>
      <c r="K487" s="3">
        <v>99</v>
      </c>
      <c r="L487" s="3">
        <v>2</v>
      </c>
      <c r="M487" s="3" t="s">
        <v>457</v>
      </c>
      <c r="N487" s="3">
        <v>2</v>
      </c>
      <c r="O487" s="3" t="s">
        <v>10</v>
      </c>
      <c r="P487" s="3">
        <v>6</v>
      </c>
      <c r="Q487" s="7" t="d">
        <v>1978-10-07</v>
      </c>
      <c r="R487" s="3">
        <v>26</v>
      </c>
      <c r="S487" s="3"/>
      <c r="T487" s="4">
        <v>2</v>
      </c>
      <c r="U487" s="3" t="str" cm="1">
        <f t="array" ref="U487">_xlfn.TEXTJOIN(",",TRUE,_xlfn.XLOOKUP(_xlfn.FILTERXML("&lt;t&gt;&lt;s&gt;" &amp; SUBSTITUTE(T487,",","&lt;/s&gt;&lt;s&gt;") &amp; "&lt;/s&gt;&lt;/t&gt;", "//s"),Writers!$A$3:$A$999,Writers!$B$3:$B$999,""))</f>
        <v>Douglas Adams</v>
      </c>
      <c r="V487" s="3"/>
      <c r="W487" s="3" t="str">
        <f>IF(V487="","",_xlfn.XLOOKUP(V487,Writers!$A$3:$A$999,Writers!$B$3:$B$999,""))</f>
        <v/>
      </c>
      <c r="X487" s="3">
        <v>7.4</v>
      </c>
      <c r="Y487" s="3"/>
      <c r="Z487" s="3"/>
      <c r="AA487" s="3">
        <f t="shared" si="21"/>
        <v>9</v>
      </c>
      <c r="AB487" s="3" t="str">
        <f t="shared" si="22"/>
        <v/>
      </c>
      <c r="AC487" s="3" t="str">
        <f t="shared" si="23"/>
        <v/>
      </c>
      <c r="AD487" s="3">
        <f>VLOOKUP(YEAR(Q487),Populations!$A$3:$B$999,2,0)</f>
        <v>56178000</v>
      </c>
      <c r="AE487" s="3">
        <f>(Calculations!B1/AD487)</f>
        <v>1.21586621097227</v>
      </c>
      <c r="AF487" s="3"/>
      <c r="AG487" s="3">
        <v>1</v>
      </c>
      <c r="AH487" s="3" t="str">
        <f>VLOOKUP(AG487,WikiFormats!$A$3:$B$999,2,0)</f>
        <v>Story</v>
      </c>
      <c r="AI487" s="3" t="s">
        <v>684</v>
      </c>
    </row>
    <row r="488" spans="1:35" s="8" customFormat="1" x14ac:dyDescent="0.55000000000000004">
      <c r="A488" s="3">
        <v>486</v>
      </c>
      <c r="B488" s="3">
        <v>1</v>
      </c>
      <c r="C488" s="3" t="str">
        <f>VLOOKUP(B488,Eras!$A$3:$B$999,2,0)</f>
        <v>Classic</v>
      </c>
      <c r="D488" s="3">
        <v>1</v>
      </c>
      <c r="E488" s="3" t="str">
        <f>VLOOKUP(D488,EpisodeFormats!$A$3:$B$999,2,0)</f>
        <v>Series</v>
      </c>
      <c r="F488" s="3">
        <v>4</v>
      </c>
      <c r="G488" s="3" t="str">
        <f>VLOOKUP(F488,Doctors!$A$3:$B$999,2,0)</f>
        <v>Tom Baker</v>
      </c>
      <c r="H488" s="3">
        <v>16</v>
      </c>
      <c r="I488" s="3">
        <v>1</v>
      </c>
      <c r="J488" s="3" t="str">
        <f>VLOOKUP(I488,SeasonFormats!$A$3:$B$999,2,0)</f>
        <v>Season</v>
      </c>
      <c r="K488" s="3">
        <v>99</v>
      </c>
      <c r="L488" s="3">
        <v>2</v>
      </c>
      <c r="M488" s="3" t="s">
        <v>457</v>
      </c>
      <c r="N488" s="3">
        <v>3</v>
      </c>
      <c r="O488" s="3" t="s">
        <v>11</v>
      </c>
      <c r="P488" s="3">
        <v>7</v>
      </c>
      <c r="Q488" s="7" t="d">
        <v>1978-10-14</v>
      </c>
      <c r="R488" s="3">
        <v>26</v>
      </c>
      <c r="S488" s="3"/>
      <c r="T488" s="4">
        <v>2</v>
      </c>
      <c r="U488" s="3" t="str" cm="1">
        <f t="array" ref="U488">_xlfn.TEXTJOIN(",",TRUE,_xlfn.XLOOKUP(_xlfn.FILTERXML("&lt;t&gt;&lt;s&gt;" &amp; SUBSTITUTE(T488,",","&lt;/s&gt;&lt;s&gt;") &amp; "&lt;/s&gt;&lt;/t&gt;", "//s"),Writers!$A$3:$A$999,Writers!$B$3:$B$999,""))</f>
        <v>Douglas Adams</v>
      </c>
      <c r="V488" s="3"/>
      <c r="W488" s="3" t="str">
        <f>IF(V488="","",_xlfn.XLOOKUP(V488,Writers!$A$3:$A$999,Writers!$B$3:$B$999,""))</f>
        <v/>
      </c>
      <c r="X488" s="3">
        <v>8.1999999999999993</v>
      </c>
      <c r="Y488" s="3"/>
      <c r="Z488" s="3"/>
      <c r="AA488" s="3">
        <f t="shared" si="21"/>
        <v>9.9700000000000006</v>
      </c>
      <c r="AB488" s="3" t="str">
        <f t="shared" si="22"/>
        <v/>
      </c>
      <c r="AC488" s="3" t="str">
        <f t="shared" si="23"/>
        <v/>
      </c>
      <c r="AD488" s="3">
        <f>VLOOKUP(YEAR(Q488),Populations!$A$3:$B$999,2,0)</f>
        <v>56178000</v>
      </c>
      <c r="AE488" s="3">
        <f>(Calculations!B1/AD488)</f>
        <v>1.21586621097227</v>
      </c>
      <c r="AF488" s="3"/>
      <c r="AG488" s="3">
        <v>1</v>
      </c>
      <c r="AH488" s="3" t="str">
        <f>VLOOKUP(AG488,WikiFormats!$A$3:$B$999,2,0)</f>
        <v>Story</v>
      </c>
      <c r="AI488" s="3" t="s">
        <v>684</v>
      </c>
    </row>
    <row r="489" spans="1:35" s="8" customFormat="1" x14ac:dyDescent="0.55000000000000004">
      <c r="A489" s="3">
        <v>487</v>
      </c>
      <c r="B489" s="3">
        <v>1</v>
      </c>
      <c r="C489" s="3" t="str">
        <f>VLOOKUP(B489,Eras!$A$3:$B$999,2,0)</f>
        <v>Classic</v>
      </c>
      <c r="D489" s="3">
        <v>1</v>
      </c>
      <c r="E489" s="3" t="str">
        <f>VLOOKUP(D489,EpisodeFormats!$A$3:$B$999,2,0)</f>
        <v>Series</v>
      </c>
      <c r="F489" s="3">
        <v>4</v>
      </c>
      <c r="G489" s="3" t="str">
        <f>VLOOKUP(F489,Doctors!$A$3:$B$999,2,0)</f>
        <v>Tom Baker</v>
      </c>
      <c r="H489" s="3">
        <v>16</v>
      </c>
      <c r="I489" s="3">
        <v>1</v>
      </c>
      <c r="J489" s="3" t="str">
        <f>VLOOKUP(I489,SeasonFormats!$A$3:$B$999,2,0)</f>
        <v>Season</v>
      </c>
      <c r="K489" s="3">
        <v>99</v>
      </c>
      <c r="L489" s="3">
        <v>2</v>
      </c>
      <c r="M489" s="3" t="s">
        <v>457</v>
      </c>
      <c r="N489" s="3">
        <v>4</v>
      </c>
      <c r="O489" s="3" t="s">
        <v>12</v>
      </c>
      <c r="P489" s="3">
        <v>8</v>
      </c>
      <c r="Q489" s="7" t="d">
        <v>1978-10-21</v>
      </c>
      <c r="R489" s="3">
        <v>25</v>
      </c>
      <c r="S489" s="3"/>
      <c r="T489" s="4">
        <v>2</v>
      </c>
      <c r="U489" s="3" t="str" cm="1">
        <f t="array" ref="U489">_xlfn.TEXTJOIN(",",TRUE,_xlfn.XLOOKUP(_xlfn.FILTERXML("&lt;t&gt;&lt;s&gt;" &amp; SUBSTITUTE(T489,",","&lt;/s&gt;&lt;s&gt;") &amp; "&lt;/s&gt;&lt;/t&gt;", "//s"),Writers!$A$3:$A$999,Writers!$B$3:$B$999,""))</f>
        <v>Douglas Adams</v>
      </c>
      <c r="V489" s="3"/>
      <c r="W489" s="3" t="str">
        <f>IF(V489="","",_xlfn.XLOOKUP(V489,Writers!$A$3:$A$999,Writers!$B$3:$B$999,""))</f>
        <v/>
      </c>
      <c r="X489" s="3">
        <v>8.4</v>
      </c>
      <c r="Y489" s="3"/>
      <c r="Z489" s="3"/>
      <c r="AA489" s="3">
        <f t="shared" si="21"/>
        <v>10.210000000000001</v>
      </c>
      <c r="AB489" s="3" t="str">
        <f t="shared" si="22"/>
        <v/>
      </c>
      <c r="AC489" s="3" t="str">
        <f t="shared" si="23"/>
        <v/>
      </c>
      <c r="AD489" s="3">
        <f>VLOOKUP(YEAR(Q489),Populations!$A$3:$B$999,2,0)</f>
        <v>56178000</v>
      </c>
      <c r="AE489" s="3">
        <f>(Calculations!B1/AD489)</f>
        <v>1.21586621097227</v>
      </c>
      <c r="AF489" s="3"/>
      <c r="AG489" s="3">
        <v>1</v>
      </c>
      <c r="AH489" s="3" t="str">
        <f>VLOOKUP(AG489,WikiFormats!$A$3:$B$999,2,0)</f>
        <v>Story</v>
      </c>
      <c r="AI489" s="3" t="s">
        <v>684</v>
      </c>
    </row>
    <row r="490" spans="1:35" s="2" customFormat="1" x14ac:dyDescent="0.55000000000000004">
      <c r="A490">
        <v>488</v>
      </c>
      <c r="B490">
        <v>1</v>
      </c>
      <c r="C490" t="str">
        <f>VLOOKUP(B490,Eras!$A$3:$B$999,2,0)</f>
        <v>Classic</v>
      </c>
      <c r="D490">
        <v>1</v>
      </c>
      <c r="E490" t="str">
        <f>VLOOKUP(D490,EpisodeFormats!$A$3:$B$999,2,0)</f>
        <v>Series</v>
      </c>
      <c r="F490">
        <v>4</v>
      </c>
      <c r="G490" t="str">
        <f>VLOOKUP(F490,Doctors!$A$3:$B$999,2,0)</f>
        <v>Tom Baker</v>
      </c>
      <c r="H490">
        <v>16</v>
      </c>
      <c r="I490">
        <v>1</v>
      </c>
      <c r="J490" t="str">
        <f>VLOOKUP(I490,SeasonFormats!$A$3:$B$999,2,0)</f>
        <v>Season</v>
      </c>
      <c r="K490">
        <v>100</v>
      </c>
      <c r="L490">
        <v>3</v>
      </c>
      <c r="M490" t="s">
        <v>458</v>
      </c>
      <c r="N490">
        <v>1</v>
      </c>
      <c r="O490" t="s">
        <v>9</v>
      </c>
      <c r="P490">
        <v>9</v>
      </c>
      <c r="Q490" s="6" t="d">
        <v>1978-10-28</v>
      </c>
      <c r="R490">
        <v>24</v>
      </c>
      <c r="S490"/>
      <c r="T490" s="15" t="s">
        <v>1111</v>
      </c>
      <c r="U490" t="str" cm="1">
        <f t="array" ref="U490">_xlfn.TEXTJOIN(",",TRUE,_xlfn.XLOOKUP(_xlfn.FILTERXML("&lt;t&gt;&lt;s&gt;" &amp; SUBSTITUTE(T490,",","&lt;/s&gt;&lt;s&gt;") &amp; "&lt;/s&gt;&lt;/t&gt;", "//s"),Writers!$A$3:$A$999,Writers!$B$3:$B$999,""))</f>
        <v>David Fisher</v>
      </c>
      <c r="V490"/>
      <c r="W490" t="str">
        <f>IF(V490="","",_xlfn.XLOOKUP(V490,Writers!$A$3:$A$999,Writers!$B$3:$B$999,""))</f>
        <v/>
      </c>
      <c r="X490">
        <v>8.6</v>
      </c>
      <c r="Y490"/>
      <c r="Z490"/>
      <c r="AA490">
        <f t="shared" si="21"/>
        <v>10.46</v>
      </c>
      <c r="AB490" t="str">
        <f t="shared" si="22"/>
        <v/>
      </c>
      <c r="AC490" t="str">
        <f t="shared" si="23"/>
        <v/>
      </c>
      <c r="AD490">
        <f>VLOOKUP(YEAR(Q490),Populations!$A$3:$B$999,2,0)</f>
        <v>56178000</v>
      </c>
      <c r="AE490">
        <f>(Calculations!B1/AD490)</f>
        <v>1.21586621097227</v>
      </c>
      <c r="AF490"/>
      <c r="AG490">
        <v>1</v>
      </c>
      <c r="AH490" t="str">
        <f>VLOOKUP(AG490,WikiFormats!$A$3:$B$999,2,0)</f>
        <v>Story</v>
      </c>
      <c r="AI490" t="s">
        <v>685</v>
      </c>
    </row>
    <row r="491" spans="1:35" s="2" customFormat="1" x14ac:dyDescent="0.55000000000000004">
      <c r="A491">
        <v>489</v>
      </c>
      <c r="B491">
        <v>1</v>
      </c>
      <c r="C491" t="str">
        <f>VLOOKUP(B491,Eras!$A$3:$B$999,2,0)</f>
        <v>Classic</v>
      </c>
      <c r="D491">
        <v>1</v>
      </c>
      <c r="E491" t="str">
        <f>VLOOKUP(D491,EpisodeFormats!$A$3:$B$999,2,0)</f>
        <v>Series</v>
      </c>
      <c r="F491">
        <v>4</v>
      </c>
      <c r="G491" t="str">
        <f>VLOOKUP(F491,Doctors!$A$3:$B$999,2,0)</f>
        <v>Tom Baker</v>
      </c>
      <c r="H491">
        <v>16</v>
      </c>
      <c r="I491">
        <v>1</v>
      </c>
      <c r="J491" t="str">
        <f>VLOOKUP(I491,SeasonFormats!$A$3:$B$999,2,0)</f>
        <v>Season</v>
      </c>
      <c r="K491">
        <v>100</v>
      </c>
      <c r="L491">
        <v>3</v>
      </c>
      <c r="M491" t="s">
        <v>458</v>
      </c>
      <c r="N491">
        <v>2</v>
      </c>
      <c r="O491" t="s">
        <v>10</v>
      </c>
      <c r="P491">
        <v>10</v>
      </c>
      <c r="Q491" s="6" t="d">
        <v>1978-11-04</v>
      </c>
      <c r="R491">
        <v>24</v>
      </c>
      <c r="S491"/>
      <c r="T491" s="15" t="s">
        <v>1111</v>
      </c>
      <c r="U491" t="str" cm="1">
        <f t="array" ref="U491">_xlfn.TEXTJOIN(",",TRUE,_xlfn.XLOOKUP(_xlfn.FILTERXML("&lt;t&gt;&lt;s&gt;" &amp; SUBSTITUTE(T491,",","&lt;/s&gt;&lt;s&gt;") &amp; "&lt;/s&gt;&lt;/t&gt;", "//s"),Writers!$A$3:$A$999,Writers!$B$3:$B$999,""))</f>
        <v>David Fisher</v>
      </c>
      <c r="V491"/>
      <c r="W491" t="str">
        <f>IF(V491="","",_xlfn.XLOOKUP(V491,Writers!$A$3:$A$999,Writers!$B$3:$B$999,""))</f>
        <v/>
      </c>
      <c r="X491">
        <v>6.6</v>
      </c>
      <c r="Y491"/>
      <c r="Z491"/>
      <c r="AA491">
        <f t="shared" si="21"/>
        <v>8.02</v>
      </c>
      <c r="AB491" t="str">
        <f t="shared" si="22"/>
        <v/>
      </c>
      <c r="AC491" t="str">
        <f t="shared" si="23"/>
        <v/>
      </c>
      <c r="AD491">
        <f>VLOOKUP(YEAR(Q491),Populations!$A$3:$B$999,2,0)</f>
        <v>56178000</v>
      </c>
      <c r="AE491">
        <f>(Calculations!B1/AD491)</f>
        <v>1.21586621097227</v>
      </c>
      <c r="AF491"/>
      <c r="AG491">
        <v>1</v>
      </c>
      <c r="AH491" t="str">
        <f>VLOOKUP(AG491,WikiFormats!$A$3:$B$999,2,0)</f>
        <v>Story</v>
      </c>
      <c r="AI491" t="s">
        <v>685</v>
      </c>
    </row>
    <row r="492" spans="1:35" s="2" customFormat="1" x14ac:dyDescent="0.55000000000000004">
      <c r="A492">
        <v>490</v>
      </c>
      <c r="B492">
        <v>1</v>
      </c>
      <c r="C492" t="str">
        <f>VLOOKUP(B492,Eras!$A$3:$B$999,2,0)</f>
        <v>Classic</v>
      </c>
      <c r="D492">
        <v>1</v>
      </c>
      <c r="E492" t="str">
        <f>VLOOKUP(D492,EpisodeFormats!$A$3:$B$999,2,0)</f>
        <v>Series</v>
      </c>
      <c r="F492">
        <v>4</v>
      </c>
      <c r="G492" t="str">
        <f>VLOOKUP(F492,Doctors!$A$3:$B$999,2,0)</f>
        <v>Tom Baker</v>
      </c>
      <c r="H492">
        <v>16</v>
      </c>
      <c r="I492">
        <v>1</v>
      </c>
      <c r="J492" t="str">
        <f>VLOOKUP(I492,SeasonFormats!$A$3:$B$999,2,0)</f>
        <v>Season</v>
      </c>
      <c r="K492">
        <v>100</v>
      </c>
      <c r="L492">
        <v>3</v>
      </c>
      <c r="M492" t="s">
        <v>458</v>
      </c>
      <c r="N492">
        <v>3</v>
      </c>
      <c r="O492" t="s">
        <v>11</v>
      </c>
      <c r="P492">
        <v>11</v>
      </c>
      <c r="Q492" s="6" t="d">
        <v>1978-11-11</v>
      </c>
      <c r="R492">
        <v>24</v>
      </c>
      <c r="S492"/>
      <c r="T492" s="15" t="s">
        <v>1111</v>
      </c>
      <c r="U492" t="str" cm="1">
        <f t="array" ref="U492">_xlfn.TEXTJOIN(",",TRUE,_xlfn.XLOOKUP(_xlfn.FILTERXML("&lt;t&gt;&lt;s&gt;" &amp; SUBSTITUTE(T492,",","&lt;/s&gt;&lt;s&gt;") &amp; "&lt;/s&gt;&lt;/t&gt;", "//s"),Writers!$A$3:$A$999,Writers!$B$3:$B$999,""))</f>
        <v>David Fisher</v>
      </c>
      <c r="V492"/>
      <c r="W492" t="str">
        <f>IF(V492="","",_xlfn.XLOOKUP(V492,Writers!$A$3:$A$999,Writers!$B$3:$B$999,""))</f>
        <v/>
      </c>
      <c r="X492">
        <v>9.3000000000000007</v>
      </c>
      <c r="Y492"/>
      <c r="Z492"/>
      <c r="AA492">
        <f t="shared" si="21"/>
        <v>11.31</v>
      </c>
      <c r="AB492" t="str">
        <f t="shared" si="22"/>
        <v/>
      </c>
      <c r="AC492" t="str">
        <f t="shared" si="23"/>
        <v/>
      </c>
      <c r="AD492">
        <f>VLOOKUP(YEAR(Q492),Populations!$A$3:$B$999,2,0)</f>
        <v>56178000</v>
      </c>
      <c r="AE492">
        <f>(Calculations!B1/AD492)</f>
        <v>1.21586621097227</v>
      </c>
      <c r="AF492"/>
      <c r="AG492">
        <v>1</v>
      </c>
      <c r="AH492" t="str">
        <f>VLOOKUP(AG492,WikiFormats!$A$3:$B$999,2,0)</f>
        <v>Story</v>
      </c>
      <c r="AI492" t="s">
        <v>685</v>
      </c>
    </row>
    <row r="493" spans="1:35" s="2" customFormat="1" x14ac:dyDescent="0.55000000000000004">
      <c r="A493">
        <v>491</v>
      </c>
      <c r="B493">
        <v>1</v>
      </c>
      <c r="C493" t="str">
        <f>VLOOKUP(B493,Eras!$A$3:$B$999,2,0)</f>
        <v>Classic</v>
      </c>
      <c r="D493">
        <v>1</v>
      </c>
      <c r="E493" t="str">
        <f>VLOOKUP(D493,EpisodeFormats!$A$3:$B$999,2,0)</f>
        <v>Series</v>
      </c>
      <c r="F493">
        <v>4</v>
      </c>
      <c r="G493" t="str">
        <f>VLOOKUP(F493,Doctors!$A$3:$B$999,2,0)</f>
        <v>Tom Baker</v>
      </c>
      <c r="H493">
        <v>16</v>
      </c>
      <c r="I493">
        <v>1</v>
      </c>
      <c r="J493" t="str">
        <f>VLOOKUP(I493,SeasonFormats!$A$3:$B$999,2,0)</f>
        <v>Season</v>
      </c>
      <c r="K493">
        <v>100</v>
      </c>
      <c r="L493">
        <v>3</v>
      </c>
      <c r="M493" t="s">
        <v>458</v>
      </c>
      <c r="N493">
        <v>4</v>
      </c>
      <c r="O493" t="s">
        <v>12</v>
      </c>
      <c r="P493">
        <v>12</v>
      </c>
      <c r="Q493" s="6" t="d">
        <v>1978-11-18</v>
      </c>
      <c r="R493">
        <v>23</v>
      </c>
      <c r="S493"/>
      <c r="T493" s="15" t="s">
        <v>1111</v>
      </c>
      <c r="U493" t="str" cm="1">
        <f t="array" ref="U493">_xlfn.TEXTJOIN(",",TRUE,_xlfn.XLOOKUP(_xlfn.FILTERXML("&lt;t&gt;&lt;s&gt;" &amp; SUBSTITUTE(T493,",","&lt;/s&gt;&lt;s&gt;") &amp; "&lt;/s&gt;&lt;/t&gt;", "//s"),Writers!$A$3:$A$999,Writers!$B$3:$B$999,""))</f>
        <v>David Fisher</v>
      </c>
      <c r="V493"/>
      <c r="W493" t="str">
        <f>IF(V493="","",_xlfn.XLOOKUP(V493,Writers!$A$3:$A$999,Writers!$B$3:$B$999,""))</f>
        <v/>
      </c>
      <c r="X493">
        <v>7.6</v>
      </c>
      <c r="Y493"/>
      <c r="Z493"/>
      <c r="AA493">
        <f t="shared" si="21"/>
        <v>9.24</v>
      </c>
      <c r="AB493" t="str">
        <f t="shared" si="22"/>
        <v/>
      </c>
      <c r="AC493" t="str">
        <f t="shared" si="23"/>
        <v/>
      </c>
      <c r="AD493">
        <f>VLOOKUP(YEAR(Q493),Populations!$A$3:$B$999,2,0)</f>
        <v>56178000</v>
      </c>
      <c r="AE493">
        <f>(Calculations!B1/AD493)</f>
        <v>1.21586621097227</v>
      </c>
      <c r="AF493"/>
      <c r="AG493">
        <v>1</v>
      </c>
      <c r="AH493" t="str">
        <f>VLOOKUP(AG493,WikiFormats!$A$3:$B$999,2,0)</f>
        <v>Story</v>
      </c>
      <c r="AI493" t="s">
        <v>685</v>
      </c>
    </row>
    <row r="494" spans="1:35" s="8" customFormat="1" x14ac:dyDescent="0.55000000000000004">
      <c r="A494" s="3">
        <v>492</v>
      </c>
      <c r="B494" s="3">
        <v>1</v>
      </c>
      <c r="C494" s="3" t="str">
        <f>VLOOKUP(B494,Eras!$A$3:$B$999,2,0)</f>
        <v>Classic</v>
      </c>
      <c r="D494" s="3">
        <v>1</v>
      </c>
      <c r="E494" s="3" t="str">
        <f>VLOOKUP(D494,EpisodeFormats!$A$3:$B$999,2,0)</f>
        <v>Series</v>
      </c>
      <c r="F494" s="3">
        <v>4</v>
      </c>
      <c r="G494" s="3" t="str">
        <f>VLOOKUP(F494,Doctors!$A$3:$B$999,2,0)</f>
        <v>Tom Baker</v>
      </c>
      <c r="H494" s="3">
        <v>16</v>
      </c>
      <c r="I494" s="3">
        <v>1</v>
      </c>
      <c r="J494" s="3" t="str">
        <f>VLOOKUP(I494,SeasonFormats!$A$3:$B$999,2,0)</f>
        <v>Season</v>
      </c>
      <c r="K494" s="3">
        <v>101</v>
      </c>
      <c r="L494" s="3">
        <v>4</v>
      </c>
      <c r="M494" s="3" t="s">
        <v>459</v>
      </c>
      <c r="N494" s="3">
        <v>1</v>
      </c>
      <c r="O494" s="3" t="s">
        <v>9</v>
      </c>
      <c r="P494" s="3">
        <v>13</v>
      </c>
      <c r="Q494" s="7" t="d">
        <v>1978-11-25</v>
      </c>
      <c r="R494" s="3">
        <v>25</v>
      </c>
      <c r="S494" s="3"/>
      <c r="T494" s="4" t="s">
        <v>1111</v>
      </c>
      <c r="U494" s="3" t="str" cm="1">
        <f t="array" ref="U494">_xlfn.TEXTJOIN(",",TRUE,_xlfn.XLOOKUP(_xlfn.FILTERXML("&lt;t&gt;&lt;s&gt;" &amp; SUBSTITUTE(T494,",","&lt;/s&gt;&lt;s&gt;") &amp; "&lt;/s&gt;&lt;/t&gt;", "//s"),Writers!$A$3:$A$999,Writers!$B$3:$B$999,""))</f>
        <v>David Fisher</v>
      </c>
      <c r="V494" s="3"/>
      <c r="W494" s="3" t="str">
        <f>IF(V494="","",_xlfn.XLOOKUP(V494,Writers!$A$3:$A$999,Writers!$B$3:$B$999,""))</f>
        <v/>
      </c>
      <c r="X494" s="3">
        <v>9.5</v>
      </c>
      <c r="Y494" s="3"/>
      <c r="Z494" s="3"/>
      <c r="AA494" s="3">
        <f t="shared" si="21"/>
        <v>11.55</v>
      </c>
      <c r="AB494" s="3" t="str">
        <f t="shared" si="22"/>
        <v/>
      </c>
      <c r="AC494" s="3" t="str">
        <f t="shared" si="23"/>
        <v/>
      </c>
      <c r="AD494" s="3">
        <f>VLOOKUP(YEAR(Q494),Populations!$A$3:$B$999,2,0)</f>
        <v>56178000</v>
      </c>
      <c r="AE494" s="3">
        <f>(Calculations!B1/AD494)</f>
        <v>1.21586621097227</v>
      </c>
      <c r="AF494" s="3" t="s">
        <v>523</v>
      </c>
      <c r="AG494" s="3">
        <v>1</v>
      </c>
      <c r="AH494" s="3" t="str">
        <f>VLOOKUP(AG494,WikiFormats!$A$3:$B$999,2,0)</f>
        <v>Story</v>
      </c>
      <c r="AI494" s="3" t="s">
        <v>686</v>
      </c>
    </row>
    <row r="495" spans="1:35" s="8" customFormat="1" x14ac:dyDescent="0.55000000000000004">
      <c r="A495" s="3">
        <v>493</v>
      </c>
      <c r="B495" s="3">
        <v>1</v>
      </c>
      <c r="C495" s="3" t="str">
        <f>VLOOKUP(B495,Eras!$A$3:$B$999,2,0)</f>
        <v>Classic</v>
      </c>
      <c r="D495" s="3">
        <v>1</v>
      </c>
      <c r="E495" s="3" t="str">
        <f>VLOOKUP(D495,EpisodeFormats!$A$3:$B$999,2,0)</f>
        <v>Series</v>
      </c>
      <c r="F495" s="3">
        <v>4</v>
      </c>
      <c r="G495" s="3" t="str">
        <f>VLOOKUP(F495,Doctors!$A$3:$B$999,2,0)</f>
        <v>Tom Baker</v>
      </c>
      <c r="H495" s="3">
        <v>16</v>
      </c>
      <c r="I495" s="3">
        <v>1</v>
      </c>
      <c r="J495" s="3" t="str">
        <f>VLOOKUP(I495,SeasonFormats!$A$3:$B$999,2,0)</f>
        <v>Season</v>
      </c>
      <c r="K495" s="3">
        <v>101</v>
      </c>
      <c r="L495" s="3">
        <v>4</v>
      </c>
      <c r="M495" s="3" t="s">
        <v>459</v>
      </c>
      <c r="N495" s="3">
        <v>2</v>
      </c>
      <c r="O495" s="3" t="s">
        <v>10</v>
      </c>
      <c r="P495" s="3">
        <v>14</v>
      </c>
      <c r="Q495" s="7" t="d">
        <v>1978-12-02</v>
      </c>
      <c r="R495" s="3">
        <v>24</v>
      </c>
      <c r="S495" s="3"/>
      <c r="T495" s="4" t="s">
        <v>1111</v>
      </c>
      <c r="U495" s="3" t="str" cm="1">
        <f t="array" ref="U495">_xlfn.TEXTJOIN(",",TRUE,_xlfn.XLOOKUP(_xlfn.FILTERXML("&lt;t&gt;&lt;s&gt;" &amp; SUBSTITUTE(T495,",","&lt;/s&gt;&lt;s&gt;") &amp; "&lt;/s&gt;&lt;/t&gt;", "//s"),Writers!$A$3:$A$999,Writers!$B$3:$B$999,""))</f>
        <v>David Fisher</v>
      </c>
      <c r="V495" s="3"/>
      <c r="W495" s="3" t="str">
        <f>IF(V495="","",_xlfn.XLOOKUP(V495,Writers!$A$3:$A$999,Writers!$B$3:$B$999,""))</f>
        <v/>
      </c>
      <c r="X495" s="3">
        <v>10.1</v>
      </c>
      <c r="Y495" s="3"/>
      <c r="Z495" s="3"/>
      <c r="AA495" s="3">
        <f t="shared" si="21"/>
        <v>12.28</v>
      </c>
      <c r="AB495" s="3" t="str">
        <f t="shared" si="22"/>
        <v/>
      </c>
      <c r="AC495" s="3" t="str">
        <f t="shared" si="23"/>
        <v/>
      </c>
      <c r="AD495" s="3">
        <f>VLOOKUP(YEAR(Q495),Populations!$A$3:$B$999,2,0)</f>
        <v>56178000</v>
      </c>
      <c r="AE495" s="3">
        <f>(Calculations!B1/AD495)</f>
        <v>1.21586621097227</v>
      </c>
      <c r="AF495" s="3"/>
      <c r="AG495" s="3">
        <v>1</v>
      </c>
      <c r="AH495" s="3" t="str">
        <f>VLOOKUP(AG495,WikiFormats!$A$3:$B$999,2,0)</f>
        <v>Story</v>
      </c>
      <c r="AI495" s="3" t="s">
        <v>686</v>
      </c>
    </row>
    <row r="496" spans="1:35" s="8" customFormat="1" x14ac:dyDescent="0.55000000000000004">
      <c r="A496" s="3">
        <v>494</v>
      </c>
      <c r="B496" s="3">
        <v>1</v>
      </c>
      <c r="C496" s="3" t="str">
        <f>VLOOKUP(B496,Eras!$A$3:$B$999,2,0)</f>
        <v>Classic</v>
      </c>
      <c r="D496" s="3">
        <v>1</v>
      </c>
      <c r="E496" s="3" t="str">
        <f>VLOOKUP(D496,EpisodeFormats!$A$3:$B$999,2,0)</f>
        <v>Series</v>
      </c>
      <c r="F496" s="3">
        <v>4</v>
      </c>
      <c r="G496" s="3" t="str">
        <f>VLOOKUP(F496,Doctors!$A$3:$B$999,2,0)</f>
        <v>Tom Baker</v>
      </c>
      <c r="H496" s="3">
        <v>16</v>
      </c>
      <c r="I496" s="3">
        <v>1</v>
      </c>
      <c r="J496" s="3" t="str">
        <f>VLOOKUP(I496,SeasonFormats!$A$3:$B$999,2,0)</f>
        <v>Season</v>
      </c>
      <c r="K496" s="3">
        <v>101</v>
      </c>
      <c r="L496" s="3">
        <v>4</v>
      </c>
      <c r="M496" s="3" t="s">
        <v>459</v>
      </c>
      <c r="N496" s="3">
        <v>3</v>
      </c>
      <c r="O496" s="3" t="s">
        <v>11</v>
      </c>
      <c r="P496" s="3">
        <v>15</v>
      </c>
      <c r="Q496" s="7" t="d">
        <v>1978-12-09</v>
      </c>
      <c r="R496" s="3">
        <v>24</v>
      </c>
      <c r="S496" s="3"/>
      <c r="T496" s="4" t="s">
        <v>1111</v>
      </c>
      <c r="U496" s="3" t="str" cm="1">
        <f t="array" ref="U496">_xlfn.TEXTJOIN(",",TRUE,_xlfn.XLOOKUP(_xlfn.FILTERXML("&lt;t&gt;&lt;s&gt;" &amp; SUBSTITUTE(T496,",","&lt;/s&gt;&lt;s&gt;") &amp; "&lt;/s&gt;&lt;/t&gt;", "//s"),Writers!$A$3:$A$999,Writers!$B$3:$B$999,""))</f>
        <v>David Fisher</v>
      </c>
      <c r="V496" s="3"/>
      <c r="W496" s="3" t="str">
        <f>IF(V496="","",_xlfn.XLOOKUP(V496,Writers!$A$3:$A$999,Writers!$B$3:$B$999,""))</f>
        <v/>
      </c>
      <c r="X496" s="3">
        <v>8.9</v>
      </c>
      <c r="Y496" s="3"/>
      <c r="Z496" s="3"/>
      <c r="AA496" s="3">
        <f t="shared" si="21"/>
        <v>10.82</v>
      </c>
      <c r="AB496" s="3" t="str">
        <f t="shared" si="22"/>
        <v/>
      </c>
      <c r="AC496" s="3" t="str">
        <f t="shared" si="23"/>
        <v/>
      </c>
      <c r="AD496" s="3">
        <f>VLOOKUP(YEAR(Q496),Populations!$A$3:$B$999,2,0)</f>
        <v>56178000</v>
      </c>
      <c r="AE496" s="3">
        <f>(Calculations!B1/AD496)</f>
        <v>1.21586621097227</v>
      </c>
      <c r="AF496" s="3"/>
      <c r="AG496" s="3">
        <v>1</v>
      </c>
      <c r="AH496" s="3" t="str">
        <f>VLOOKUP(AG496,WikiFormats!$A$3:$B$999,2,0)</f>
        <v>Story</v>
      </c>
      <c r="AI496" s="3" t="s">
        <v>686</v>
      </c>
    </row>
    <row r="497" spans="1:35" s="8" customFormat="1" x14ac:dyDescent="0.55000000000000004">
      <c r="A497" s="3">
        <v>495</v>
      </c>
      <c r="B497" s="3">
        <v>1</v>
      </c>
      <c r="C497" s="3" t="str">
        <f>VLOOKUP(B497,Eras!$A$3:$B$999,2,0)</f>
        <v>Classic</v>
      </c>
      <c r="D497" s="3">
        <v>1</v>
      </c>
      <c r="E497" s="3" t="str">
        <f>VLOOKUP(D497,EpisodeFormats!$A$3:$B$999,2,0)</f>
        <v>Series</v>
      </c>
      <c r="F497" s="3">
        <v>4</v>
      </c>
      <c r="G497" s="3" t="str">
        <f>VLOOKUP(F497,Doctors!$A$3:$B$999,2,0)</f>
        <v>Tom Baker</v>
      </c>
      <c r="H497" s="3">
        <v>16</v>
      </c>
      <c r="I497" s="3">
        <v>1</v>
      </c>
      <c r="J497" s="3" t="str">
        <f>VLOOKUP(I497,SeasonFormats!$A$3:$B$999,2,0)</f>
        <v>Season</v>
      </c>
      <c r="K497" s="3">
        <v>101</v>
      </c>
      <c r="L497" s="3">
        <v>4</v>
      </c>
      <c r="M497" s="3" t="s">
        <v>459</v>
      </c>
      <c r="N497" s="3">
        <v>4</v>
      </c>
      <c r="O497" s="3" t="s">
        <v>12</v>
      </c>
      <c r="P497" s="3">
        <v>16</v>
      </c>
      <c r="Q497" s="7" t="d">
        <v>1978-12-16</v>
      </c>
      <c r="R497" s="3">
        <v>25</v>
      </c>
      <c r="S497" s="3"/>
      <c r="T497" s="4" t="s">
        <v>1111</v>
      </c>
      <c r="U497" s="3" t="str" cm="1">
        <f t="array" ref="U497">_xlfn.TEXTJOIN(",",TRUE,_xlfn.XLOOKUP(_xlfn.FILTERXML("&lt;t&gt;&lt;s&gt;" &amp; SUBSTITUTE(T497,",","&lt;/s&gt;&lt;s&gt;") &amp; "&lt;/s&gt;&lt;/t&gt;", "//s"),Writers!$A$3:$A$999,Writers!$B$3:$B$999,""))</f>
        <v>David Fisher</v>
      </c>
      <c r="V497" s="3"/>
      <c r="W497" s="3" t="str">
        <f>IF(V497="","",_xlfn.XLOOKUP(V497,Writers!$A$3:$A$999,Writers!$B$3:$B$999,""))</f>
        <v/>
      </c>
      <c r="X497" s="3">
        <v>9</v>
      </c>
      <c r="Y497" s="3"/>
      <c r="Z497" s="3"/>
      <c r="AA497" s="3">
        <f t="shared" si="21"/>
        <v>10.94</v>
      </c>
      <c r="AB497" s="3" t="str">
        <f t="shared" si="22"/>
        <v/>
      </c>
      <c r="AC497" s="3" t="str">
        <f t="shared" si="23"/>
        <v/>
      </c>
      <c r="AD497" s="3">
        <f>VLOOKUP(YEAR(Q497),Populations!$A$3:$B$999,2,0)</f>
        <v>56178000</v>
      </c>
      <c r="AE497" s="3">
        <f>(Calculations!B1/AD497)</f>
        <v>1.21586621097227</v>
      </c>
      <c r="AF497" s="3"/>
      <c r="AG497" s="3">
        <v>1</v>
      </c>
      <c r="AH497" s="3" t="str">
        <f>VLOOKUP(AG497,WikiFormats!$A$3:$B$999,2,0)</f>
        <v>Story</v>
      </c>
      <c r="AI497" s="3" t="s">
        <v>686</v>
      </c>
    </row>
    <row r="498" spans="1:35" s="2" customFormat="1" x14ac:dyDescent="0.55000000000000004">
      <c r="A498">
        <v>496</v>
      </c>
      <c r="B498">
        <v>1</v>
      </c>
      <c r="C498" t="str">
        <f>VLOOKUP(B498,Eras!$A$3:$B$999,2,0)</f>
        <v>Classic</v>
      </c>
      <c r="D498">
        <v>1</v>
      </c>
      <c r="E498" t="str">
        <f>VLOOKUP(D498,EpisodeFormats!$A$3:$B$999,2,0)</f>
        <v>Series</v>
      </c>
      <c r="F498">
        <v>4</v>
      </c>
      <c r="G498" t="str">
        <f>VLOOKUP(F498,Doctors!$A$3:$B$999,2,0)</f>
        <v>Tom Baker</v>
      </c>
      <c r="H498">
        <v>16</v>
      </c>
      <c r="I498">
        <v>1</v>
      </c>
      <c r="J498" t="str">
        <f>VLOOKUP(I498,SeasonFormats!$A$3:$B$999,2,0)</f>
        <v>Season</v>
      </c>
      <c r="K498">
        <v>102</v>
      </c>
      <c r="L498">
        <v>5</v>
      </c>
      <c r="M498" t="s">
        <v>460</v>
      </c>
      <c r="N498">
        <v>1</v>
      </c>
      <c r="O498" t="s">
        <v>9</v>
      </c>
      <c r="P498">
        <v>17</v>
      </c>
      <c r="Q498" s="6" t="d">
        <v>1978-12-23</v>
      </c>
      <c r="R498">
        <v>23</v>
      </c>
      <c r="S498"/>
      <c r="T498" s="15" t="s">
        <v>1122</v>
      </c>
      <c r="U498" t="str" cm="1">
        <f t="array" ref="U498">_xlfn.TEXTJOIN(",",TRUE,_xlfn.XLOOKUP(_xlfn.FILTERXML("&lt;t&gt;&lt;s&gt;" &amp; SUBSTITUTE(T498,",","&lt;/s&gt;&lt;s&gt;") &amp; "&lt;/s&gt;&lt;/t&gt;", "//s"),Writers!$A$3:$A$999,Writers!$B$3:$B$999,""))</f>
        <v>Robert Holmes</v>
      </c>
      <c r="V498"/>
      <c r="W498" t="str">
        <f>IF(V498="","",_xlfn.XLOOKUP(V498,Writers!$A$3:$A$999,Writers!$B$3:$B$999,""))</f>
        <v/>
      </c>
      <c r="X498">
        <v>6.5</v>
      </c>
      <c r="Y498"/>
      <c r="Z498"/>
      <c r="AA498">
        <f t="shared" si="21"/>
        <v>7.9</v>
      </c>
      <c r="AB498" t="str">
        <f t="shared" si="22"/>
        <v/>
      </c>
      <c r="AC498" t="str">
        <f t="shared" si="23"/>
        <v/>
      </c>
      <c r="AD498">
        <f>VLOOKUP(YEAR(Q498),Populations!$A$3:$B$999,2,0)</f>
        <v>56178000</v>
      </c>
      <c r="AE498">
        <f>(Calculations!B1/AD498)</f>
        <v>1.21586621097227</v>
      </c>
      <c r="AF498"/>
      <c r="AG498">
        <v>1</v>
      </c>
      <c r="AH498" t="str">
        <f>VLOOKUP(AG498,WikiFormats!$A$3:$B$999,2,0)</f>
        <v>Story</v>
      </c>
      <c r="AI498" t="s">
        <v>687</v>
      </c>
    </row>
    <row r="499" spans="1:35" s="2" customFormat="1" x14ac:dyDescent="0.55000000000000004">
      <c r="A499">
        <v>497</v>
      </c>
      <c r="B499">
        <v>1</v>
      </c>
      <c r="C499" t="str">
        <f>VLOOKUP(B499,Eras!$A$3:$B$999,2,0)</f>
        <v>Classic</v>
      </c>
      <c r="D499">
        <v>1</v>
      </c>
      <c r="E499" t="str">
        <f>VLOOKUP(D499,EpisodeFormats!$A$3:$B$999,2,0)</f>
        <v>Series</v>
      </c>
      <c r="F499">
        <v>4</v>
      </c>
      <c r="G499" t="str">
        <f>VLOOKUP(F499,Doctors!$A$3:$B$999,2,0)</f>
        <v>Tom Baker</v>
      </c>
      <c r="H499">
        <v>16</v>
      </c>
      <c r="I499">
        <v>1</v>
      </c>
      <c r="J499" t="str">
        <f>VLOOKUP(I499,SeasonFormats!$A$3:$B$999,2,0)</f>
        <v>Season</v>
      </c>
      <c r="K499">
        <v>102</v>
      </c>
      <c r="L499">
        <v>5</v>
      </c>
      <c r="M499" t="s">
        <v>460</v>
      </c>
      <c r="N499">
        <v>2</v>
      </c>
      <c r="O499" t="s">
        <v>10</v>
      </c>
      <c r="P499">
        <v>18</v>
      </c>
      <c r="Q499" s="6" t="d">
        <v>1978-12-30</v>
      </c>
      <c r="R499">
        <v>24</v>
      </c>
      <c r="S499"/>
      <c r="T499" s="15" t="s">
        <v>1122</v>
      </c>
      <c r="U499" t="str" cm="1">
        <f t="array" ref="U499">_xlfn.TEXTJOIN(",",TRUE,_xlfn.XLOOKUP(_xlfn.FILTERXML("&lt;t&gt;&lt;s&gt;" &amp; SUBSTITUTE(T499,",","&lt;/s&gt;&lt;s&gt;") &amp; "&lt;/s&gt;&lt;/t&gt;", "//s"),Writers!$A$3:$A$999,Writers!$B$3:$B$999,""))</f>
        <v>Robert Holmes</v>
      </c>
      <c r="V499"/>
      <c r="W499" t="str">
        <f>IF(V499="","",_xlfn.XLOOKUP(V499,Writers!$A$3:$A$999,Writers!$B$3:$B$999,""))</f>
        <v/>
      </c>
      <c r="X499">
        <v>12.4</v>
      </c>
      <c r="Y499"/>
      <c r="Z499"/>
      <c r="AA499">
        <f t="shared" si="21"/>
        <v>15.08</v>
      </c>
      <c r="AB499" t="str">
        <f t="shared" si="22"/>
        <v/>
      </c>
      <c r="AC499" t="str">
        <f t="shared" si="23"/>
        <v/>
      </c>
      <c r="AD499">
        <f>VLOOKUP(YEAR(Q499),Populations!$A$3:$B$999,2,0)</f>
        <v>56178000</v>
      </c>
      <c r="AE499">
        <f>(Calculations!B1/AD499)</f>
        <v>1.21586621097227</v>
      </c>
      <c r="AF499"/>
      <c r="AG499">
        <v>1</v>
      </c>
      <c r="AH499" t="str">
        <f>VLOOKUP(AG499,WikiFormats!$A$3:$B$999,2,0)</f>
        <v>Story</v>
      </c>
      <c r="AI499" t="s">
        <v>687</v>
      </c>
    </row>
    <row r="500" spans="1:35" s="2" customFormat="1" x14ac:dyDescent="0.55000000000000004">
      <c r="A500">
        <v>498</v>
      </c>
      <c r="B500">
        <v>1</v>
      </c>
      <c r="C500" t="str">
        <f>VLOOKUP(B500,Eras!$A$3:$B$999,2,0)</f>
        <v>Classic</v>
      </c>
      <c r="D500">
        <v>1</v>
      </c>
      <c r="E500" t="str">
        <f>VLOOKUP(D500,EpisodeFormats!$A$3:$B$999,2,0)</f>
        <v>Series</v>
      </c>
      <c r="F500">
        <v>4</v>
      </c>
      <c r="G500" t="str">
        <f>VLOOKUP(F500,Doctors!$A$3:$B$999,2,0)</f>
        <v>Tom Baker</v>
      </c>
      <c r="H500">
        <v>16</v>
      </c>
      <c r="I500">
        <v>1</v>
      </c>
      <c r="J500" t="str">
        <f>VLOOKUP(I500,SeasonFormats!$A$3:$B$999,2,0)</f>
        <v>Season</v>
      </c>
      <c r="K500">
        <v>102</v>
      </c>
      <c r="L500">
        <v>5</v>
      </c>
      <c r="M500" t="s">
        <v>460</v>
      </c>
      <c r="N500">
        <v>3</v>
      </c>
      <c r="O500" t="s">
        <v>11</v>
      </c>
      <c r="P500">
        <v>19</v>
      </c>
      <c r="Q500" s="6" t="d">
        <v>1979-01-06</v>
      </c>
      <c r="R500">
        <v>22</v>
      </c>
      <c r="S500"/>
      <c r="T500" s="15" t="s">
        <v>1122</v>
      </c>
      <c r="U500" t="str" cm="1">
        <f t="array" ref="U500">_xlfn.TEXTJOIN(",",TRUE,_xlfn.XLOOKUP(_xlfn.FILTERXML("&lt;t&gt;&lt;s&gt;" &amp; SUBSTITUTE(T500,",","&lt;/s&gt;&lt;s&gt;") &amp; "&lt;/s&gt;&lt;/t&gt;", "//s"),Writers!$A$3:$A$999,Writers!$B$3:$B$999,""))</f>
        <v>Robert Holmes</v>
      </c>
      <c r="V500"/>
      <c r="W500" t="str">
        <f>IF(V500="","",_xlfn.XLOOKUP(V500,Writers!$A$3:$A$999,Writers!$B$3:$B$999,""))</f>
        <v/>
      </c>
      <c r="X500">
        <v>8.9</v>
      </c>
      <c r="Y500"/>
      <c r="Z500"/>
      <c r="AA500">
        <f t="shared" si="21"/>
        <v>10.81</v>
      </c>
      <c r="AB500" t="str">
        <f t="shared" si="22"/>
        <v/>
      </c>
      <c r="AC500" t="str">
        <f t="shared" si="23"/>
        <v/>
      </c>
      <c r="AD500">
        <f>VLOOKUP(YEAR(Q500),Populations!$A$3:$B$999,2,0)</f>
        <v>56240100</v>
      </c>
      <c r="AE500">
        <f>(Calculations!B1/AD500)</f>
        <v>1.2145236583861001</v>
      </c>
      <c r="AF500"/>
      <c r="AG500">
        <v>1</v>
      </c>
      <c r="AH500" t="str">
        <f>VLOOKUP(AG500,WikiFormats!$A$3:$B$999,2,0)</f>
        <v>Story</v>
      </c>
      <c r="AI500" t="s">
        <v>687</v>
      </c>
    </row>
    <row r="501" spans="1:35" s="2" customFormat="1" x14ac:dyDescent="0.55000000000000004">
      <c r="A501">
        <v>499</v>
      </c>
      <c r="B501">
        <v>1</v>
      </c>
      <c r="C501" t="str">
        <f>VLOOKUP(B501,Eras!$A$3:$B$999,2,0)</f>
        <v>Classic</v>
      </c>
      <c r="D501">
        <v>1</v>
      </c>
      <c r="E501" t="str">
        <f>VLOOKUP(D501,EpisodeFormats!$A$3:$B$999,2,0)</f>
        <v>Series</v>
      </c>
      <c r="F501">
        <v>4</v>
      </c>
      <c r="G501" t="str">
        <f>VLOOKUP(F501,Doctors!$A$3:$B$999,2,0)</f>
        <v>Tom Baker</v>
      </c>
      <c r="H501">
        <v>16</v>
      </c>
      <c r="I501">
        <v>1</v>
      </c>
      <c r="J501" t="str">
        <f>VLOOKUP(I501,SeasonFormats!$A$3:$B$999,2,0)</f>
        <v>Season</v>
      </c>
      <c r="K501">
        <v>102</v>
      </c>
      <c r="L501">
        <v>5</v>
      </c>
      <c r="M501" t="s">
        <v>460</v>
      </c>
      <c r="N501">
        <v>4</v>
      </c>
      <c r="O501" t="s">
        <v>12</v>
      </c>
      <c r="P501">
        <v>20</v>
      </c>
      <c r="Q501" s="6" t="d">
        <v>1979-01-13</v>
      </c>
      <c r="R501">
        <v>22</v>
      </c>
      <c r="S501"/>
      <c r="T501" s="15" t="s">
        <v>1122</v>
      </c>
      <c r="U501" t="str" cm="1">
        <f t="array" ref="U501">_xlfn.TEXTJOIN(",",TRUE,_xlfn.XLOOKUP(_xlfn.FILTERXML("&lt;t&gt;&lt;s&gt;" &amp; SUBSTITUTE(T501,",","&lt;/s&gt;&lt;s&gt;") &amp; "&lt;/s&gt;&lt;/t&gt;", "//s"),Writers!$A$3:$A$999,Writers!$B$3:$B$999,""))</f>
        <v>Robert Holmes</v>
      </c>
      <c r="V501"/>
      <c r="W501" t="str">
        <f>IF(V501="","",_xlfn.XLOOKUP(V501,Writers!$A$3:$A$999,Writers!$B$3:$B$999,""))</f>
        <v/>
      </c>
      <c r="X501">
        <v>9.9</v>
      </c>
      <c r="Y501"/>
      <c r="Z501"/>
      <c r="AA501">
        <f t="shared" si="21"/>
        <v>12.02</v>
      </c>
      <c r="AB501" t="str">
        <f t="shared" si="22"/>
        <v/>
      </c>
      <c r="AC501" t="str">
        <f t="shared" si="23"/>
        <v/>
      </c>
      <c r="AD501">
        <f>VLOOKUP(YEAR(Q501),Populations!$A$3:$B$999,2,0)</f>
        <v>56240100</v>
      </c>
      <c r="AE501">
        <f>(Calculations!B1/AD501)</f>
        <v>1.2145236583861001</v>
      </c>
      <c r="AF501"/>
      <c r="AG501">
        <v>1</v>
      </c>
      <c r="AH501" t="str">
        <f>VLOOKUP(AG501,WikiFormats!$A$3:$B$999,2,0)</f>
        <v>Story</v>
      </c>
      <c r="AI501" t="s">
        <v>687</v>
      </c>
    </row>
    <row r="502" spans="1:35" s="8" customFormat="1" x14ac:dyDescent="0.55000000000000004">
      <c r="A502" s="3">
        <v>500</v>
      </c>
      <c r="B502" s="3">
        <v>1</v>
      </c>
      <c r="C502" s="3" t="str">
        <f>VLOOKUP(B502,Eras!$A$3:$B$999,2,0)</f>
        <v>Classic</v>
      </c>
      <c r="D502" s="3">
        <v>1</v>
      </c>
      <c r="E502" s="3" t="str">
        <f>VLOOKUP(D502,EpisodeFormats!$A$3:$B$999,2,0)</f>
        <v>Series</v>
      </c>
      <c r="F502" s="3">
        <v>4</v>
      </c>
      <c r="G502" s="3" t="str">
        <f>VLOOKUP(F502,Doctors!$A$3:$B$999,2,0)</f>
        <v>Tom Baker</v>
      </c>
      <c r="H502" s="3">
        <v>16</v>
      </c>
      <c r="I502" s="3">
        <v>1</v>
      </c>
      <c r="J502" s="3" t="str">
        <f>VLOOKUP(I502,SeasonFormats!$A$3:$B$999,2,0)</f>
        <v>Season</v>
      </c>
      <c r="K502" s="3">
        <v>103</v>
      </c>
      <c r="L502" s="3">
        <v>6</v>
      </c>
      <c r="M502" s="3" t="s">
        <v>461</v>
      </c>
      <c r="N502" s="3">
        <v>1</v>
      </c>
      <c r="O502" s="3" t="s">
        <v>9</v>
      </c>
      <c r="P502" s="3">
        <v>21</v>
      </c>
      <c r="Q502" s="7" t="d">
        <v>1979-01-20</v>
      </c>
      <c r="R502" s="3">
        <v>25</v>
      </c>
      <c r="S502" s="3"/>
      <c r="T502" s="4" t="s">
        <v>1076</v>
      </c>
      <c r="U502" s="3" t="str" cm="1">
        <f t="array" ref="U502">_xlfn.TEXTJOIN(",",TRUE,_xlfn.XLOOKUP(_xlfn.FILTERXML("&lt;t&gt;&lt;s&gt;" &amp; SUBSTITUTE(T502,",","&lt;/s&gt;&lt;s&gt;") &amp; "&lt;/s&gt;&lt;/t&gt;", "//s"),Writers!$A$3:$A$999,Writers!$B$3:$B$999,""))</f>
        <v>Bob Baker,Dave Martin</v>
      </c>
      <c r="V502" s="3"/>
      <c r="W502" s="3" t="str">
        <f>IF(V502="","",_xlfn.XLOOKUP(V502,Writers!$A$3:$A$999,Writers!$B$3:$B$999,""))</f>
        <v/>
      </c>
      <c r="X502" s="3">
        <v>7.5</v>
      </c>
      <c r="Y502" s="3"/>
      <c r="Z502" s="3"/>
      <c r="AA502" s="3">
        <f t="shared" si="21"/>
        <v>9.11</v>
      </c>
      <c r="AB502" s="3" t="str">
        <f t="shared" si="22"/>
        <v/>
      </c>
      <c r="AC502" s="3" t="str">
        <f t="shared" si="23"/>
        <v/>
      </c>
      <c r="AD502" s="3">
        <f>VLOOKUP(YEAR(Q502),Populations!$A$3:$B$999,2,0)</f>
        <v>56240100</v>
      </c>
      <c r="AE502" s="3">
        <f>(Calculations!B1/AD502)</f>
        <v>1.2145236583861001</v>
      </c>
      <c r="AF502" s="3"/>
      <c r="AG502" s="3">
        <v>1</v>
      </c>
      <c r="AH502" s="3" t="str">
        <f>VLOOKUP(AG502,WikiFormats!$A$3:$B$999,2,0)</f>
        <v>Story</v>
      </c>
      <c r="AI502" s="3" t="s">
        <v>688</v>
      </c>
    </row>
    <row r="503" spans="1:35" s="8" customFormat="1" x14ac:dyDescent="0.55000000000000004">
      <c r="A503" s="3">
        <v>501</v>
      </c>
      <c r="B503" s="3">
        <v>1</v>
      </c>
      <c r="C503" s="3" t="str">
        <f>VLOOKUP(B503,Eras!$A$3:$B$999,2,0)</f>
        <v>Classic</v>
      </c>
      <c r="D503" s="3">
        <v>1</v>
      </c>
      <c r="E503" s="3" t="str">
        <f>VLOOKUP(D503,EpisodeFormats!$A$3:$B$999,2,0)</f>
        <v>Series</v>
      </c>
      <c r="F503" s="3">
        <v>4</v>
      </c>
      <c r="G503" s="3" t="str">
        <f>VLOOKUP(F503,Doctors!$A$3:$B$999,2,0)</f>
        <v>Tom Baker</v>
      </c>
      <c r="H503" s="3">
        <v>16</v>
      </c>
      <c r="I503" s="3">
        <v>1</v>
      </c>
      <c r="J503" s="3" t="str">
        <f>VLOOKUP(I503,SeasonFormats!$A$3:$B$999,2,0)</f>
        <v>Season</v>
      </c>
      <c r="K503" s="3">
        <v>103</v>
      </c>
      <c r="L503" s="3">
        <v>6</v>
      </c>
      <c r="M503" s="3" t="s">
        <v>461</v>
      </c>
      <c r="N503" s="3">
        <v>2</v>
      </c>
      <c r="O503" s="3" t="s">
        <v>10</v>
      </c>
      <c r="P503" s="3">
        <v>22</v>
      </c>
      <c r="Q503" s="7" t="d">
        <v>1979-01-27</v>
      </c>
      <c r="R503" s="3">
        <v>24</v>
      </c>
      <c r="S503" s="3"/>
      <c r="T503" s="4" t="s">
        <v>1076</v>
      </c>
      <c r="U503" s="3" t="str" cm="1">
        <f t="array" ref="U503">_xlfn.TEXTJOIN(",",TRUE,_xlfn.XLOOKUP(_xlfn.FILTERXML("&lt;t&gt;&lt;s&gt;" &amp; SUBSTITUTE(T503,",","&lt;/s&gt;&lt;s&gt;") &amp; "&lt;/s&gt;&lt;/t&gt;", "//s"),Writers!$A$3:$A$999,Writers!$B$3:$B$999,""))</f>
        <v>Bob Baker,Dave Martin</v>
      </c>
      <c r="V503" s="3"/>
      <c r="W503" s="3" t="str">
        <f>IF(V503="","",_xlfn.XLOOKUP(V503,Writers!$A$3:$A$999,Writers!$B$3:$B$999,""))</f>
        <v/>
      </c>
      <c r="X503" s="3">
        <v>8.8000000000000007</v>
      </c>
      <c r="Y503" s="3"/>
      <c r="Z503" s="3"/>
      <c r="AA503" s="3">
        <f t="shared" si="21"/>
        <v>10.69</v>
      </c>
      <c r="AB503" s="3" t="str">
        <f t="shared" si="22"/>
        <v/>
      </c>
      <c r="AC503" s="3" t="str">
        <f t="shared" si="23"/>
        <v/>
      </c>
      <c r="AD503" s="3">
        <f>VLOOKUP(YEAR(Q503),Populations!$A$3:$B$999,2,0)</f>
        <v>56240100</v>
      </c>
      <c r="AE503" s="3">
        <f>(Calculations!B1/AD503)</f>
        <v>1.2145236583861001</v>
      </c>
      <c r="AF503" s="3"/>
      <c r="AG503" s="3">
        <v>1</v>
      </c>
      <c r="AH503" s="3" t="str">
        <f>VLOOKUP(AG503,WikiFormats!$A$3:$B$999,2,0)</f>
        <v>Story</v>
      </c>
      <c r="AI503" s="3" t="s">
        <v>688</v>
      </c>
    </row>
    <row r="504" spans="1:35" s="8" customFormat="1" x14ac:dyDescent="0.55000000000000004">
      <c r="A504" s="3">
        <v>502</v>
      </c>
      <c r="B504" s="3">
        <v>1</v>
      </c>
      <c r="C504" s="3" t="str">
        <f>VLOOKUP(B504,Eras!$A$3:$B$999,2,0)</f>
        <v>Classic</v>
      </c>
      <c r="D504" s="3">
        <v>1</v>
      </c>
      <c r="E504" s="3" t="str">
        <f>VLOOKUP(D504,EpisodeFormats!$A$3:$B$999,2,0)</f>
        <v>Series</v>
      </c>
      <c r="F504" s="3">
        <v>4</v>
      </c>
      <c r="G504" s="3" t="str">
        <f>VLOOKUP(F504,Doctors!$A$3:$B$999,2,0)</f>
        <v>Tom Baker</v>
      </c>
      <c r="H504" s="3">
        <v>16</v>
      </c>
      <c r="I504" s="3">
        <v>1</v>
      </c>
      <c r="J504" s="3" t="str">
        <f>VLOOKUP(I504,SeasonFormats!$A$3:$B$999,2,0)</f>
        <v>Season</v>
      </c>
      <c r="K504" s="3">
        <v>103</v>
      </c>
      <c r="L504" s="3">
        <v>6</v>
      </c>
      <c r="M504" s="3" t="s">
        <v>461</v>
      </c>
      <c r="N504" s="3">
        <v>3</v>
      </c>
      <c r="O504" s="3" t="s">
        <v>11</v>
      </c>
      <c r="P504" s="3">
        <v>23</v>
      </c>
      <c r="Q504" s="7" t="d">
        <v>1979-02-03</v>
      </c>
      <c r="R504" s="3">
        <v>25</v>
      </c>
      <c r="S504" s="3"/>
      <c r="T504" s="4" t="s">
        <v>1076</v>
      </c>
      <c r="U504" s="3" t="str" cm="1">
        <f t="array" ref="U504">_xlfn.TEXTJOIN(",",TRUE,_xlfn.XLOOKUP(_xlfn.FILTERXML("&lt;t&gt;&lt;s&gt;" &amp; SUBSTITUTE(T504,",","&lt;/s&gt;&lt;s&gt;") &amp; "&lt;/s&gt;&lt;/t&gt;", "//s"),Writers!$A$3:$A$999,Writers!$B$3:$B$999,""))</f>
        <v>Bob Baker,Dave Martin</v>
      </c>
      <c r="V504" s="3"/>
      <c r="W504" s="3" t="str">
        <f>IF(V504="","",_xlfn.XLOOKUP(V504,Writers!$A$3:$A$999,Writers!$B$3:$B$999,""))</f>
        <v/>
      </c>
      <c r="X504" s="3">
        <v>7.8</v>
      </c>
      <c r="Y504" s="3"/>
      <c r="Z504" s="3"/>
      <c r="AA504" s="3">
        <f t="shared" si="21"/>
        <v>9.4700000000000006</v>
      </c>
      <c r="AB504" s="3" t="str">
        <f t="shared" si="22"/>
        <v/>
      </c>
      <c r="AC504" s="3" t="str">
        <f t="shared" si="23"/>
        <v/>
      </c>
      <c r="AD504" s="3">
        <f>VLOOKUP(YEAR(Q504),Populations!$A$3:$B$999,2,0)</f>
        <v>56240100</v>
      </c>
      <c r="AE504" s="3">
        <f>(Calculations!B1/AD504)</f>
        <v>1.2145236583861001</v>
      </c>
      <c r="AF504" s="3"/>
      <c r="AG504" s="3">
        <v>1</v>
      </c>
      <c r="AH504" s="3" t="str">
        <f>VLOOKUP(AG504,WikiFormats!$A$3:$B$999,2,0)</f>
        <v>Story</v>
      </c>
      <c r="AI504" s="3" t="s">
        <v>688</v>
      </c>
    </row>
    <row r="505" spans="1:35" s="8" customFormat="1" x14ac:dyDescent="0.55000000000000004">
      <c r="A505" s="3">
        <v>503</v>
      </c>
      <c r="B505" s="3">
        <v>1</v>
      </c>
      <c r="C505" s="3" t="str">
        <f>VLOOKUP(B505,Eras!$A$3:$B$999,2,0)</f>
        <v>Classic</v>
      </c>
      <c r="D505" s="3">
        <v>1</v>
      </c>
      <c r="E505" s="3" t="str">
        <f>VLOOKUP(D505,EpisodeFormats!$A$3:$B$999,2,0)</f>
        <v>Series</v>
      </c>
      <c r="F505" s="3">
        <v>4</v>
      </c>
      <c r="G505" s="3" t="str">
        <f>VLOOKUP(F505,Doctors!$A$3:$B$999,2,0)</f>
        <v>Tom Baker</v>
      </c>
      <c r="H505" s="3">
        <v>16</v>
      </c>
      <c r="I505" s="3">
        <v>1</v>
      </c>
      <c r="J505" s="3" t="str">
        <f>VLOOKUP(I505,SeasonFormats!$A$3:$B$999,2,0)</f>
        <v>Season</v>
      </c>
      <c r="K505" s="3">
        <v>103</v>
      </c>
      <c r="L505" s="3">
        <v>6</v>
      </c>
      <c r="M505" s="3" t="s">
        <v>461</v>
      </c>
      <c r="N505" s="3">
        <v>4</v>
      </c>
      <c r="O505" s="3" t="s">
        <v>12</v>
      </c>
      <c r="P505" s="3">
        <v>24</v>
      </c>
      <c r="Q505" s="7" t="d">
        <v>1979-02-10</v>
      </c>
      <c r="R505" s="3">
        <v>25</v>
      </c>
      <c r="S505" s="3"/>
      <c r="T505" s="4" t="s">
        <v>1076</v>
      </c>
      <c r="U505" s="3" t="str" cm="1">
        <f t="array" ref="U505">_xlfn.TEXTJOIN(",",TRUE,_xlfn.XLOOKUP(_xlfn.FILTERXML("&lt;t&gt;&lt;s&gt;" &amp; SUBSTITUTE(T505,",","&lt;/s&gt;&lt;s&gt;") &amp; "&lt;/s&gt;&lt;/t&gt;", "//s"),Writers!$A$3:$A$999,Writers!$B$3:$B$999,""))</f>
        <v>Bob Baker,Dave Martin</v>
      </c>
      <c r="V505" s="3"/>
      <c r="W505" s="3" t="str">
        <f>IF(V505="","",_xlfn.XLOOKUP(V505,Writers!$A$3:$A$999,Writers!$B$3:$B$999,""))</f>
        <v/>
      </c>
      <c r="X505" s="3">
        <v>8.6</v>
      </c>
      <c r="Y505" s="3"/>
      <c r="Z505" s="3"/>
      <c r="AA505" s="3">
        <f t="shared" si="21"/>
        <v>10.44</v>
      </c>
      <c r="AB505" s="3" t="str">
        <f t="shared" si="22"/>
        <v/>
      </c>
      <c r="AC505" s="3" t="str">
        <f t="shared" si="23"/>
        <v/>
      </c>
      <c r="AD505" s="3">
        <f>VLOOKUP(YEAR(Q505),Populations!$A$3:$B$999,2,0)</f>
        <v>56240100</v>
      </c>
      <c r="AE505" s="3">
        <f>(Calculations!B1/AD505)</f>
        <v>1.2145236583861001</v>
      </c>
      <c r="AF505" s="3"/>
      <c r="AG505" s="3">
        <v>1</v>
      </c>
      <c r="AH505" s="3" t="str">
        <f>VLOOKUP(AG505,WikiFormats!$A$3:$B$999,2,0)</f>
        <v>Story</v>
      </c>
      <c r="AI505" s="3" t="s">
        <v>688</v>
      </c>
    </row>
    <row r="506" spans="1:35" s="8" customFormat="1" x14ac:dyDescent="0.55000000000000004">
      <c r="A506" s="3">
        <v>504</v>
      </c>
      <c r="B506" s="3">
        <v>1</v>
      </c>
      <c r="C506" s="3" t="str">
        <f>VLOOKUP(B506,Eras!$A$3:$B$999,2,0)</f>
        <v>Classic</v>
      </c>
      <c r="D506" s="3">
        <v>1</v>
      </c>
      <c r="E506" s="3" t="str">
        <f>VLOOKUP(D506,EpisodeFormats!$A$3:$B$999,2,0)</f>
        <v>Series</v>
      </c>
      <c r="F506" s="3">
        <v>4</v>
      </c>
      <c r="G506" s="3" t="str">
        <f>VLOOKUP(F506,Doctors!$A$3:$B$999,2,0)</f>
        <v>Tom Baker</v>
      </c>
      <c r="H506" s="3">
        <v>16</v>
      </c>
      <c r="I506" s="3">
        <v>1</v>
      </c>
      <c r="J506" s="3" t="str">
        <f>VLOOKUP(I506,SeasonFormats!$A$3:$B$999,2,0)</f>
        <v>Season</v>
      </c>
      <c r="K506" s="3">
        <v>103</v>
      </c>
      <c r="L506" s="3">
        <v>6</v>
      </c>
      <c r="M506" s="3" t="s">
        <v>461</v>
      </c>
      <c r="N506" s="3">
        <v>5</v>
      </c>
      <c r="O506" s="3" t="s">
        <v>430</v>
      </c>
      <c r="P506" s="3">
        <v>25</v>
      </c>
      <c r="Q506" s="7" t="d">
        <v>1979-02-17</v>
      </c>
      <c r="R506" s="3">
        <v>25</v>
      </c>
      <c r="S506" s="3"/>
      <c r="T506" s="4" t="s">
        <v>1076</v>
      </c>
      <c r="U506" s="3" t="str" cm="1">
        <f t="array" ref="U506">_xlfn.TEXTJOIN(",",TRUE,_xlfn.XLOOKUP(_xlfn.FILTERXML("&lt;t&gt;&lt;s&gt;" &amp; SUBSTITUTE(T506,",","&lt;/s&gt;&lt;s&gt;") &amp; "&lt;/s&gt;&lt;/t&gt;", "//s"),Writers!$A$3:$A$999,Writers!$B$3:$B$999,""))</f>
        <v>Bob Baker,Dave Martin</v>
      </c>
      <c r="V506" s="3"/>
      <c r="W506" s="3" t="str">
        <f>IF(V506="","",_xlfn.XLOOKUP(V506,Writers!$A$3:$A$999,Writers!$B$3:$B$999,""))</f>
        <v/>
      </c>
      <c r="X506" s="3">
        <v>8.6</v>
      </c>
      <c r="Y506" s="3"/>
      <c r="Z506" s="3"/>
      <c r="AA506" s="3">
        <f t="shared" si="21"/>
        <v>10.44</v>
      </c>
      <c r="AB506" s="3" t="str">
        <f t="shared" si="22"/>
        <v/>
      </c>
      <c r="AC506" s="3" t="str">
        <f t="shared" si="23"/>
        <v/>
      </c>
      <c r="AD506" s="3">
        <f>VLOOKUP(YEAR(Q506),Populations!$A$3:$B$999,2,0)</f>
        <v>56240100</v>
      </c>
      <c r="AE506" s="3">
        <f>(Calculations!B1/AD506)</f>
        <v>1.2145236583861001</v>
      </c>
      <c r="AF506" s="3"/>
      <c r="AG506" s="3">
        <v>1</v>
      </c>
      <c r="AH506" s="3" t="str">
        <f>VLOOKUP(AG506,WikiFormats!$A$3:$B$999,2,0)</f>
        <v>Story</v>
      </c>
      <c r="AI506" s="3" t="s">
        <v>688</v>
      </c>
    </row>
    <row r="507" spans="1:35" s="8" customFormat="1" x14ac:dyDescent="0.55000000000000004">
      <c r="A507" s="3">
        <v>505</v>
      </c>
      <c r="B507" s="3">
        <v>1</v>
      </c>
      <c r="C507" s="3" t="str">
        <f>VLOOKUP(B507,Eras!$A$3:$B$999,2,0)</f>
        <v>Classic</v>
      </c>
      <c r="D507" s="3">
        <v>1</v>
      </c>
      <c r="E507" s="3" t="str">
        <f>VLOOKUP(D507,EpisodeFormats!$A$3:$B$999,2,0)</f>
        <v>Series</v>
      </c>
      <c r="F507" s="3">
        <v>4</v>
      </c>
      <c r="G507" s="3" t="str">
        <f>VLOOKUP(F507,Doctors!$A$3:$B$999,2,0)</f>
        <v>Tom Baker</v>
      </c>
      <c r="H507" s="3">
        <v>16</v>
      </c>
      <c r="I507" s="3">
        <v>1</v>
      </c>
      <c r="J507" s="3" t="str">
        <f>VLOOKUP(I507,SeasonFormats!$A$3:$B$999,2,0)</f>
        <v>Season</v>
      </c>
      <c r="K507" s="3">
        <v>103</v>
      </c>
      <c r="L507" s="3">
        <v>6</v>
      </c>
      <c r="M507" s="3" t="s">
        <v>461</v>
      </c>
      <c r="N507" s="3">
        <v>6</v>
      </c>
      <c r="O507" s="3" t="s">
        <v>431</v>
      </c>
      <c r="P507" s="3">
        <v>26</v>
      </c>
      <c r="Q507" s="7" t="d">
        <v>1979-02-24</v>
      </c>
      <c r="R507" s="3">
        <v>25</v>
      </c>
      <c r="S507" s="3"/>
      <c r="T507" s="4" t="s">
        <v>1076</v>
      </c>
      <c r="U507" s="3" t="str" cm="1">
        <f t="array" ref="U507">_xlfn.TEXTJOIN(",",TRUE,_xlfn.XLOOKUP(_xlfn.FILTERXML("&lt;t&gt;&lt;s&gt;" &amp; SUBSTITUTE(T507,",","&lt;/s&gt;&lt;s&gt;") &amp; "&lt;/s&gt;&lt;/t&gt;", "//s"),Writers!$A$3:$A$999,Writers!$B$3:$B$999,""))</f>
        <v>Bob Baker,Dave Martin</v>
      </c>
      <c r="V507" s="3"/>
      <c r="W507" s="3" t="str">
        <f>IF(V507="","",_xlfn.XLOOKUP(V507,Writers!$A$3:$A$999,Writers!$B$3:$B$999,""))</f>
        <v/>
      </c>
      <c r="X507" s="3">
        <v>9.6</v>
      </c>
      <c r="Y507" s="3"/>
      <c r="Z507" s="3"/>
      <c r="AA507" s="3">
        <f t="shared" si="21"/>
        <v>11.66</v>
      </c>
      <c r="AB507" s="3" t="str">
        <f t="shared" si="22"/>
        <v/>
      </c>
      <c r="AC507" s="3" t="str">
        <f t="shared" si="23"/>
        <v/>
      </c>
      <c r="AD507" s="3">
        <f>VLOOKUP(YEAR(Q507),Populations!$A$3:$B$999,2,0)</f>
        <v>56240100</v>
      </c>
      <c r="AE507" s="3">
        <f>(Calculations!B1/AD507)</f>
        <v>1.2145236583861001</v>
      </c>
      <c r="AF507" s="3"/>
      <c r="AG507" s="3">
        <v>1</v>
      </c>
      <c r="AH507" s="3" t="str">
        <f>VLOOKUP(AG507,WikiFormats!$A$3:$B$999,2,0)</f>
        <v>Story</v>
      </c>
      <c r="AI507" s="3" t="s">
        <v>688</v>
      </c>
    </row>
    <row r="508" spans="1:35" s="2" customFormat="1" x14ac:dyDescent="0.55000000000000004">
      <c r="A508">
        <v>506</v>
      </c>
      <c r="B508">
        <v>1</v>
      </c>
      <c r="C508" t="str">
        <f>VLOOKUP(B508,Eras!$A$3:$B$999,2,0)</f>
        <v>Classic</v>
      </c>
      <c r="D508">
        <v>1</v>
      </c>
      <c r="E508" t="str">
        <f>VLOOKUP(D508,EpisodeFormats!$A$3:$B$999,2,0)</f>
        <v>Series</v>
      </c>
      <c r="F508">
        <v>4</v>
      </c>
      <c r="G508" t="str">
        <f>VLOOKUP(F508,Doctors!$A$3:$B$999,2,0)</f>
        <v>Tom Baker</v>
      </c>
      <c r="H508">
        <v>17</v>
      </c>
      <c r="I508">
        <v>1</v>
      </c>
      <c r="J508" t="str">
        <f>VLOOKUP(I508,SeasonFormats!$A$3:$B$999,2,0)</f>
        <v>Season</v>
      </c>
      <c r="K508">
        <v>104</v>
      </c>
      <c r="L508">
        <v>1</v>
      </c>
      <c r="M508" t="s">
        <v>462</v>
      </c>
      <c r="N508">
        <v>1</v>
      </c>
      <c r="O508" t="s">
        <v>373</v>
      </c>
      <c r="P508">
        <v>1</v>
      </c>
      <c r="Q508" s="6" t="d">
        <v>1979-09-01</v>
      </c>
      <c r="R508">
        <v>24</v>
      </c>
      <c r="S508"/>
      <c r="T508" s="15" t="s">
        <v>1132</v>
      </c>
      <c r="U508" t="str" cm="1">
        <f t="array" ref="U508">_xlfn.TEXTJOIN(",",TRUE,_xlfn.XLOOKUP(_xlfn.FILTERXML("&lt;t&gt;&lt;s&gt;" &amp; SUBSTITUTE(T508,",","&lt;/s&gt;&lt;s&gt;") &amp; "&lt;/s&gt;&lt;/t&gt;", "//s"),Writers!$A$3:$A$999,Writers!$B$3:$B$999,""))</f>
        <v>Terry Nation</v>
      </c>
      <c r="V508"/>
      <c r="W508" t="str">
        <f>IF(V508="","",_xlfn.XLOOKUP(V508,Writers!$A$3:$A$999,Writers!$B$3:$B$999,""))</f>
        <v/>
      </c>
      <c r="X508">
        <v>13</v>
      </c>
      <c r="Y508"/>
      <c r="Z508"/>
      <c r="AA508">
        <f t="shared" si="21"/>
        <v>15.79</v>
      </c>
      <c r="AB508" t="str">
        <f t="shared" si="22"/>
        <v/>
      </c>
      <c r="AC508" t="str">
        <f t="shared" si="23"/>
        <v/>
      </c>
      <c r="AD508">
        <f>VLOOKUP(YEAR(Q508),Populations!$A$3:$B$999,2,0)</f>
        <v>56240100</v>
      </c>
      <c r="AE508">
        <f>(Calculations!B1/AD508)</f>
        <v>1.2145236583861001</v>
      </c>
      <c r="AF508"/>
      <c r="AG508">
        <v>1</v>
      </c>
      <c r="AH508" t="str">
        <f>VLOOKUP(AG508,WikiFormats!$A$3:$B$999,2,0)</f>
        <v>Story</v>
      </c>
      <c r="AI508" t="s">
        <v>689</v>
      </c>
    </row>
    <row r="509" spans="1:35" s="2" customFormat="1" x14ac:dyDescent="0.55000000000000004">
      <c r="A509">
        <v>507</v>
      </c>
      <c r="B509">
        <v>1</v>
      </c>
      <c r="C509" t="str">
        <f>VLOOKUP(B509,Eras!$A$3:$B$999,2,0)</f>
        <v>Classic</v>
      </c>
      <c r="D509">
        <v>1</v>
      </c>
      <c r="E509" t="str">
        <f>VLOOKUP(D509,EpisodeFormats!$A$3:$B$999,2,0)</f>
        <v>Series</v>
      </c>
      <c r="F509">
        <v>4</v>
      </c>
      <c r="G509" t="str">
        <f>VLOOKUP(F509,Doctors!$A$3:$B$999,2,0)</f>
        <v>Tom Baker</v>
      </c>
      <c r="H509">
        <v>17</v>
      </c>
      <c r="I509">
        <v>1</v>
      </c>
      <c r="J509" t="str">
        <f>VLOOKUP(I509,SeasonFormats!$A$3:$B$999,2,0)</f>
        <v>Season</v>
      </c>
      <c r="K509">
        <v>104</v>
      </c>
      <c r="L509">
        <v>1</v>
      </c>
      <c r="M509" t="s">
        <v>462</v>
      </c>
      <c r="N509">
        <v>2</v>
      </c>
      <c r="O509" t="s">
        <v>374</v>
      </c>
      <c r="P509">
        <v>2</v>
      </c>
      <c r="Q509" s="6" t="d">
        <v>1979-09-08</v>
      </c>
      <c r="R509">
        <v>25</v>
      </c>
      <c r="S509"/>
      <c r="T509" s="15" t="s">
        <v>1132</v>
      </c>
      <c r="U509" t="str" cm="1">
        <f t="array" ref="U509">_xlfn.TEXTJOIN(",",TRUE,_xlfn.XLOOKUP(_xlfn.FILTERXML("&lt;t&gt;&lt;s&gt;" &amp; SUBSTITUTE(T509,",","&lt;/s&gt;&lt;s&gt;") &amp; "&lt;/s&gt;&lt;/t&gt;", "//s"),Writers!$A$3:$A$999,Writers!$B$3:$B$999,""))</f>
        <v>Terry Nation</v>
      </c>
      <c r="V509"/>
      <c r="W509" t="str">
        <f>IF(V509="","",_xlfn.XLOOKUP(V509,Writers!$A$3:$A$999,Writers!$B$3:$B$999,""))</f>
        <v/>
      </c>
      <c r="X509">
        <v>12.7</v>
      </c>
      <c r="Y509"/>
      <c r="Z509"/>
      <c r="AA509">
        <f t="shared" si="21"/>
        <v>15.42</v>
      </c>
      <c r="AB509" t="str">
        <f t="shared" si="22"/>
        <v/>
      </c>
      <c r="AC509" t="str">
        <f t="shared" si="23"/>
        <v/>
      </c>
      <c r="AD509">
        <f>VLOOKUP(YEAR(Q509),Populations!$A$3:$B$999,2,0)</f>
        <v>56240100</v>
      </c>
      <c r="AE509">
        <f>(Calculations!B1/AD509)</f>
        <v>1.2145236583861001</v>
      </c>
      <c r="AF509"/>
      <c r="AG509">
        <v>1</v>
      </c>
      <c r="AH509" t="str">
        <f>VLOOKUP(AG509,WikiFormats!$A$3:$B$999,2,0)</f>
        <v>Story</v>
      </c>
      <c r="AI509" t="s">
        <v>689</v>
      </c>
    </row>
    <row r="510" spans="1:35" s="2" customFormat="1" x14ac:dyDescent="0.55000000000000004">
      <c r="A510">
        <v>508</v>
      </c>
      <c r="B510">
        <v>1</v>
      </c>
      <c r="C510" t="str">
        <f>VLOOKUP(B510,Eras!$A$3:$B$999,2,0)</f>
        <v>Classic</v>
      </c>
      <c r="D510">
        <v>1</v>
      </c>
      <c r="E510" t="str">
        <f>VLOOKUP(D510,EpisodeFormats!$A$3:$B$999,2,0)</f>
        <v>Series</v>
      </c>
      <c r="F510">
        <v>4</v>
      </c>
      <c r="G510" t="str">
        <f>VLOOKUP(F510,Doctors!$A$3:$B$999,2,0)</f>
        <v>Tom Baker</v>
      </c>
      <c r="H510">
        <v>17</v>
      </c>
      <c r="I510">
        <v>1</v>
      </c>
      <c r="J510" t="str">
        <f>VLOOKUP(I510,SeasonFormats!$A$3:$B$999,2,0)</f>
        <v>Season</v>
      </c>
      <c r="K510">
        <v>104</v>
      </c>
      <c r="L510">
        <v>1</v>
      </c>
      <c r="M510" t="s">
        <v>462</v>
      </c>
      <c r="N510">
        <v>3</v>
      </c>
      <c r="O510" t="s">
        <v>375</v>
      </c>
      <c r="P510">
        <v>3</v>
      </c>
      <c r="Q510" s="6" t="d">
        <v>1979-09-15</v>
      </c>
      <c r="R510">
        <v>25</v>
      </c>
      <c r="S510"/>
      <c r="T510" s="15" t="s">
        <v>1132</v>
      </c>
      <c r="U510" t="str" cm="1">
        <f t="array" ref="U510">_xlfn.TEXTJOIN(",",TRUE,_xlfn.XLOOKUP(_xlfn.FILTERXML("&lt;t&gt;&lt;s&gt;" &amp; SUBSTITUTE(T510,",","&lt;/s&gt;&lt;s&gt;") &amp; "&lt;/s&gt;&lt;/t&gt;", "//s"),Writers!$A$3:$A$999,Writers!$B$3:$B$999,""))</f>
        <v>Terry Nation</v>
      </c>
      <c r="V510"/>
      <c r="W510" t="str">
        <f>IF(V510="","",_xlfn.XLOOKUP(V510,Writers!$A$3:$A$999,Writers!$B$3:$B$999,""))</f>
        <v/>
      </c>
      <c r="X510">
        <v>13.8</v>
      </c>
      <c r="Y510"/>
      <c r="Z510"/>
      <c r="AA510">
        <f t="shared" si="21"/>
        <v>16.760000000000002</v>
      </c>
      <c r="AB510" t="str">
        <f t="shared" si="22"/>
        <v/>
      </c>
      <c r="AC510" t="str">
        <f t="shared" si="23"/>
        <v/>
      </c>
      <c r="AD510">
        <f>VLOOKUP(YEAR(Q510),Populations!$A$3:$B$999,2,0)</f>
        <v>56240100</v>
      </c>
      <c r="AE510">
        <f>(Calculations!B1/AD510)</f>
        <v>1.2145236583861001</v>
      </c>
      <c r="AF510"/>
      <c r="AG510">
        <v>1</v>
      </c>
      <c r="AH510" t="str">
        <f>VLOOKUP(AG510,WikiFormats!$A$3:$B$999,2,0)</f>
        <v>Story</v>
      </c>
      <c r="AI510" t="s">
        <v>689</v>
      </c>
    </row>
    <row r="511" spans="1:35" s="2" customFormat="1" x14ac:dyDescent="0.55000000000000004">
      <c r="A511">
        <v>509</v>
      </c>
      <c r="B511">
        <v>1</v>
      </c>
      <c r="C511" t="str">
        <f>VLOOKUP(B511,Eras!$A$3:$B$999,2,0)</f>
        <v>Classic</v>
      </c>
      <c r="D511">
        <v>1</v>
      </c>
      <c r="E511" t="str">
        <f>VLOOKUP(D511,EpisodeFormats!$A$3:$B$999,2,0)</f>
        <v>Series</v>
      </c>
      <c r="F511">
        <v>4</v>
      </c>
      <c r="G511" t="str">
        <f>VLOOKUP(F511,Doctors!$A$3:$B$999,2,0)</f>
        <v>Tom Baker</v>
      </c>
      <c r="H511">
        <v>17</v>
      </c>
      <c r="I511">
        <v>1</v>
      </c>
      <c r="J511" t="str">
        <f>VLOOKUP(I511,SeasonFormats!$A$3:$B$999,2,0)</f>
        <v>Season</v>
      </c>
      <c r="K511">
        <v>104</v>
      </c>
      <c r="L511">
        <v>1</v>
      </c>
      <c r="M511" t="s">
        <v>462</v>
      </c>
      <c r="N511">
        <v>4</v>
      </c>
      <c r="O511" t="s">
        <v>376</v>
      </c>
      <c r="P511">
        <v>4</v>
      </c>
      <c r="Q511" s="6" t="d">
        <v>1979-09-22</v>
      </c>
      <c r="R511">
        <v>26</v>
      </c>
      <c r="S511"/>
      <c r="T511" s="15" t="s">
        <v>1132</v>
      </c>
      <c r="U511" t="str" cm="1">
        <f t="array" ref="U511">_xlfn.TEXTJOIN(",",TRUE,_xlfn.XLOOKUP(_xlfn.FILTERXML("&lt;t&gt;&lt;s&gt;" &amp; SUBSTITUTE(T511,",","&lt;/s&gt;&lt;s&gt;") &amp; "&lt;/s&gt;&lt;/t&gt;", "//s"),Writers!$A$3:$A$999,Writers!$B$3:$B$999,""))</f>
        <v>Terry Nation</v>
      </c>
      <c r="V511"/>
      <c r="W511" t="str">
        <f>IF(V511="","",_xlfn.XLOOKUP(V511,Writers!$A$3:$A$999,Writers!$B$3:$B$999,""))</f>
        <v/>
      </c>
      <c r="X511">
        <v>14.4</v>
      </c>
      <c r="Y511"/>
      <c r="Z511"/>
      <c r="AA511">
        <f t="shared" si="21"/>
        <v>17.489999999999998</v>
      </c>
      <c r="AB511" t="str">
        <f t="shared" si="22"/>
        <v/>
      </c>
      <c r="AC511" t="str">
        <f t="shared" si="23"/>
        <v/>
      </c>
      <c r="AD511">
        <f>VLOOKUP(YEAR(Q511),Populations!$A$3:$B$999,2,0)</f>
        <v>56240100</v>
      </c>
      <c r="AE511">
        <f>(Calculations!B1/AD511)</f>
        <v>1.2145236583861001</v>
      </c>
      <c r="AF511"/>
      <c r="AG511">
        <v>1</v>
      </c>
      <c r="AH511" t="str">
        <f>VLOOKUP(AG511,WikiFormats!$A$3:$B$999,2,0)</f>
        <v>Story</v>
      </c>
      <c r="AI511" t="s">
        <v>689</v>
      </c>
    </row>
    <row r="512" spans="1:35" s="8" customFormat="1" x14ac:dyDescent="0.55000000000000004">
      <c r="A512" s="3">
        <v>510</v>
      </c>
      <c r="B512" s="3">
        <v>1</v>
      </c>
      <c r="C512" s="3" t="str">
        <f>VLOOKUP(B512,Eras!$A$3:$B$999,2,0)</f>
        <v>Classic</v>
      </c>
      <c r="D512" s="3">
        <v>1</v>
      </c>
      <c r="E512" s="3" t="str">
        <f>VLOOKUP(D512,EpisodeFormats!$A$3:$B$999,2,0)</f>
        <v>Series</v>
      </c>
      <c r="F512" s="3">
        <v>4</v>
      </c>
      <c r="G512" s="3" t="str">
        <f>VLOOKUP(F512,Doctors!$A$3:$B$999,2,0)</f>
        <v>Tom Baker</v>
      </c>
      <c r="H512" s="3">
        <v>17</v>
      </c>
      <c r="I512" s="3">
        <v>1</v>
      </c>
      <c r="J512" s="3" t="str">
        <f>VLOOKUP(I512,SeasonFormats!$A$3:$B$999,2,0)</f>
        <v>Season</v>
      </c>
      <c r="K512" s="3">
        <v>105</v>
      </c>
      <c r="L512" s="3">
        <v>2</v>
      </c>
      <c r="M512" s="3" t="s">
        <v>463</v>
      </c>
      <c r="N512" s="3">
        <v>1</v>
      </c>
      <c r="O512" s="3" t="s">
        <v>9</v>
      </c>
      <c r="P512" s="3">
        <v>5</v>
      </c>
      <c r="Q512" s="7" t="d">
        <v>1979-09-29</v>
      </c>
      <c r="R512" s="3">
        <v>24</v>
      </c>
      <c r="S512" s="3"/>
      <c r="T512" s="4" t="s">
        <v>1068</v>
      </c>
      <c r="U512" s="3" t="str" cm="1">
        <f t="array" ref="U512">_xlfn.TEXTJOIN(",",TRUE,_xlfn.XLOOKUP(_xlfn.FILTERXML("&lt;t&gt;&lt;s&gt;" &amp; SUBSTITUTE(T512,",","&lt;/s&gt;&lt;s&gt;") &amp; "&lt;/s&gt;&lt;/t&gt;", "//s"),Writers!$A$3:$A$999,Writers!$B$3:$B$999,""))</f>
        <v>Douglas Adams,Graham Williams</v>
      </c>
      <c r="V512" s="3">
        <v>3</v>
      </c>
      <c r="W512" s="3" t="str">
        <f>IF(V512="","",_xlfn.XLOOKUP(V512,Writers!$A$3:$A$999,Writers!$B$3:$B$999,""))</f>
        <v>David Agnew</v>
      </c>
      <c r="X512" s="3">
        <v>12.4</v>
      </c>
      <c r="Y512" s="3"/>
      <c r="Z512" s="3"/>
      <c r="AA512" s="3">
        <f t="shared" si="21"/>
        <v>15.06</v>
      </c>
      <c r="AB512" s="3" t="str">
        <f t="shared" si="22"/>
        <v/>
      </c>
      <c r="AC512" s="3" t="str">
        <f t="shared" si="23"/>
        <v/>
      </c>
      <c r="AD512" s="3">
        <f>VLOOKUP(YEAR(Q512),Populations!$A$3:$B$999,2,0)</f>
        <v>56240100</v>
      </c>
      <c r="AE512" s="3">
        <f>(Calculations!B1/AD512)</f>
        <v>1.2145236583861001</v>
      </c>
      <c r="AF512" s="3"/>
      <c r="AG512" s="3">
        <v>1</v>
      </c>
      <c r="AH512" s="3" t="str">
        <f>VLOOKUP(AG512,WikiFormats!$A$3:$B$999,2,0)</f>
        <v>Story</v>
      </c>
      <c r="AI512" s="3" t="s">
        <v>690</v>
      </c>
    </row>
    <row r="513" spans="1:35" s="8" customFormat="1" x14ac:dyDescent="0.55000000000000004">
      <c r="A513" s="3">
        <v>511</v>
      </c>
      <c r="B513" s="3">
        <v>1</v>
      </c>
      <c r="C513" s="3" t="str">
        <f>VLOOKUP(B513,Eras!$A$3:$B$999,2,0)</f>
        <v>Classic</v>
      </c>
      <c r="D513" s="3">
        <v>1</v>
      </c>
      <c r="E513" s="3" t="str">
        <f>VLOOKUP(D513,EpisodeFormats!$A$3:$B$999,2,0)</f>
        <v>Series</v>
      </c>
      <c r="F513" s="3">
        <v>4</v>
      </c>
      <c r="G513" s="3" t="str">
        <f>VLOOKUP(F513,Doctors!$A$3:$B$999,2,0)</f>
        <v>Tom Baker</v>
      </c>
      <c r="H513" s="3">
        <v>17</v>
      </c>
      <c r="I513" s="3">
        <v>1</v>
      </c>
      <c r="J513" s="3" t="str">
        <f>VLOOKUP(I513,SeasonFormats!$A$3:$B$999,2,0)</f>
        <v>Season</v>
      </c>
      <c r="K513" s="3">
        <v>105</v>
      </c>
      <c r="L513" s="3">
        <v>2</v>
      </c>
      <c r="M513" s="3" t="s">
        <v>463</v>
      </c>
      <c r="N513" s="3">
        <v>2</v>
      </c>
      <c r="O513" s="3" t="s">
        <v>10</v>
      </c>
      <c r="P513" s="3">
        <v>6</v>
      </c>
      <c r="Q513" s="7" t="d">
        <v>1979-10-06</v>
      </c>
      <c r="R513" s="3">
        <v>25</v>
      </c>
      <c r="S513" s="3"/>
      <c r="T513" s="4" t="s">
        <v>1068</v>
      </c>
      <c r="U513" s="3" t="str" cm="1">
        <f t="array" ref="U513">_xlfn.TEXTJOIN(",",TRUE,_xlfn.XLOOKUP(_xlfn.FILTERXML("&lt;t&gt;&lt;s&gt;" &amp; SUBSTITUTE(T513,",","&lt;/s&gt;&lt;s&gt;") &amp; "&lt;/s&gt;&lt;/t&gt;", "//s"),Writers!$A$3:$A$999,Writers!$B$3:$B$999,""))</f>
        <v>Douglas Adams,Graham Williams</v>
      </c>
      <c r="V513" s="3">
        <v>3</v>
      </c>
      <c r="W513" s="3" t="str">
        <f>IF(V513="","",_xlfn.XLOOKUP(V513,Writers!$A$3:$A$999,Writers!$B$3:$B$999,""))</f>
        <v>David Agnew</v>
      </c>
      <c r="X513" s="3">
        <v>14.1</v>
      </c>
      <c r="Y513" s="3"/>
      <c r="Z513" s="3"/>
      <c r="AA513" s="3">
        <f t="shared" si="21"/>
        <v>17.12</v>
      </c>
      <c r="AB513" s="3" t="str">
        <f t="shared" si="22"/>
        <v/>
      </c>
      <c r="AC513" s="3" t="str">
        <f t="shared" si="23"/>
        <v/>
      </c>
      <c r="AD513" s="3">
        <f>VLOOKUP(YEAR(Q513),Populations!$A$3:$B$999,2,0)</f>
        <v>56240100</v>
      </c>
      <c r="AE513" s="3">
        <f>(Calculations!B1/AD513)</f>
        <v>1.2145236583861001</v>
      </c>
      <c r="AF513" s="3"/>
      <c r="AG513" s="3">
        <v>1</v>
      </c>
      <c r="AH513" s="3" t="str">
        <f>VLOOKUP(AG513,WikiFormats!$A$3:$B$999,2,0)</f>
        <v>Story</v>
      </c>
      <c r="AI513" s="3" t="s">
        <v>690</v>
      </c>
    </row>
    <row r="514" spans="1:35" s="8" customFormat="1" x14ac:dyDescent="0.55000000000000004">
      <c r="A514" s="3">
        <v>512</v>
      </c>
      <c r="B514" s="3">
        <v>1</v>
      </c>
      <c r="C514" s="3" t="str">
        <f>VLOOKUP(B514,Eras!$A$3:$B$999,2,0)</f>
        <v>Classic</v>
      </c>
      <c r="D514" s="3">
        <v>1</v>
      </c>
      <c r="E514" s="3" t="str">
        <f>VLOOKUP(D514,EpisodeFormats!$A$3:$B$999,2,0)</f>
        <v>Series</v>
      </c>
      <c r="F514" s="3">
        <v>4</v>
      </c>
      <c r="G514" s="3" t="str">
        <f>VLOOKUP(F514,Doctors!$A$3:$B$999,2,0)</f>
        <v>Tom Baker</v>
      </c>
      <c r="H514" s="3">
        <v>17</v>
      </c>
      <c r="I514" s="3">
        <v>1</v>
      </c>
      <c r="J514" s="3" t="str">
        <f>VLOOKUP(I514,SeasonFormats!$A$3:$B$999,2,0)</f>
        <v>Season</v>
      </c>
      <c r="K514" s="3">
        <v>105</v>
      </c>
      <c r="L514" s="3">
        <v>2</v>
      </c>
      <c r="M514" s="3" t="s">
        <v>463</v>
      </c>
      <c r="N514" s="3">
        <v>3</v>
      </c>
      <c r="O514" s="3" t="s">
        <v>11</v>
      </c>
      <c r="P514" s="3">
        <v>7</v>
      </c>
      <c r="Q514" s="7" t="d">
        <v>1979-10-13</v>
      </c>
      <c r="R514" s="3">
        <v>25</v>
      </c>
      <c r="S514" s="3"/>
      <c r="T514" s="4" t="s">
        <v>1068</v>
      </c>
      <c r="U514" s="3" t="str" cm="1">
        <f t="array" ref="U514">_xlfn.TEXTJOIN(",",TRUE,_xlfn.XLOOKUP(_xlfn.FILTERXML("&lt;t&gt;&lt;s&gt;" &amp; SUBSTITUTE(T514,",","&lt;/s&gt;&lt;s&gt;") &amp; "&lt;/s&gt;&lt;/t&gt;", "//s"),Writers!$A$3:$A$999,Writers!$B$3:$B$999,""))</f>
        <v>Douglas Adams,Graham Williams</v>
      </c>
      <c r="V514" s="3">
        <v>3</v>
      </c>
      <c r="W514" s="3" t="str">
        <f>IF(V514="","",_xlfn.XLOOKUP(V514,Writers!$A$3:$A$999,Writers!$B$3:$B$999,""))</f>
        <v>David Agnew</v>
      </c>
      <c r="X514" s="3">
        <v>15.4</v>
      </c>
      <c r="Y514" s="3"/>
      <c r="Z514" s="3"/>
      <c r="AA514" s="3">
        <f t="shared" si="21"/>
        <v>18.7</v>
      </c>
      <c r="AB514" s="3" t="str">
        <f t="shared" si="22"/>
        <v/>
      </c>
      <c r="AC514" s="3" t="str">
        <f t="shared" si="23"/>
        <v/>
      </c>
      <c r="AD514" s="3">
        <f>VLOOKUP(YEAR(Q514),Populations!$A$3:$B$999,2,0)</f>
        <v>56240100</v>
      </c>
      <c r="AE514" s="3">
        <f>(Calculations!B1/AD514)</f>
        <v>1.2145236583861001</v>
      </c>
      <c r="AF514" s="3"/>
      <c r="AG514" s="3">
        <v>1</v>
      </c>
      <c r="AH514" s="3" t="str">
        <f>VLOOKUP(AG514,WikiFormats!$A$3:$B$999,2,0)</f>
        <v>Story</v>
      </c>
      <c r="AI514" s="3" t="s">
        <v>690</v>
      </c>
    </row>
    <row r="515" spans="1:35" s="8" customFormat="1" x14ac:dyDescent="0.55000000000000004">
      <c r="A515" s="3">
        <v>513</v>
      </c>
      <c r="B515" s="3">
        <v>1</v>
      </c>
      <c r="C515" s="3" t="str">
        <f>VLOOKUP(B515,Eras!$A$3:$B$999,2,0)</f>
        <v>Classic</v>
      </c>
      <c r="D515" s="3">
        <v>1</v>
      </c>
      <c r="E515" s="3" t="str">
        <f>VLOOKUP(D515,EpisodeFormats!$A$3:$B$999,2,0)</f>
        <v>Series</v>
      </c>
      <c r="F515" s="3">
        <v>4</v>
      </c>
      <c r="G515" s="3" t="str">
        <f>VLOOKUP(F515,Doctors!$A$3:$B$999,2,0)</f>
        <v>Tom Baker</v>
      </c>
      <c r="H515" s="3">
        <v>17</v>
      </c>
      <c r="I515" s="3">
        <v>1</v>
      </c>
      <c r="J515" s="3" t="str">
        <f>VLOOKUP(I515,SeasonFormats!$A$3:$B$999,2,0)</f>
        <v>Season</v>
      </c>
      <c r="K515" s="3">
        <v>105</v>
      </c>
      <c r="L515" s="3">
        <v>2</v>
      </c>
      <c r="M515" s="3" t="s">
        <v>463</v>
      </c>
      <c r="N515" s="3">
        <v>4</v>
      </c>
      <c r="O515" s="3" t="s">
        <v>12</v>
      </c>
      <c r="P515" s="3">
        <v>8</v>
      </c>
      <c r="Q515" s="7" t="d">
        <v>1979-10-20</v>
      </c>
      <c r="R515" s="3">
        <v>25</v>
      </c>
      <c r="S515" s="3"/>
      <c r="T515" s="4" t="s">
        <v>1068</v>
      </c>
      <c r="U515" s="3" t="str" cm="1">
        <f t="array" ref="U515">_xlfn.TEXTJOIN(",",TRUE,_xlfn.XLOOKUP(_xlfn.FILTERXML("&lt;t&gt;&lt;s&gt;" &amp; SUBSTITUTE(T515,",","&lt;/s&gt;&lt;s&gt;") &amp; "&lt;/s&gt;&lt;/t&gt;", "//s"),Writers!$A$3:$A$999,Writers!$B$3:$B$999,""))</f>
        <v>Douglas Adams,Graham Williams</v>
      </c>
      <c r="V515" s="3">
        <v>3</v>
      </c>
      <c r="W515" s="3" t="str">
        <f>IF(V515="","",_xlfn.XLOOKUP(V515,Writers!$A$3:$A$999,Writers!$B$3:$B$999,""))</f>
        <v>David Agnew</v>
      </c>
      <c r="X515" s="3">
        <v>16.100000000000001</v>
      </c>
      <c r="Y515" s="3"/>
      <c r="Z515" s="3"/>
      <c r="AA515" s="3">
        <f t="shared" si="21"/>
        <v>19.55</v>
      </c>
      <c r="AB515" s="3" t="str">
        <f t="shared" si="22"/>
        <v/>
      </c>
      <c r="AC515" s="3" t="str">
        <f t="shared" si="23"/>
        <v/>
      </c>
      <c r="AD515" s="3">
        <f>VLOOKUP(YEAR(Q515),Populations!$A$3:$B$999,2,0)</f>
        <v>56240100</v>
      </c>
      <c r="AE515" s="3">
        <f>(Calculations!B1/AD515)</f>
        <v>1.2145236583861001</v>
      </c>
      <c r="AF515" s="3"/>
      <c r="AG515" s="3">
        <v>1</v>
      </c>
      <c r="AH515" s="3" t="str">
        <f>VLOOKUP(AG515,WikiFormats!$A$3:$B$999,2,0)</f>
        <v>Story</v>
      </c>
      <c r="AI515" s="3" t="s">
        <v>690</v>
      </c>
    </row>
    <row r="516" spans="1:35" s="2" customFormat="1" x14ac:dyDescent="0.55000000000000004">
      <c r="A516">
        <v>514</v>
      </c>
      <c r="B516">
        <v>1</v>
      </c>
      <c r="C516" t="str">
        <f>VLOOKUP(B516,Eras!$A$3:$B$999,2,0)</f>
        <v>Classic</v>
      </c>
      <c r="D516">
        <v>1</v>
      </c>
      <c r="E516" t="str">
        <f>VLOOKUP(D516,EpisodeFormats!$A$3:$B$999,2,0)</f>
        <v>Series</v>
      </c>
      <c r="F516">
        <v>4</v>
      </c>
      <c r="G516" t="str">
        <f>VLOOKUP(F516,Doctors!$A$3:$B$999,2,0)</f>
        <v>Tom Baker</v>
      </c>
      <c r="H516">
        <v>17</v>
      </c>
      <c r="I516">
        <v>1</v>
      </c>
      <c r="J516" t="str">
        <f>VLOOKUP(I516,SeasonFormats!$A$3:$B$999,2,0)</f>
        <v>Season</v>
      </c>
      <c r="K516">
        <v>106</v>
      </c>
      <c r="L516">
        <v>3</v>
      </c>
      <c r="M516" t="s">
        <v>464</v>
      </c>
      <c r="N516">
        <v>1</v>
      </c>
      <c r="O516" t="s">
        <v>9</v>
      </c>
      <c r="P516">
        <v>9</v>
      </c>
      <c r="Q516" s="6" t="d">
        <v>1979-10-27</v>
      </c>
      <c r="R516">
        <v>24</v>
      </c>
      <c r="S516"/>
      <c r="T516" s="15" t="s">
        <v>1111</v>
      </c>
      <c r="U516" t="str" cm="1">
        <f t="array" ref="U516">_xlfn.TEXTJOIN(",",TRUE,_xlfn.XLOOKUP(_xlfn.FILTERXML("&lt;t&gt;&lt;s&gt;" &amp; SUBSTITUTE(T516,",","&lt;/s&gt;&lt;s&gt;") &amp; "&lt;/s&gt;&lt;/t&gt;", "//s"),Writers!$A$3:$A$999,Writers!$B$3:$B$999,""))</f>
        <v>David Fisher</v>
      </c>
      <c r="V516"/>
      <c r="W516" t="str">
        <f>IF(V516="","",_xlfn.XLOOKUP(V516,Writers!$A$3:$A$999,Writers!$B$3:$B$999,""))</f>
        <v/>
      </c>
      <c r="X516">
        <v>9.3000000000000007</v>
      </c>
      <c r="Y516"/>
      <c r="Z516"/>
      <c r="AA516">
        <f t="shared" ref="AA516:AA579" si="24">IF(ISBLANK(X516),"",ROUND(X516*AE516,2))</f>
        <v>11.3</v>
      </c>
      <c r="AB516" t="str">
        <f t="shared" ref="AB516:AB579" si="25">IF(ISBLANK(Y516),"",ROUND(Y516*AE516,2))</f>
        <v/>
      </c>
      <c r="AC516" t="str">
        <f t="shared" ref="AC516:AC579" si="26">IF(ISBLANK(Z516),"",ROUND(Z516*AE516,2))</f>
        <v/>
      </c>
      <c r="AD516">
        <f>VLOOKUP(YEAR(Q516),Populations!$A$3:$B$999,2,0)</f>
        <v>56240100</v>
      </c>
      <c r="AE516">
        <f>(Calculations!B1/AD516)</f>
        <v>1.2145236583861001</v>
      </c>
      <c r="AF516"/>
      <c r="AG516">
        <v>1</v>
      </c>
      <c r="AH516" t="str">
        <f>VLOOKUP(AG516,WikiFormats!$A$3:$B$999,2,0)</f>
        <v>Story</v>
      </c>
      <c r="AI516" t="s">
        <v>691</v>
      </c>
    </row>
    <row r="517" spans="1:35" s="2" customFormat="1" x14ac:dyDescent="0.55000000000000004">
      <c r="A517">
        <v>515</v>
      </c>
      <c r="B517">
        <v>1</v>
      </c>
      <c r="C517" t="str">
        <f>VLOOKUP(B517,Eras!$A$3:$B$999,2,0)</f>
        <v>Classic</v>
      </c>
      <c r="D517">
        <v>1</v>
      </c>
      <c r="E517" t="str">
        <f>VLOOKUP(D517,EpisodeFormats!$A$3:$B$999,2,0)</f>
        <v>Series</v>
      </c>
      <c r="F517">
        <v>4</v>
      </c>
      <c r="G517" t="str">
        <f>VLOOKUP(F517,Doctors!$A$3:$B$999,2,0)</f>
        <v>Tom Baker</v>
      </c>
      <c r="H517">
        <v>17</v>
      </c>
      <c r="I517">
        <v>1</v>
      </c>
      <c r="J517" t="str">
        <f>VLOOKUP(I517,SeasonFormats!$A$3:$B$999,2,0)</f>
        <v>Season</v>
      </c>
      <c r="K517">
        <v>106</v>
      </c>
      <c r="L517">
        <v>3</v>
      </c>
      <c r="M517" t="s">
        <v>464</v>
      </c>
      <c r="N517">
        <v>2</v>
      </c>
      <c r="O517" t="s">
        <v>10</v>
      </c>
      <c r="P517">
        <v>10</v>
      </c>
      <c r="Q517" s="6" t="d">
        <v>1979-11-03</v>
      </c>
      <c r="R517">
        <v>25</v>
      </c>
      <c r="S517"/>
      <c r="T517" s="15" t="s">
        <v>1111</v>
      </c>
      <c r="U517" t="str" cm="1">
        <f t="array" ref="U517">_xlfn.TEXTJOIN(",",TRUE,_xlfn.XLOOKUP(_xlfn.FILTERXML("&lt;t&gt;&lt;s&gt;" &amp; SUBSTITUTE(T517,",","&lt;/s&gt;&lt;s&gt;") &amp; "&lt;/s&gt;&lt;/t&gt;", "//s"),Writers!$A$3:$A$999,Writers!$B$3:$B$999,""))</f>
        <v>David Fisher</v>
      </c>
      <c r="V517"/>
      <c r="W517" t="str">
        <f>IF(V517="","",_xlfn.XLOOKUP(V517,Writers!$A$3:$A$999,Writers!$B$3:$B$999,""))</f>
        <v/>
      </c>
      <c r="X517">
        <v>10.8</v>
      </c>
      <c r="Y517"/>
      <c r="Z517"/>
      <c r="AA517">
        <f t="shared" si="24"/>
        <v>13.12</v>
      </c>
      <c r="AB517" t="str">
        <f t="shared" si="25"/>
        <v/>
      </c>
      <c r="AC517" t="str">
        <f t="shared" si="26"/>
        <v/>
      </c>
      <c r="AD517">
        <f>VLOOKUP(YEAR(Q517),Populations!$A$3:$B$999,2,0)</f>
        <v>56240100</v>
      </c>
      <c r="AE517">
        <f>(Calculations!B1/AD517)</f>
        <v>1.2145236583861001</v>
      </c>
      <c r="AF517"/>
      <c r="AG517">
        <v>1</v>
      </c>
      <c r="AH517" t="str">
        <f>VLOOKUP(AG517,WikiFormats!$A$3:$B$999,2,0)</f>
        <v>Story</v>
      </c>
      <c r="AI517" t="s">
        <v>691</v>
      </c>
    </row>
    <row r="518" spans="1:35" s="2" customFormat="1" x14ac:dyDescent="0.55000000000000004">
      <c r="A518">
        <v>516</v>
      </c>
      <c r="B518">
        <v>1</v>
      </c>
      <c r="C518" t="str">
        <f>VLOOKUP(B518,Eras!$A$3:$B$999,2,0)</f>
        <v>Classic</v>
      </c>
      <c r="D518">
        <v>1</v>
      </c>
      <c r="E518" t="str">
        <f>VLOOKUP(D518,EpisodeFormats!$A$3:$B$999,2,0)</f>
        <v>Series</v>
      </c>
      <c r="F518">
        <v>4</v>
      </c>
      <c r="G518" t="str">
        <f>VLOOKUP(F518,Doctors!$A$3:$B$999,2,0)</f>
        <v>Tom Baker</v>
      </c>
      <c r="H518">
        <v>17</v>
      </c>
      <c r="I518">
        <v>1</v>
      </c>
      <c r="J518" t="str">
        <f>VLOOKUP(I518,SeasonFormats!$A$3:$B$999,2,0)</f>
        <v>Season</v>
      </c>
      <c r="K518">
        <v>106</v>
      </c>
      <c r="L518">
        <v>3</v>
      </c>
      <c r="M518" t="s">
        <v>464</v>
      </c>
      <c r="N518">
        <v>3</v>
      </c>
      <c r="O518" t="s">
        <v>11</v>
      </c>
      <c r="P518">
        <v>11</v>
      </c>
      <c r="Q518" s="6" t="d">
        <v>1979-11-10</v>
      </c>
      <c r="R518">
        <v>24</v>
      </c>
      <c r="S518"/>
      <c r="T518" s="15" t="s">
        <v>1111</v>
      </c>
      <c r="U518" t="str" cm="1">
        <f t="array" ref="U518">_xlfn.TEXTJOIN(",",TRUE,_xlfn.XLOOKUP(_xlfn.FILTERXML("&lt;t&gt;&lt;s&gt;" &amp; SUBSTITUTE(T518,",","&lt;/s&gt;&lt;s&gt;") &amp; "&lt;/s&gt;&lt;/t&gt;", "//s"),Writers!$A$3:$A$999,Writers!$B$3:$B$999,""))</f>
        <v>David Fisher</v>
      </c>
      <c r="V518"/>
      <c r="W518" t="str">
        <f>IF(V518="","",_xlfn.XLOOKUP(V518,Writers!$A$3:$A$999,Writers!$B$3:$B$999,""))</f>
        <v/>
      </c>
      <c r="X518">
        <v>10.199999999999999</v>
      </c>
      <c r="Y518"/>
      <c r="Z518"/>
      <c r="AA518">
        <f t="shared" si="24"/>
        <v>12.39</v>
      </c>
      <c r="AB518" t="str">
        <f t="shared" si="25"/>
        <v/>
      </c>
      <c r="AC518" t="str">
        <f t="shared" si="26"/>
        <v/>
      </c>
      <c r="AD518">
        <f>VLOOKUP(YEAR(Q518),Populations!$A$3:$B$999,2,0)</f>
        <v>56240100</v>
      </c>
      <c r="AE518">
        <f>(Calculations!B1/AD518)</f>
        <v>1.2145236583861001</v>
      </c>
      <c r="AF518"/>
      <c r="AG518">
        <v>1</v>
      </c>
      <c r="AH518" t="str">
        <f>VLOOKUP(AG518,WikiFormats!$A$3:$B$999,2,0)</f>
        <v>Story</v>
      </c>
      <c r="AI518" t="s">
        <v>691</v>
      </c>
    </row>
    <row r="519" spans="1:35" s="2" customFormat="1" x14ac:dyDescent="0.55000000000000004">
      <c r="A519">
        <v>517</v>
      </c>
      <c r="B519">
        <v>1</v>
      </c>
      <c r="C519" t="str">
        <f>VLOOKUP(B519,Eras!$A$3:$B$999,2,0)</f>
        <v>Classic</v>
      </c>
      <c r="D519">
        <v>1</v>
      </c>
      <c r="E519" t="str">
        <f>VLOOKUP(D519,EpisodeFormats!$A$3:$B$999,2,0)</f>
        <v>Series</v>
      </c>
      <c r="F519">
        <v>4</v>
      </c>
      <c r="G519" t="str">
        <f>VLOOKUP(F519,Doctors!$A$3:$B$999,2,0)</f>
        <v>Tom Baker</v>
      </c>
      <c r="H519">
        <v>17</v>
      </c>
      <c r="I519">
        <v>1</v>
      </c>
      <c r="J519" t="str">
        <f>VLOOKUP(I519,SeasonFormats!$A$3:$B$999,2,0)</f>
        <v>Season</v>
      </c>
      <c r="K519">
        <v>106</v>
      </c>
      <c r="L519">
        <v>3</v>
      </c>
      <c r="M519" t="s">
        <v>464</v>
      </c>
      <c r="N519">
        <v>4</v>
      </c>
      <c r="O519" t="s">
        <v>12</v>
      </c>
      <c r="P519">
        <v>12</v>
      </c>
      <c r="Q519" s="6" t="d">
        <v>1979-11-17</v>
      </c>
      <c r="R519">
        <v>24</v>
      </c>
      <c r="S519"/>
      <c r="T519" s="15" t="s">
        <v>1111</v>
      </c>
      <c r="U519" t="str" cm="1">
        <f t="array" ref="U519">_xlfn.TEXTJOIN(",",TRUE,_xlfn.XLOOKUP(_xlfn.FILTERXML("&lt;t&gt;&lt;s&gt;" &amp; SUBSTITUTE(T519,",","&lt;/s&gt;&lt;s&gt;") &amp; "&lt;/s&gt;&lt;/t&gt;", "//s"),Writers!$A$3:$A$999,Writers!$B$3:$B$999,""))</f>
        <v>David Fisher</v>
      </c>
      <c r="V519"/>
      <c r="W519" t="str">
        <f>IF(V519="","",_xlfn.XLOOKUP(V519,Writers!$A$3:$A$999,Writers!$B$3:$B$999,""))</f>
        <v/>
      </c>
      <c r="X519">
        <v>9.6</v>
      </c>
      <c r="Y519"/>
      <c r="Z519"/>
      <c r="AA519">
        <f t="shared" si="24"/>
        <v>11.66</v>
      </c>
      <c r="AB519" t="str">
        <f t="shared" si="25"/>
        <v/>
      </c>
      <c r="AC519" t="str">
        <f t="shared" si="26"/>
        <v/>
      </c>
      <c r="AD519">
        <f>VLOOKUP(YEAR(Q519),Populations!$A$3:$B$999,2,0)</f>
        <v>56240100</v>
      </c>
      <c r="AE519">
        <f>(Calculations!B1/AD519)</f>
        <v>1.2145236583861001</v>
      </c>
      <c r="AF519"/>
      <c r="AG519">
        <v>1</v>
      </c>
      <c r="AH519" t="str">
        <f>VLOOKUP(AG519,WikiFormats!$A$3:$B$999,2,0)</f>
        <v>Story</v>
      </c>
      <c r="AI519" t="s">
        <v>691</v>
      </c>
    </row>
    <row r="520" spans="1:35" s="8" customFormat="1" x14ac:dyDescent="0.55000000000000004">
      <c r="A520" s="3">
        <v>518</v>
      </c>
      <c r="B520" s="3">
        <v>1</v>
      </c>
      <c r="C520" s="3" t="str">
        <f>VLOOKUP(B520,Eras!$A$3:$B$999,2,0)</f>
        <v>Classic</v>
      </c>
      <c r="D520" s="3">
        <v>1</v>
      </c>
      <c r="E520" s="3" t="str">
        <f>VLOOKUP(D520,EpisodeFormats!$A$3:$B$999,2,0)</f>
        <v>Series</v>
      </c>
      <c r="F520" s="3">
        <v>4</v>
      </c>
      <c r="G520" s="3" t="str">
        <f>VLOOKUP(F520,Doctors!$A$3:$B$999,2,0)</f>
        <v>Tom Baker</v>
      </c>
      <c r="H520" s="3">
        <v>17</v>
      </c>
      <c r="I520" s="3">
        <v>1</v>
      </c>
      <c r="J520" s="3" t="str">
        <f>VLOOKUP(I520,SeasonFormats!$A$3:$B$999,2,0)</f>
        <v>Season</v>
      </c>
      <c r="K520" s="3">
        <v>107</v>
      </c>
      <c r="L520" s="3">
        <v>4</v>
      </c>
      <c r="M520" s="3" t="s">
        <v>465</v>
      </c>
      <c r="N520" s="3">
        <v>1</v>
      </c>
      <c r="O520" s="3" t="s">
        <v>9</v>
      </c>
      <c r="P520" s="3">
        <v>13</v>
      </c>
      <c r="Q520" s="7" t="d">
        <v>1979-11-24</v>
      </c>
      <c r="R520" s="3">
        <v>24</v>
      </c>
      <c r="S520" s="3"/>
      <c r="T520" s="4" t="s">
        <v>1074</v>
      </c>
      <c r="U520" s="3" t="str" cm="1">
        <f t="array" ref="U520">_xlfn.TEXTJOIN(",",TRUE,_xlfn.XLOOKUP(_xlfn.FILTERXML("&lt;t&gt;&lt;s&gt;" &amp; SUBSTITUTE(T520,",","&lt;/s&gt;&lt;s&gt;") &amp; "&lt;/s&gt;&lt;/t&gt;", "//s"),Writers!$A$3:$A$999,Writers!$B$3:$B$999,""))</f>
        <v>Bob Baker</v>
      </c>
      <c r="V520" s="3"/>
      <c r="W520" s="3" t="str">
        <f>IF(V520="","",_xlfn.XLOOKUP(V520,Writers!$A$3:$A$999,Writers!$B$3:$B$999,""))</f>
        <v/>
      </c>
      <c r="X520" s="3">
        <v>8.6999999999999993</v>
      </c>
      <c r="Y520" s="3"/>
      <c r="Z520" s="3"/>
      <c r="AA520" s="3">
        <f t="shared" si="24"/>
        <v>10.57</v>
      </c>
      <c r="AB520" s="3" t="str">
        <f t="shared" si="25"/>
        <v/>
      </c>
      <c r="AC520" s="3" t="str">
        <f t="shared" si="26"/>
        <v/>
      </c>
      <c r="AD520" s="3">
        <f>VLOOKUP(YEAR(Q520),Populations!$A$3:$B$999,2,0)</f>
        <v>56240100</v>
      </c>
      <c r="AE520" s="3">
        <f>(Calculations!B1/AD520)</f>
        <v>1.2145236583861001</v>
      </c>
      <c r="AF520" s="3"/>
      <c r="AG520" s="3">
        <v>1</v>
      </c>
      <c r="AH520" s="3" t="str">
        <f>VLOOKUP(AG520,WikiFormats!$A$3:$B$999,2,0)</f>
        <v>Story</v>
      </c>
      <c r="AI520" s="3" t="s">
        <v>692</v>
      </c>
    </row>
    <row r="521" spans="1:35" s="8" customFormat="1" x14ac:dyDescent="0.55000000000000004">
      <c r="A521" s="3">
        <v>519</v>
      </c>
      <c r="B521" s="3">
        <v>1</v>
      </c>
      <c r="C521" s="3" t="str">
        <f>VLOOKUP(B521,Eras!$A$3:$B$999,2,0)</f>
        <v>Classic</v>
      </c>
      <c r="D521" s="3">
        <v>1</v>
      </c>
      <c r="E521" s="3" t="str">
        <f>VLOOKUP(D521,EpisodeFormats!$A$3:$B$999,2,0)</f>
        <v>Series</v>
      </c>
      <c r="F521" s="3">
        <v>4</v>
      </c>
      <c r="G521" s="3" t="str">
        <f>VLOOKUP(F521,Doctors!$A$3:$B$999,2,0)</f>
        <v>Tom Baker</v>
      </c>
      <c r="H521" s="3">
        <v>17</v>
      </c>
      <c r="I521" s="3">
        <v>1</v>
      </c>
      <c r="J521" s="3" t="str">
        <f>VLOOKUP(I521,SeasonFormats!$A$3:$B$999,2,0)</f>
        <v>Season</v>
      </c>
      <c r="K521" s="3">
        <v>107</v>
      </c>
      <c r="L521" s="3">
        <v>4</v>
      </c>
      <c r="M521" s="3" t="s">
        <v>465</v>
      </c>
      <c r="N521" s="3">
        <v>2</v>
      </c>
      <c r="O521" s="3" t="s">
        <v>10</v>
      </c>
      <c r="P521" s="3">
        <v>14</v>
      </c>
      <c r="Q521" s="7" t="d">
        <v>1979-12-01</v>
      </c>
      <c r="R521" s="3">
        <v>23</v>
      </c>
      <c r="S521" s="3"/>
      <c r="T521" s="4" t="s">
        <v>1074</v>
      </c>
      <c r="U521" s="3" t="str" cm="1">
        <f t="array" ref="U521">_xlfn.TEXTJOIN(",",TRUE,_xlfn.XLOOKUP(_xlfn.FILTERXML("&lt;t&gt;&lt;s&gt;" &amp; SUBSTITUTE(T521,",","&lt;/s&gt;&lt;s&gt;") &amp; "&lt;/s&gt;&lt;/t&gt;", "//s"),Writers!$A$3:$A$999,Writers!$B$3:$B$999,""))</f>
        <v>Bob Baker</v>
      </c>
      <c r="V521" s="3"/>
      <c r="W521" s="3" t="str">
        <f>IF(V521="","",_xlfn.XLOOKUP(V521,Writers!$A$3:$A$999,Writers!$B$3:$B$999,""))</f>
        <v/>
      </c>
      <c r="X521" s="3">
        <v>9.6</v>
      </c>
      <c r="Y521" s="3"/>
      <c r="Z521" s="3"/>
      <c r="AA521" s="3">
        <f t="shared" si="24"/>
        <v>11.66</v>
      </c>
      <c r="AB521" s="3" t="str">
        <f t="shared" si="25"/>
        <v/>
      </c>
      <c r="AC521" s="3" t="str">
        <f t="shared" si="26"/>
        <v/>
      </c>
      <c r="AD521" s="3">
        <f>VLOOKUP(YEAR(Q521),Populations!$A$3:$B$999,2,0)</f>
        <v>56240100</v>
      </c>
      <c r="AE521" s="3">
        <f>(Calculations!B1/AD521)</f>
        <v>1.2145236583861001</v>
      </c>
      <c r="AF521" s="3"/>
      <c r="AG521" s="3">
        <v>1</v>
      </c>
      <c r="AH521" s="3" t="str">
        <f>VLOOKUP(AG521,WikiFormats!$A$3:$B$999,2,0)</f>
        <v>Story</v>
      </c>
      <c r="AI521" s="3" t="s">
        <v>692</v>
      </c>
    </row>
    <row r="522" spans="1:35" s="8" customFormat="1" x14ac:dyDescent="0.55000000000000004">
      <c r="A522" s="3">
        <v>520</v>
      </c>
      <c r="B522" s="3">
        <v>1</v>
      </c>
      <c r="C522" s="3" t="str">
        <f>VLOOKUP(B522,Eras!$A$3:$B$999,2,0)</f>
        <v>Classic</v>
      </c>
      <c r="D522" s="3">
        <v>1</v>
      </c>
      <c r="E522" s="3" t="str">
        <f>VLOOKUP(D522,EpisodeFormats!$A$3:$B$999,2,0)</f>
        <v>Series</v>
      </c>
      <c r="F522" s="3">
        <v>4</v>
      </c>
      <c r="G522" s="3" t="str">
        <f>VLOOKUP(F522,Doctors!$A$3:$B$999,2,0)</f>
        <v>Tom Baker</v>
      </c>
      <c r="H522" s="3">
        <v>17</v>
      </c>
      <c r="I522" s="3">
        <v>1</v>
      </c>
      <c r="J522" s="3" t="str">
        <f>VLOOKUP(I522,SeasonFormats!$A$3:$B$999,2,0)</f>
        <v>Season</v>
      </c>
      <c r="K522" s="3">
        <v>107</v>
      </c>
      <c r="L522" s="3">
        <v>4</v>
      </c>
      <c r="M522" s="3" t="s">
        <v>465</v>
      </c>
      <c r="N522" s="3">
        <v>3</v>
      </c>
      <c r="O522" s="3" t="s">
        <v>11</v>
      </c>
      <c r="P522" s="3">
        <v>15</v>
      </c>
      <c r="Q522" s="7" t="d">
        <v>1979-12-08</v>
      </c>
      <c r="R522" s="3">
        <v>24</v>
      </c>
      <c r="S522" s="3"/>
      <c r="T522" s="4" t="s">
        <v>1074</v>
      </c>
      <c r="U522" s="3" t="str" cm="1">
        <f t="array" ref="U522">_xlfn.TEXTJOIN(",",TRUE,_xlfn.XLOOKUP(_xlfn.FILTERXML("&lt;t&gt;&lt;s&gt;" &amp; SUBSTITUTE(T522,",","&lt;/s&gt;&lt;s&gt;") &amp; "&lt;/s&gt;&lt;/t&gt;", "//s"),Writers!$A$3:$A$999,Writers!$B$3:$B$999,""))</f>
        <v>Bob Baker</v>
      </c>
      <c r="V522" s="3"/>
      <c r="W522" s="3" t="str">
        <f>IF(V522="","",_xlfn.XLOOKUP(V522,Writers!$A$3:$A$999,Writers!$B$3:$B$999,""))</f>
        <v/>
      </c>
      <c r="X522" s="3">
        <v>9.6</v>
      </c>
      <c r="Y522" s="3"/>
      <c r="Z522" s="3"/>
      <c r="AA522" s="3">
        <f t="shared" si="24"/>
        <v>11.66</v>
      </c>
      <c r="AB522" s="3" t="str">
        <f t="shared" si="25"/>
        <v/>
      </c>
      <c r="AC522" s="3" t="str">
        <f t="shared" si="26"/>
        <v/>
      </c>
      <c r="AD522" s="3">
        <f>VLOOKUP(YEAR(Q522),Populations!$A$3:$B$999,2,0)</f>
        <v>56240100</v>
      </c>
      <c r="AE522" s="3">
        <f>(Calculations!B1/AD522)</f>
        <v>1.2145236583861001</v>
      </c>
      <c r="AF522" s="3"/>
      <c r="AG522" s="3">
        <v>1</v>
      </c>
      <c r="AH522" s="3" t="str">
        <f>VLOOKUP(AG522,WikiFormats!$A$3:$B$999,2,0)</f>
        <v>Story</v>
      </c>
      <c r="AI522" s="3" t="s">
        <v>692</v>
      </c>
    </row>
    <row r="523" spans="1:35" s="8" customFormat="1" x14ac:dyDescent="0.55000000000000004">
      <c r="A523" s="3">
        <v>521</v>
      </c>
      <c r="B523" s="3">
        <v>1</v>
      </c>
      <c r="C523" s="3" t="str">
        <f>VLOOKUP(B523,Eras!$A$3:$B$999,2,0)</f>
        <v>Classic</v>
      </c>
      <c r="D523" s="3">
        <v>1</v>
      </c>
      <c r="E523" s="3" t="str">
        <f>VLOOKUP(D523,EpisodeFormats!$A$3:$B$999,2,0)</f>
        <v>Series</v>
      </c>
      <c r="F523" s="3">
        <v>4</v>
      </c>
      <c r="G523" s="3" t="str">
        <f>VLOOKUP(F523,Doctors!$A$3:$B$999,2,0)</f>
        <v>Tom Baker</v>
      </c>
      <c r="H523" s="3">
        <v>17</v>
      </c>
      <c r="I523" s="3">
        <v>1</v>
      </c>
      <c r="J523" s="3" t="str">
        <f>VLOOKUP(I523,SeasonFormats!$A$3:$B$999,2,0)</f>
        <v>Season</v>
      </c>
      <c r="K523" s="3">
        <v>107</v>
      </c>
      <c r="L523" s="3">
        <v>4</v>
      </c>
      <c r="M523" s="3" t="s">
        <v>465</v>
      </c>
      <c r="N523" s="3">
        <v>4</v>
      </c>
      <c r="O523" s="3" t="s">
        <v>12</v>
      </c>
      <c r="P523" s="3">
        <v>16</v>
      </c>
      <c r="Q523" s="7" t="d">
        <v>1979-12-15</v>
      </c>
      <c r="R523" s="3">
        <v>25</v>
      </c>
      <c r="S523" s="3"/>
      <c r="T523" s="4" t="s">
        <v>1074</v>
      </c>
      <c r="U523" s="3" t="str" cm="1">
        <f t="array" ref="U523">_xlfn.TEXTJOIN(",",TRUE,_xlfn.XLOOKUP(_xlfn.FILTERXML("&lt;t&gt;&lt;s&gt;" &amp; SUBSTITUTE(T523,",","&lt;/s&gt;&lt;s&gt;") &amp; "&lt;/s&gt;&lt;/t&gt;", "//s"),Writers!$A$3:$A$999,Writers!$B$3:$B$999,""))</f>
        <v>Bob Baker</v>
      </c>
      <c r="V523" s="3"/>
      <c r="W523" s="3" t="str">
        <f>IF(V523="","",_xlfn.XLOOKUP(V523,Writers!$A$3:$A$999,Writers!$B$3:$B$999,""))</f>
        <v/>
      </c>
      <c r="X523" s="3">
        <v>9.4</v>
      </c>
      <c r="Y523" s="3"/>
      <c r="Z523" s="3"/>
      <c r="AA523" s="3">
        <f t="shared" si="24"/>
        <v>11.42</v>
      </c>
      <c r="AB523" s="3" t="str">
        <f t="shared" si="25"/>
        <v/>
      </c>
      <c r="AC523" s="3" t="str">
        <f t="shared" si="26"/>
        <v/>
      </c>
      <c r="AD523" s="3">
        <f>VLOOKUP(YEAR(Q523),Populations!$A$3:$B$999,2,0)</f>
        <v>56240100</v>
      </c>
      <c r="AE523" s="3">
        <f>(Calculations!B1/AD523)</f>
        <v>1.2145236583861001</v>
      </c>
      <c r="AF523" s="3"/>
      <c r="AG523" s="3">
        <v>1</v>
      </c>
      <c r="AH523" s="3" t="str">
        <f>VLOOKUP(AG523,WikiFormats!$A$3:$B$999,2,0)</f>
        <v>Story</v>
      </c>
      <c r="AI523" s="3" t="s">
        <v>692</v>
      </c>
    </row>
    <row r="524" spans="1:35" s="2" customFormat="1" x14ac:dyDescent="0.55000000000000004">
      <c r="A524">
        <v>522</v>
      </c>
      <c r="B524">
        <v>1</v>
      </c>
      <c r="C524" t="str">
        <f>VLOOKUP(B524,Eras!$A$3:$B$999,2,0)</f>
        <v>Classic</v>
      </c>
      <c r="D524">
        <v>1</v>
      </c>
      <c r="E524" t="str">
        <f>VLOOKUP(D524,EpisodeFormats!$A$3:$B$999,2,0)</f>
        <v>Series</v>
      </c>
      <c r="F524">
        <v>4</v>
      </c>
      <c r="G524" t="str">
        <f>VLOOKUP(F524,Doctors!$A$3:$B$999,2,0)</f>
        <v>Tom Baker</v>
      </c>
      <c r="H524">
        <v>17</v>
      </c>
      <c r="I524">
        <v>1</v>
      </c>
      <c r="J524" t="str">
        <f>VLOOKUP(I524,SeasonFormats!$A$3:$B$999,2,0)</f>
        <v>Season</v>
      </c>
      <c r="K524">
        <v>108</v>
      </c>
      <c r="L524">
        <v>5</v>
      </c>
      <c r="M524" t="s">
        <v>466</v>
      </c>
      <c r="N524">
        <v>1</v>
      </c>
      <c r="O524" t="s">
        <v>9</v>
      </c>
      <c r="P524">
        <v>17</v>
      </c>
      <c r="Q524" s="6" t="d">
        <v>1979-12-22</v>
      </c>
      <c r="R524">
        <v>26</v>
      </c>
      <c r="S524"/>
      <c r="T524" s="15" t="s">
        <v>1133</v>
      </c>
      <c r="U524" t="str" cm="1">
        <f t="array" ref="U524">_xlfn.TEXTJOIN(",",TRUE,_xlfn.XLOOKUP(_xlfn.FILTERXML("&lt;t&gt;&lt;s&gt;" &amp; SUBSTITUTE(T524,",","&lt;/s&gt;&lt;s&gt;") &amp; "&lt;/s&gt;&lt;/t&gt;", "//s"),Writers!$A$3:$A$999,Writers!$B$3:$B$999,""))</f>
        <v>Anthony Read</v>
      </c>
      <c r="V524"/>
      <c r="W524" t="str">
        <f>IF(V524="","",_xlfn.XLOOKUP(V524,Writers!$A$3:$A$999,Writers!$B$3:$B$999,""))</f>
        <v/>
      </c>
      <c r="X524">
        <v>6</v>
      </c>
      <c r="Y524"/>
      <c r="Z524"/>
      <c r="AA524">
        <f t="shared" si="24"/>
        <v>7.29</v>
      </c>
      <c r="AB524" t="str">
        <f t="shared" si="25"/>
        <v/>
      </c>
      <c r="AC524" t="str">
        <f t="shared" si="26"/>
        <v/>
      </c>
      <c r="AD524">
        <f>VLOOKUP(YEAR(Q524),Populations!$A$3:$B$999,2,0)</f>
        <v>56240100</v>
      </c>
      <c r="AE524">
        <f>(Calculations!B1/AD524)</f>
        <v>1.2145236583861001</v>
      </c>
      <c r="AF524"/>
      <c r="AG524">
        <v>1</v>
      </c>
      <c r="AH524" t="str">
        <f>VLOOKUP(AG524,WikiFormats!$A$3:$B$999,2,0)</f>
        <v>Story</v>
      </c>
      <c r="AI524" t="s">
        <v>693</v>
      </c>
    </row>
    <row r="525" spans="1:35" s="2" customFormat="1" x14ac:dyDescent="0.55000000000000004">
      <c r="A525">
        <v>523</v>
      </c>
      <c r="B525">
        <v>1</v>
      </c>
      <c r="C525" t="str">
        <f>VLOOKUP(B525,Eras!$A$3:$B$999,2,0)</f>
        <v>Classic</v>
      </c>
      <c r="D525">
        <v>1</v>
      </c>
      <c r="E525" t="str">
        <f>VLOOKUP(D525,EpisodeFormats!$A$3:$B$999,2,0)</f>
        <v>Series</v>
      </c>
      <c r="F525">
        <v>4</v>
      </c>
      <c r="G525" t="str">
        <f>VLOOKUP(F525,Doctors!$A$3:$B$999,2,0)</f>
        <v>Tom Baker</v>
      </c>
      <c r="H525">
        <v>17</v>
      </c>
      <c r="I525">
        <v>1</v>
      </c>
      <c r="J525" t="str">
        <f>VLOOKUP(I525,SeasonFormats!$A$3:$B$999,2,0)</f>
        <v>Season</v>
      </c>
      <c r="K525">
        <v>108</v>
      </c>
      <c r="L525">
        <v>5</v>
      </c>
      <c r="M525" t="s">
        <v>466</v>
      </c>
      <c r="N525">
        <v>2</v>
      </c>
      <c r="O525" t="s">
        <v>10</v>
      </c>
      <c r="P525">
        <v>18</v>
      </c>
      <c r="Q525" s="6" t="d">
        <v>1979-12-29</v>
      </c>
      <c r="R525">
        <v>25</v>
      </c>
      <c r="S525"/>
      <c r="T525" s="15" t="s">
        <v>1133</v>
      </c>
      <c r="U525" t="str" cm="1">
        <f t="array" ref="U525">_xlfn.TEXTJOIN(",",TRUE,_xlfn.XLOOKUP(_xlfn.FILTERXML("&lt;t&gt;&lt;s&gt;" &amp; SUBSTITUTE(T525,",","&lt;/s&gt;&lt;s&gt;") &amp; "&lt;/s&gt;&lt;/t&gt;", "//s"),Writers!$A$3:$A$999,Writers!$B$3:$B$999,""))</f>
        <v>Anthony Read</v>
      </c>
      <c r="V525"/>
      <c r="W525" t="str">
        <f>IF(V525="","",_xlfn.XLOOKUP(V525,Writers!$A$3:$A$999,Writers!$B$3:$B$999,""))</f>
        <v/>
      </c>
      <c r="X525">
        <v>8.8000000000000007</v>
      </c>
      <c r="Y525"/>
      <c r="Z525"/>
      <c r="AA525">
        <f t="shared" si="24"/>
        <v>10.69</v>
      </c>
      <c r="AB525" t="str">
        <f t="shared" si="25"/>
        <v/>
      </c>
      <c r="AC525" t="str">
        <f t="shared" si="26"/>
        <v/>
      </c>
      <c r="AD525">
        <f>VLOOKUP(YEAR(Q525),Populations!$A$3:$B$999,2,0)</f>
        <v>56240100</v>
      </c>
      <c r="AE525">
        <f>(Calculations!B1/AD525)</f>
        <v>1.2145236583861001</v>
      </c>
      <c r="AF525"/>
      <c r="AG525">
        <v>1</v>
      </c>
      <c r="AH525" t="str">
        <f>VLOOKUP(AG525,WikiFormats!$A$3:$B$999,2,0)</f>
        <v>Story</v>
      </c>
      <c r="AI525" t="s">
        <v>693</v>
      </c>
    </row>
    <row r="526" spans="1:35" s="2" customFormat="1" x14ac:dyDescent="0.55000000000000004">
      <c r="A526">
        <v>524</v>
      </c>
      <c r="B526">
        <v>1</v>
      </c>
      <c r="C526" t="str">
        <f>VLOOKUP(B526,Eras!$A$3:$B$999,2,0)</f>
        <v>Classic</v>
      </c>
      <c r="D526">
        <v>1</v>
      </c>
      <c r="E526" t="str">
        <f>VLOOKUP(D526,EpisodeFormats!$A$3:$B$999,2,0)</f>
        <v>Series</v>
      </c>
      <c r="F526">
        <v>4</v>
      </c>
      <c r="G526" t="str">
        <f>VLOOKUP(F526,Doctors!$A$3:$B$999,2,0)</f>
        <v>Tom Baker</v>
      </c>
      <c r="H526">
        <v>17</v>
      </c>
      <c r="I526">
        <v>1</v>
      </c>
      <c r="J526" t="str">
        <f>VLOOKUP(I526,SeasonFormats!$A$3:$B$999,2,0)</f>
        <v>Season</v>
      </c>
      <c r="K526">
        <v>108</v>
      </c>
      <c r="L526">
        <v>5</v>
      </c>
      <c r="M526" t="s">
        <v>466</v>
      </c>
      <c r="N526">
        <v>3</v>
      </c>
      <c r="O526" t="s">
        <v>11</v>
      </c>
      <c r="P526">
        <v>19</v>
      </c>
      <c r="Q526" s="6" t="d">
        <v>1980-01-05</v>
      </c>
      <c r="R526">
        <v>23</v>
      </c>
      <c r="S526"/>
      <c r="T526" s="15" t="s">
        <v>1133</v>
      </c>
      <c r="U526" t="str" cm="1">
        <f t="array" ref="U526">_xlfn.TEXTJOIN(",",TRUE,_xlfn.XLOOKUP(_xlfn.FILTERXML("&lt;t&gt;&lt;s&gt;" &amp; SUBSTITUTE(T526,",","&lt;/s&gt;&lt;s&gt;") &amp; "&lt;/s&gt;&lt;/t&gt;", "//s"),Writers!$A$3:$A$999,Writers!$B$3:$B$999,""))</f>
        <v>Anthony Read</v>
      </c>
      <c r="V526"/>
      <c r="W526" t="str">
        <f>IF(V526="","",_xlfn.XLOOKUP(V526,Writers!$A$3:$A$999,Writers!$B$3:$B$999,""))</f>
        <v/>
      </c>
      <c r="X526">
        <v>9.8000000000000007</v>
      </c>
      <c r="Y526"/>
      <c r="Z526"/>
      <c r="AA526">
        <f t="shared" si="24"/>
        <v>11.88</v>
      </c>
      <c r="AB526" t="str">
        <f t="shared" si="25"/>
        <v/>
      </c>
      <c r="AC526" t="str">
        <f t="shared" si="26"/>
        <v/>
      </c>
      <c r="AD526">
        <f>VLOOKUP(YEAR(Q526),Populations!$A$3:$B$999,2,0)</f>
        <v>56329700</v>
      </c>
      <c r="AE526">
        <f>(Calculations!B1/AD526)</f>
        <v>1.2125917943819999</v>
      </c>
      <c r="AF526"/>
      <c r="AG526">
        <v>1</v>
      </c>
      <c r="AH526" t="str">
        <f>VLOOKUP(AG526,WikiFormats!$A$3:$B$999,2,0)</f>
        <v>Story</v>
      </c>
      <c r="AI526" t="s">
        <v>693</v>
      </c>
    </row>
    <row r="527" spans="1:35" s="2" customFormat="1" x14ac:dyDescent="0.55000000000000004">
      <c r="A527">
        <v>525</v>
      </c>
      <c r="B527">
        <v>1</v>
      </c>
      <c r="C527" t="str">
        <f>VLOOKUP(B527,Eras!$A$3:$B$999,2,0)</f>
        <v>Classic</v>
      </c>
      <c r="D527">
        <v>1</v>
      </c>
      <c r="E527" t="str">
        <f>VLOOKUP(D527,EpisodeFormats!$A$3:$B$999,2,0)</f>
        <v>Series</v>
      </c>
      <c r="F527">
        <v>4</v>
      </c>
      <c r="G527" t="str">
        <f>VLOOKUP(F527,Doctors!$A$3:$B$999,2,0)</f>
        <v>Tom Baker</v>
      </c>
      <c r="H527">
        <v>17</v>
      </c>
      <c r="I527">
        <v>1</v>
      </c>
      <c r="J527" t="str">
        <f>VLOOKUP(I527,SeasonFormats!$A$3:$B$999,2,0)</f>
        <v>Season</v>
      </c>
      <c r="K527">
        <v>108</v>
      </c>
      <c r="L527">
        <v>5</v>
      </c>
      <c r="M527" t="s">
        <v>466</v>
      </c>
      <c r="N527">
        <v>4</v>
      </c>
      <c r="O527" t="s">
        <v>12</v>
      </c>
      <c r="P527">
        <v>20</v>
      </c>
      <c r="Q527" s="6" t="d">
        <v>1980-01-12</v>
      </c>
      <c r="R527">
        <v>27</v>
      </c>
      <c r="S527"/>
      <c r="T527" s="15" t="s">
        <v>1133</v>
      </c>
      <c r="U527" t="str" cm="1">
        <f t="array" ref="U527">_xlfn.TEXTJOIN(",",TRUE,_xlfn.XLOOKUP(_xlfn.FILTERXML("&lt;t&gt;&lt;s&gt;" &amp; SUBSTITUTE(T527,",","&lt;/s&gt;&lt;s&gt;") &amp; "&lt;/s&gt;&lt;/t&gt;", "//s"),Writers!$A$3:$A$999,Writers!$B$3:$B$999,""))</f>
        <v>Anthony Read</v>
      </c>
      <c r="V527"/>
      <c r="W527" t="str">
        <f>IF(V527="","",_xlfn.XLOOKUP(V527,Writers!$A$3:$A$999,Writers!$B$3:$B$999,""))</f>
        <v/>
      </c>
      <c r="X527">
        <v>10.4</v>
      </c>
      <c r="Y527"/>
      <c r="Z527"/>
      <c r="AA527">
        <f t="shared" si="24"/>
        <v>12.61</v>
      </c>
      <c r="AB527" t="str">
        <f t="shared" si="25"/>
        <v/>
      </c>
      <c r="AC527" t="str">
        <f t="shared" si="26"/>
        <v/>
      </c>
      <c r="AD527">
        <f>VLOOKUP(YEAR(Q527),Populations!$A$3:$B$999,2,0)</f>
        <v>56329700</v>
      </c>
      <c r="AE527">
        <f>(Calculations!B1/AD527)</f>
        <v>1.2125917943819999</v>
      </c>
      <c r="AF527"/>
      <c r="AG527">
        <v>1</v>
      </c>
      <c r="AH527" t="str">
        <f>VLOOKUP(AG527,WikiFormats!$A$3:$B$999,2,0)</f>
        <v>Story</v>
      </c>
      <c r="AI527" t="s">
        <v>693</v>
      </c>
    </row>
    <row r="528" spans="1:35" s="8" customFormat="1" x14ac:dyDescent="0.55000000000000004">
      <c r="A528" s="3">
        <v>526</v>
      </c>
      <c r="B528" s="3">
        <v>1</v>
      </c>
      <c r="C528" s="3" t="str">
        <f>VLOOKUP(B528,Eras!$A$3:$B$999,2,0)</f>
        <v>Classic</v>
      </c>
      <c r="D528" s="3">
        <v>1</v>
      </c>
      <c r="E528" s="3" t="str">
        <f>VLOOKUP(D528,EpisodeFormats!$A$3:$B$999,2,0)</f>
        <v>Series</v>
      </c>
      <c r="F528" s="3">
        <v>4</v>
      </c>
      <c r="G528" s="3" t="str">
        <f>VLOOKUP(F528,Doctors!$A$3:$B$999,2,0)</f>
        <v>Tom Baker</v>
      </c>
      <c r="H528" s="3">
        <v>18</v>
      </c>
      <c r="I528" s="3">
        <v>1</v>
      </c>
      <c r="J528" s="3" t="str">
        <f>VLOOKUP(I528,SeasonFormats!$A$3:$B$999,2,0)</f>
        <v>Season</v>
      </c>
      <c r="K528" s="3">
        <v>109</v>
      </c>
      <c r="L528" s="3">
        <v>1</v>
      </c>
      <c r="M528" s="3" t="s">
        <v>467</v>
      </c>
      <c r="N528" s="3">
        <v>1</v>
      </c>
      <c r="O528" s="3" t="s">
        <v>9</v>
      </c>
      <c r="P528" s="3">
        <v>1</v>
      </c>
      <c r="Q528" s="7" t="d">
        <v>1980-08-30</v>
      </c>
      <c r="R528" s="3">
        <v>24</v>
      </c>
      <c r="S528" s="3"/>
      <c r="T528" s="4" t="s">
        <v>1111</v>
      </c>
      <c r="U528" s="3" t="str" cm="1">
        <f t="array" ref="U528">_xlfn.TEXTJOIN(",",TRUE,_xlfn.XLOOKUP(_xlfn.FILTERXML("&lt;t&gt;&lt;s&gt;" &amp; SUBSTITUTE(T528,",","&lt;/s&gt;&lt;s&gt;") &amp; "&lt;/s&gt;&lt;/t&gt;", "//s"),Writers!$A$3:$A$999,Writers!$B$3:$B$999,""))</f>
        <v>David Fisher</v>
      </c>
      <c r="V528" s="3"/>
      <c r="W528" s="3" t="str">
        <f>IF(V528="","",_xlfn.XLOOKUP(V528,Writers!$A$3:$A$999,Writers!$B$3:$B$999,""))</f>
        <v/>
      </c>
      <c r="X528" s="3">
        <v>5.9</v>
      </c>
      <c r="Y528" s="3"/>
      <c r="Z528" s="3"/>
      <c r="AA528" s="3">
        <f t="shared" si="24"/>
        <v>7.15</v>
      </c>
      <c r="AB528" s="3" t="str">
        <f t="shared" si="25"/>
        <v/>
      </c>
      <c r="AC528" s="3" t="str">
        <f t="shared" si="26"/>
        <v/>
      </c>
      <c r="AD528" s="3">
        <f>VLOOKUP(YEAR(Q528),Populations!$A$3:$B$999,2,0)</f>
        <v>56329700</v>
      </c>
      <c r="AE528" s="3">
        <f>(Calculations!B1/AD528)</f>
        <v>1.2125917943819999</v>
      </c>
      <c r="AF528" s="3"/>
      <c r="AG528" s="3">
        <v>1</v>
      </c>
      <c r="AH528" s="3" t="str">
        <f>VLOOKUP(AG528,WikiFormats!$A$3:$B$999,2,0)</f>
        <v>Story</v>
      </c>
      <c r="AI528" s="3" t="s">
        <v>694</v>
      </c>
    </row>
    <row r="529" spans="1:35" s="8" customFormat="1" x14ac:dyDescent="0.55000000000000004">
      <c r="A529" s="3">
        <v>527</v>
      </c>
      <c r="B529" s="3">
        <v>1</v>
      </c>
      <c r="C529" s="3" t="str">
        <f>VLOOKUP(B529,Eras!$A$3:$B$999,2,0)</f>
        <v>Classic</v>
      </c>
      <c r="D529" s="3">
        <v>1</v>
      </c>
      <c r="E529" s="3" t="str">
        <f>VLOOKUP(D529,EpisodeFormats!$A$3:$B$999,2,0)</f>
        <v>Series</v>
      </c>
      <c r="F529" s="3">
        <v>4</v>
      </c>
      <c r="G529" s="3" t="str">
        <f>VLOOKUP(F529,Doctors!$A$3:$B$999,2,0)</f>
        <v>Tom Baker</v>
      </c>
      <c r="H529" s="3">
        <v>18</v>
      </c>
      <c r="I529" s="3">
        <v>1</v>
      </c>
      <c r="J529" s="3" t="str">
        <f>VLOOKUP(I529,SeasonFormats!$A$3:$B$999,2,0)</f>
        <v>Season</v>
      </c>
      <c r="K529" s="3">
        <v>109</v>
      </c>
      <c r="L529" s="3">
        <v>1</v>
      </c>
      <c r="M529" s="3" t="s">
        <v>467</v>
      </c>
      <c r="N529" s="3">
        <v>2</v>
      </c>
      <c r="O529" s="3" t="s">
        <v>10</v>
      </c>
      <c r="P529" s="3">
        <v>2</v>
      </c>
      <c r="Q529" s="7" t="d">
        <v>1980-09-06</v>
      </c>
      <c r="R529" s="3">
        <v>21</v>
      </c>
      <c r="S529" s="3"/>
      <c r="T529" s="4" t="s">
        <v>1111</v>
      </c>
      <c r="U529" s="3" t="str" cm="1">
        <f t="array" ref="U529">_xlfn.TEXTJOIN(",",TRUE,_xlfn.XLOOKUP(_xlfn.FILTERXML("&lt;t&gt;&lt;s&gt;" &amp; SUBSTITUTE(T529,",","&lt;/s&gt;&lt;s&gt;") &amp; "&lt;/s&gt;&lt;/t&gt;", "//s"),Writers!$A$3:$A$999,Writers!$B$3:$B$999,""))</f>
        <v>David Fisher</v>
      </c>
      <c r="V529" s="3"/>
      <c r="W529" s="3" t="str">
        <f>IF(V529="","",_xlfn.XLOOKUP(V529,Writers!$A$3:$A$999,Writers!$B$3:$B$999,""))</f>
        <v/>
      </c>
      <c r="X529" s="3">
        <v>5</v>
      </c>
      <c r="Y529" s="3"/>
      <c r="Z529" s="3"/>
      <c r="AA529" s="3">
        <f t="shared" si="24"/>
        <v>6.06</v>
      </c>
      <c r="AB529" s="3" t="str">
        <f t="shared" si="25"/>
        <v/>
      </c>
      <c r="AC529" s="3" t="str">
        <f t="shared" si="26"/>
        <v/>
      </c>
      <c r="AD529" s="3">
        <f>VLOOKUP(YEAR(Q529),Populations!$A$3:$B$999,2,0)</f>
        <v>56329700</v>
      </c>
      <c r="AE529" s="3">
        <f>(Calculations!B1/AD529)</f>
        <v>1.2125917943819999</v>
      </c>
      <c r="AF529" s="3"/>
      <c r="AG529" s="3">
        <v>1</v>
      </c>
      <c r="AH529" s="3" t="str">
        <f>VLOOKUP(AG529,WikiFormats!$A$3:$B$999,2,0)</f>
        <v>Story</v>
      </c>
      <c r="AI529" s="3" t="s">
        <v>694</v>
      </c>
    </row>
    <row r="530" spans="1:35" s="8" customFormat="1" x14ac:dyDescent="0.55000000000000004">
      <c r="A530" s="3">
        <v>528</v>
      </c>
      <c r="B530" s="3">
        <v>1</v>
      </c>
      <c r="C530" s="3" t="str">
        <f>VLOOKUP(B530,Eras!$A$3:$B$999,2,0)</f>
        <v>Classic</v>
      </c>
      <c r="D530" s="3">
        <v>1</v>
      </c>
      <c r="E530" s="3" t="str">
        <f>VLOOKUP(D530,EpisodeFormats!$A$3:$B$999,2,0)</f>
        <v>Series</v>
      </c>
      <c r="F530" s="3">
        <v>4</v>
      </c>
      <c r="G530" s="3" t="str">
        <f>VLOOKUP(F530,Doctors!$A$3:$B$999,2,0)</f>
        <v>Tom Baker</v>
      </c>
      <c r="H530" s="3">
        <v>18</v>
      </c>
      <c r="I530" s="3">
        <v>1</v>
      </c>
      <c r="J530" s="3" t="str">
        <f>VLOOKUP(I530,SeasonFormats!$A$3:$B$999,2,0)</f>
        <v>Season</v>
      </c>
      <c r="K530" s="3">
        <v>109</v>
      </c>
      <c r="L530" s="3">
        <v>1</v>
      </c>
      <c r="M530" s="3" t="s">
        <v>467</v>
      </c>
      <c r="N530" s="3">
        <v>3</v>
      </c>
      <c r="O530" s="3" t="s">
        <v>11</v>
      </c>
      <c r="P530" s="3">
        <v>3</v>
      </c>
      <c r="Q530" s="7" t="d">
        <v>1980-09-13</v>
      </c>
      <c r="R530" s="3">
        <v>21</v>
      </c>
      <c r="S530" s="3"/>
      <c r="T530" s="4" t="s">
        <v>1111</v>
      </c>
      <c r="U530" s="3" t="str" cm="1">
        <f t="array" ref="U530">_xlfn.TEXTJOIN(",",TRUE,_xlfn.XLOOKUP(_xlfn.FILTERXML("&lt;t&gt;&lt;s&gt;" &amp; SUBSTITUTE(T530,",","&lt;/s&gt;&lt;s&gt;") &amp; "&lt;/s&gt;&lt;/t&gt;", "//s"),Writers!$A$3:$A$999,Writers!$B$3:$B$999,""))</f>
        <v>David Fisher</v>
      </c>
      <c r="V530" s="3"/>
      <c r="W530" s="3" t="str">
        <f>IF(V530="","",_xlfn.XLOOKUP(V530,Writers!$A$3:$A$999,Writers!$B$3:$B$999,""))</f>
        <v/>
      </c>
      <c r="X530" s="3">
        <v>5</v>
      </c>
      <c r="Y530" s="3"/>
      <c r="Z530" s="3"/>
      <c r="AA530" s="3">
        <f t="shared" si="24"/>
        <v>6.06</v>
      </c>
      <c r="AB530" s="3" t="str">
        <f t="shared" si="25"/>
        <v/>
      </c>
      <c r="AC530" s="3" t="str">
        <f t="shared" si="26"/>
        <v/>
      </c>
      <c r="AD530" s="3">
        <f>VLOOKUP(YEAR(Q530),Populations!$A$3:$B$999,2,0)</f>
        <v>56329700</v>
      </c>
      <c r="AE530" s="3">
        <f>(Calculations!B1/AD530)</f>
        <v>1.2125917943819999</v>
      </c>
      <c r="AF530" s="3"/>
      <c r="AG530" s="3">
        <v>1</v>
      </c>
      <c r="AH530" s="3" t="str">
        <f>VLOOKUP(AG530,WikiFormats!$A$3:$B$999,2,0)</f>
        <v>Story</v>
      </c>
      <c r="AI530" s="3" t="s">
        <v>694</v>
      </c>
    </row>
    <row r="531" spans="1:35" s="8" customFormat="1" x14ac:dyDescent="0.55000000000000004">
      <c r="A531" s="3">
        <v>529</v>
      </c>
      <c r="B531" s="3">
        <v>1</v>
      </c>
      <c r="C531" s="3" t="str">
        <f>VLOOKUP(B531,Eras!$A$3:$B$999,2,0)</f>
        <v>Classic</v>
      </c>
      <c r="D531" s="3">
        <v>1</v>
      </c>
      <c r="E531" s="3" t="str">
        <f>VLOOKUP(D531,EpisodeFormats!$A$3:$B$999,2,0)</f>
        <v>Series</v>
      </c>
      <c r="F531" s="3">
        <v>4</v>
      </c>
      <c r="G531" s="3" t="str">
        <f>VLOOKUP(F531,Doctors!$A$3:$B$999,2,0)</f>
        <v>Tom Baker</v>
      </c>
      <c r="H531" s="3">
        <v>18</v>
      </c>
      <c r="I531" s="3">
        <v>1</v>
      </c>
      <c r="J531" s="3" t="str">
        <f>VLOOKUP(I531,SeasonFormats!$A$3:$B$999,2,0)</f>
        <v>Season</v>
      </c>
      <c r="K531" s="3">
        <v>109</v>
      </c>
      <c r="L531" s="3">
        <v>1</v>
      </c>
      <c r="M531" s="3" t="s">
        <v>467</v>
      </c>
      <c r="N531" s="3">
        <v>4</v>
      </c>
      <c r="O531" s="3" t="s">
        <v>12</v>
      </c>
      <c r="P531" s="3">
        <v>4</v>
      </c>
      <c r="Q531" s="7" t="d">
        <v>1980-09-20</v>
      </c>
      <c r="R531" s="3">
        <v>21</v>
      </c>
      <c r="S531" s="3"/>
      <c r="T531" s="4" t="s">
        <v>1111</v>
      </c>
      <c r="U531" s="3" t="str" cm="1">
        <f t="array" ref="U531">_xlfn.TEXTJOIN(",",TRUE,_xlfn.XLOOKUP(_xlfn.FILTERXML("&lt;t&gt;&lt;s&gt;" &amp; SUBSTITUTE(T531,",","&lt;/s&gt;&lt;s&gt;") &amp; "&lt;/s&gt;&lt;/t&gt;", "//s"),Writers!$A$3:$A$999,Writers!$B$3:$B$999,""))</f>
        <v>David Fisher</v>
      </c>
      <c r="V531" s="3"/>
      <c r="W531" s="3" t="str">
        <f>IF(V531="","",_xlfn.XLOOKUP(V531,Writers!$A$3:$A$999,Writers!$B$3:$B$999,""))</f>
        <v/>
      </c>
      <c r="X531" s="3">
        <v>4.5</v>
      </c>
      <c r="Y531" s="3"/>
      <c r="Z531" s="3"/>
      <c r="AA531" s="3">
        <f t="shared" si="24"/>
        <v>5.46</v>
      </c>
      <c r="AB531" s="3" t="str">
        <f t="shared" si="25"/>
        <v/>
      </c>
      <c r="AC531" s="3" t="str">
        <f t="shared" si="26"/>
        <v/>
      </c>
      <c r="AD531" s="3">
        <f>VLOOKUP(YEAR(Q531),Populations!$A$3:$B$999,2,0)</f>
        <v>56329700</v>
      </c>
      <c r="AE531" s="3">
        <f>(Calculations!B1/AD531)</f>
        <v>1.2125917943819999</v>
      </c>
      <c r="AF531" s="3"/>
      <c r="AG531" s="3">
        <v>1</v>
      </c>
      <c r="AH531" s="3" t="str">
        <f>VLOOKUP(AG531,WikiFormats!$A$3:$B$999,2,0)</f>
        <v>Story</v>
      </c>
      <c r="AI531" s="3" t="s">
        <v>694</v>
      </c>
    </row>
    <row r="532" spans="1:35" s="2" customFormat="1" x14ac:dyDescent="0.55000000000000004">
      <c r="A532">
        <v>530</v>
      </c>
      <c r="B532">
        <v>1</v>
      </c>
      <c r="C532" t="str">
        <f>VLOOKUP(B532,Eras!$A$3:$B$999,2,0)</f>
        <v>Classic</v>
      </c>
      <c r="D532">
        <v>1</v>
      </c>
      <c r="E532" t="str">
        <f>VLOOKUP(D532,EpisodeFormats!$A$3:$B$999,2,0)</f>
        <v>Series</v>
      </c>
      <c r="F532">
        <v>4</v>
      </c>
      <c r="G532" t="str">
        <f>VLOOKUP(F532,Doctors!$A$3:$B$999,2,0)</f>
        <v>Tom Baker</v>
      </c>
      <c r="H532">
        <v>18</v>
      </c>
      <c r="I532">
        <v>1</v>
      </c>
      <c r="J532" t="str">
        <f>VLOOKUP(I532,SeasonFormats!$A$3:$B$999,2,0)</f>
        <v>Season</v>
      </c>
      <c r="K532">
        <v>110</v>
      </c>
      <c r="L532">
        <v>2</v>
      </c>
      <c r="M532" t="s">
        <v>468</v>
      </c>
      <c r="N532">
        <v>1</v>
      </c>
      <c r="O532" t="s">
        <v>9</v>
      </c>
      <c r="P532">
        <v>5</v>
      </c>
      <c r="Q532" s="6" t="d">
        <v>1980-09-27</v>
      </c>
      <c r="R532">
        <v>25</v>
      </c>
      <c r="S532"/>
      <c r="T532" s="15" t="s">
        <v>1152</v>
      </c>
      <c r="U532" t="str" cm="1">
        <f t="array" ref="U532">_xlfn.TEXTJOIN(",",TRUE,_xlfn.XLOOKUP(_xlfn.FILTERXML("&lt;t&gt;&lt;s&gt;" &amp; SUBSTITUTE(T532,",","&lt;/s&gt;&lt;s&gt;") &amp; "&lt;/s&gt;&lt;/t&gt;", "//s"),Writers!$A$3:$A$999,Writers!$B$3:$B$999,""))</f>
        <v>John Flanagan,Andrew McCulloch</v>
      </c>
      <c r="V532"/>
      <c r="W532" t="str">
        <f>IF(V532="","",_xlfn.XLOOKUP(V532,Writers!$A$3:$A$999,Writers!$B$3:$B$999,""))</f>
        <v/>
      </c>
      <c r="X532">
        <v>5</v>
      </c>
      <c r="Y532"/>
      <c r="Z532"/>
      <c r="AA532">
        <f t="shared" si="24"/>
        <v>6.06</v>
      </c>
      <c r="AB532" t="str">
        <f t="shared" si="25"/>
        <v/>
      </c>
      <c r="AC532" t="str">
        <f t="shared" si="26"/>
        <v/>
      </c>
      <c r="AD532">
        <f>VLOOKUP(YEAR(Q532),Populations!$A$3:$B$999,2,0)</f>
        <v>56329700</v>
      </c>
      <c r="AE532">
        <f>(Calculations!B1/AD532)</f>
        <v>1.2125917943819999</v>
      </c>
      <c r="AF532"/>
      <c r="AG532">
        <v>1</v>
      </c>
      <c r="AH532" t="str">
        <f>VLOOKUP(AG532,WikiFormats!$A$3:$B$999,2,0)</f>
        <v>Story</v>
      </c>
      <c r="AI532" t="s">
        <v>695</v>
      </c>
    </row>
    <row r="533" spans="1:35" s="2" customFormat="1" x14ac:dyDescent="0.55000000000000004">
      <c r="A533">
        <v>531</v>
      </c>
      <c r="B533">
        <v>1</v>
      </c>
      <c r="C533" t="str">
        <f>VLOOKUP(B533,Eras!$A$3:$B$999,2,0)</f>
        <v>Classic</v>
      </c>
      <c r="D533">
        <v>1</v>
      </c>
      <c r="E533" t="str">
        <f>VLOOKUP(D533,EpisodeFormats!$A$3:$B$999,2,0)</f>
        <v>Series</v>
      </c>
      <c r="F533">
        <v>4</v>
      </c>
      <c r="G533" t="str">
        <f>VLOOKUP(F533,Doctors!$A$3:$B$999,2,0)</f>
        <v>Tom Baker</v>
      </c>
      <c r="H533">
        <v>18</v>
      </c>
      <c r="I533">
        <v>1</v>
      </c>
      <c r="J533" t="str">
        <f>VLOOKUP(I533,SeasonFormats!$A$3:$B$999,2,0)</f>
        <v>Season</v>
      </c>
      <c r="K533">
        <v>110</v>
      </c>
      <c r="L533">
        <v>2</v>
      </c>
      <c r="M533" t="s">
        <v>468</v>
      </c>
      <c r="N533">
        <v>2</v>
      </c>
      <c r="O533" t="s">
        <v>10</v>
      </c>
      <c r="P533">
        <v>6</v>
      </c>
      <c r="Q533" s="6" t="d">
        <v>1980-10-04</v>
      </c>
      <c r="R533">
        <v>21</v>
      </c>
      <c r="S533"/>
      <c r="T533" s="15" t="s">
        <v>1152</v>
      </c>
      <c r="U533" t="str" cm="1">
        <f t="array" ref="U533">_xlfn.TEXTJOIN(",",TRUE,_xlfn.XLOOKUP(_xlfn.FILTERXML("&lt;t&gt;&lt;s&gt;" &amp; SUBSTITUTE(T533,",","&lt;/s&gt;&lt;s&gt;") &amp; "&lt;/s&gt;&lt;/t&gt;", "//s"),Writers!$A$3:$A$999,Writers!$B$3:$B$999,""))</f>
        <v>John Flanagan,Andrew McCulloch</v>
      </c>
      <c r="V533"/>
      <c r="W533" t="str">
        <f>IF(V533="","",_xlfn.XLOOKUP(V533,Writers!$A$3:$A$999,Writers!$B$3:$B$999,""))</f>
        <v/>
      </c>
      <c r="X533">
        <v>4.2</v>
      </c>
      <c r="Y533"/>
      <c r="Z533"/>
      <c r="AA533">
        <f t="shared" si="24"/>
        <v>5.09</v>
      </c>
      <c r="AB533" t="str">
        <f t="shared" si="25"/>
        <v/>
      </c>
      <c r="AC533" t="str">
        <f t="shared" si="26"/>
        <v/>
      </c>
      <c r="AD533">
        <f>VLOOKUP(YEAR(Q533),Populations!$A$3:$B$999,2,0)</f>
        <v>56329700</v>
      </c>
      <c r="AE533">
        <f>(Calculations!B1/AD533)</f>
        <v>1.2125917943819999</v>
      </c>
      <c r="AF533"/>
      <c r="AG533">
        <v>1</v>
      </c>
      <c r="AH533" t="str">
        <f>VLOOKUP(AG533,WikiFormats!$A$3:$B$999,2,0)</f>
        <v>Story</v>
      </c>
      <c r="AI533" t="s">
        <v>695</v>
      </c>
    </row>
    <row r="534" spans="1:35" s="2" customFormat="1" x14ac:dyDescent="0.55000000000000004">
      <c r="A534">
        <v>532</v>
      </c>
      <c r="B534">
        <v>1</v>
      </c>
      <c r="C534" t="str">
        <f>VLOOKUP(B534,Eras!$A$3:$B$999,2,0)</f>
        <v>Classic</v>
      </c>
      <c r="D534">
        <v>1</v>
      </c>
      <c r="E534" t="str">
        <f>VLOOKUP(D534,EpisodeFormats!$A$3:$B$999,2,0)</f>
        <v>Series</v>
      </c>
      <c r="F534">
        <v>4</v>
      </c>
      <c r="G534" t="str">
        <f>VLOOKUP(F534,Doctors!$A$3:$B$999,2,0)</f>
        <v>Tom Baker</v>
      </c>
      <c r="H534">
        <v>18</v>
      </c>
      <c r="I534">
        <v>1</v>
      </c>
      <c r="J534" t="str">
        <f>VLOOKUP(I534,SeasonFormats!$A$3:$B$999,2,0)</f>
        <v>Season</v>
      </c>
      <c r="K534">
        <v>110</v>
      </c>
      <c r="L534">
        <v>2</v>
      </c>
      <c r="M534" t="s">
        <v>468</v>
      </c>
      <c r="N534">
        <v>3</v>
      </c>
      <c r="O534" t="s">
        <v>11</v>
      </c>
      <c r="P534">
        <v>7</v>
      </c>
      <c r="Q534" s="6" t="d">
        <v>1980-10-11</v>
      </c>
      <c r="R534">
        <v>21</v>
      </c>
      <c r="S534"/>
      <c r="T534" s="15" t="s">
        <v>1152</v>
      </c>
      <c r="U534" t="str" cm="1">
        <f t="array" ref="U534">_xlfn.TEXTJOIN(",",TRUE,_xlfn.XLOOKUP(_xlfn.FILTERXML("&lt;t&gt;&lt;s&gt;" &amp; SUBSTITUTE(T534,",","&lt;/s&gt;&lt;s&gt;") &amp; "&lt;/s&gt;&lt;/t&gt;", "//s"),Writers!$A$3:$A$999,Writers!$B$3:$B$999,""))</f>
        <v>John Flanagan,Andrew McCulloch</v>
      </c>
      <c r="V534"/>
      <c r="W534" t="str">
        <f>IF(V534="","",_xlfn.XLOOKUP(V534,Writers!$A$3:$A$999,Writers!$B$3:$B$999,""))</f>
        <v/>
      </c>
      <c r="X534">
        <v>4.7</v>
      </c>
      <c r="Y534"/>
      <c r="Z534"/>
      <c r="AA534">
        <f t="shared" si="24"/>
        <v>5.7</v>
      </c>
      <c r="AB534" t="str">
        <f t="shared" si="25"/>
        <v/>
      </c>
      <c r="AC534" t="str">
        <f t="shared" si="26"/>
        <v/>
      </c>
      <c r="AD534">
        <f>VLOOKUP(YEAR(Q534),Populations!$A$3:$B$999,2,0)</f>
        <v>56329700</v>
      </c>
      <c r="AE534">
        <f>(Calculations!B1/AD534)</f>
        <v>1.2125917943819999</v>
      </c>
      <c r="AF534"/>
      <c r="AG534">
        <v>1</v>
      </c>
      <c r="AH534" t="str">
        <f>VLOOKUP(AG534,WikiFormats!$A$3:$B$999,2,0)</f>
        <v>Story</v>
      </c>
      <c r="AI534" t="s">
        <v>695</v>
      </c>
    </row>
    <row r="535" spans="1:35" s="2" customFormat="1" x14ac:dyDescent="0.55000000000000004">
      <c r="A535">
        <v>533</v>
      </c>
      <c r="B535">
        <v>1</v>
      </c>
      <c r="C535" t="str">
        <f>VLOOKUP(B535,Eras!$A$3:$B$999,2,0)</f>
        <v>Classic</v>
      </c>
      <c r="D535">
        <v>1</v>
      </c>
      <c r="E535" t="str">
        <f>VLOOKUP(D535,EpisodeFormats!$A$3:$B$999,2,0)</f>
        <v>Series</v>
      </c>
      <c r="F535">
        <v>4</v>
      </c>
      <c r="G535" t="str">
        <f>VLOOKUP(F535,Doctors!$A$3:$B$999,2,0)</f>
        <v>Tom Baker</v>
      </c>
      <c r="H535">
        <v>18</v>
      </c>
      <c r="I535">
        <v>1</v>
      </c>
      <c r="J535" t="str">
        <f>VLOOKUP(I535,SeasonFormats!$A$3:$B$999,2,0)</f>
        <v>Season</v>
      </c>
      <c r="K535">
        <v>110</v>
      </c>
      <c r="L535">
        <v>2</v>
      </c>
      <c r="M535" t="s">
        <v>468</v>
      </c>
      <c r="N535">
        <v>4</v>
      </c>
      <c r="O535" t="s">
        <v>12</v>
      </c>
      <c r="P535">
        <v>8</v>
      </c>
      <c r="Q535" s="6" t="d">
        <v>1980-10-18</v>
      </c>
      <c r="R535">
        <v>20</v>
      </c>
      <c r="S535"/>
      <c r="T535" s="15" t="s">
        <v>1152</v>
      </c>
      <c r="U535" t="str" cm="1">
        <f t="array" ref="U535">_xlfn.TEXTJOIN(",",TRUE,_xlfn.XLOOKUP(_xlfn.FILTERXML("&lt;t&gt;&lt;s&gt;" &amp; SUBSTITUTE(T535,",","&lt;/s&gt;&lt;s&gt;") &amp; "&lt;/s&gt;&lt;/t&gt;", "//s"),Writers!$A$3:$A$999,Writers!$B$3:$B$999,""))</f>
        <v>John Flanagan,Andrew McCulloch</v>
      </c>
      <c r="V535"/>
      <c r="W535" t="str">
        <f>IF(V535="","",_xlfn.XLOOKUP(V535,Writers!$A$3:$A$999,Writers!$B$3:$B$999,""))</f>
        <v/>
      </c>
      <c r="X535">
        <v>4.7</v>
      </c>
      <c r="Y535"/>
      <c r="Z535"/>
      <c r="AA535">
        <f t="shared" si="24"/>
        <v>5.7</v>
      </c>
      <c r="AB535" t="str">
        <f t="shared" si="25"/>
        <v/>
      </c>
      <c r="AC535" t="str">
        <f t="shared" si="26"/>
        <v/>
      </c>
      <c r="AD535">
        <f>VLOOKUP(YEAR(Q535),Populations!$A$3:$B$999,2,0)</f>
        <v>56329700</v>
      </c>
      <c r="AE535">
        <f>(Calculations!B1/AD535)</f>
        <v>1.2125917943819999</v>
      </c>
      <c r="AF535"/>
      <c r="AG535">
        <v>1</v>
      </c>
      <c r="AH535" t="str">
        <f>VLOOKUP(AG535,WikiFormats!$A$3:$B$999,2,0)</f>
        <v>Story</v>
      </c>
      <c r="AI535" t="s">
        <v>695</v>
      </c>
    </row>
    <row r="536" spans="1:35" s="8" customFormat="1" x14ac:dyDescent="0.55000000000000004">
      <c r="A536" s="3">
        <v>534</v>
      </c>
      <c r="B536" s="3">
        <v>1</v>
      </c>
      <c r="C536" s="3" t="str">
        <f>VLOOKUP(B536,Eras!$A$3:$B$999,2,0)</f>
        <v>Classic</v>
      </c>
      <c r="D536" s="3">
        <v>1</v>
      </c>
      <c r="E536" s="3" t="str">
        <f>VLOOKUP(D536,EpisodeFormats!$A$3:$B$999,2,0)</f>
        <v>Series</v>
      </c>
      <c r="F536" s="3">
        <v>4</v>
      </c>
      <c r="G536" s="3" t="str">
        <f>VLOOKUP(F536,Doctors!$A$3:$B$999,2,0)</f>
        <v>Tom Baker</v>
      </c>
      <c r="H536" s="3">
        <v>18</v>
      </c>
      <c r="I536" s="3">
        <v>1</v>
      </c>
      <c r="J536" s="3" t="str">
        <f>VLOOKUP(I536,SeasonFormats!$A$3:$B$999,2,0)</f>
        <v>Season</v>
      </c>
      <c r="K536" s="3">
        <v>111</v>
      </c>
      <c r="L536" s="3">
        <v>3</v>
      </c>
      <c r="M536" s="3" t="s">
        <v>469</v>
      </c>
      <c r="N536" s="3">
        <v>1</v>
      </c>
      <c r="O536" s="3" t="s">
        <v>9</v>
      </c>
      <c r="P536" s="3">
        <v>9</v>
      </c>
      <c r="Q536" s="7" t="d">
        <v>1980-10-25</v>
      </c>
      <c r="R536" s="3">
        <v>24</v>
      </c>
      <c r="S536" s="3"/>
      <c r="T536" s="4" t="s">
        <v>1169</v>
      </c>
      <c r="U536" s="3" t="str" cm="1">
        <f t="array" ref="U536">_xlfn.TEXTJOIN(",",TRUE,_xlfn.XLOOKUP(_xlfn.FILTERXML("&lt;t&gt;&lt;s&gt;" &amp; SUBSTITUTE(T536,",","&lt;/s&gt;&lt;s&gt;") &amp; "&lt;/s&gt;&lt;/t&gt;", "//s"),Writers!$A$3:$A$999,Writers!$B$3:$B$999,""))</f>
        <v>Andrew Smith</v>
      </c>
      <c r="V536" s="3"/>
      <c r="W536" s="3" t="str">
        <f>IF(V536="","",_xlfn.XLOOKUP(V536,Writers!$A$3:$A$999,Writers!$B$3:$B$999,""))</f>
        <v/>
      </c>
      <c r="X536" s="3">
        <v>5.9</v>
      </c>
      <c r="Y536" s="3"/>
      <c r="Z536" s="3"/>
      <c r="AA536" s="3">
        <f t="shared" si="24"/>
        <v>7.15</v>
      </c>
      <c r="AB536" s="3" t="str">
        <f t="shared" si="25"/>
        <v/>
      </c>
      <c r="AC536" s="3" t="str">
        <f t="shared" si="26"/>
        <v/>
      </c>
      <c r="AD536" s="3">
        <f>VLOOKUP(YEAR(Q536),Populations!$A$3:$B$999,2,0)</f>
        <v>56329700</v>
      </c>
      <c r="AE536" s="3">
        <f>(Calculations!B1/AD536)</f>
        <v>1.2125917943819999</v>
      </c>
      <c r="AF536" s="3"/>
      <c r="AG536" s="3">
        <v>1</v>
      </c>
      <c r="AH536" s="3" t="str">
        <f>VLOOKUP(AG536,WikiFormats!$A$3:$B$999,2,0)</f>
        <v>Story</v>
      </c>
      <c r="AI536" s="3" t="s">
        <v>696</v>
      </c>
    </row>
    <row r="537" spans="1:35" s="8" customFormat="1" x14ac:dyDescent="0.55000000000000004">
      <c r="A537" s="3">
        <v>535</v>
      </c>
      <c r="B537" s="3">
        <v>1</v>
      </c>
      <c r="C537" s="3" t="str">
        <f>VLOOKUP(B537,Eras!$A$3:$B$999,2,0)</f>
        <v>Classic</v>
      </c>
      <c r="D537" s="3">
        <v>1</v>
      </c>
      <c r="E537" s="3" t="str">
        <f>VLOOKUP(D537,EpisodeFormats!$A$3:$B$999,2,0)</f>
        <v>Series</v>
      </c>
      <c r="F537" s="3">
        <v>4</v>
      </c>
      <c r="G537" s="3" t="str">
        <f>VLOOKUP(F537,Doctors!$A$3:$B$999,2,0)</f>
        <v>Tom Baker</v>
      </c>
      <c r="H537" s="3">
        <v>18</v>
      </c>
      <c r="I537" s="3">
        <v>1</v>
      </c>
      <c r="J537" s="3" t="str">
        <f>VLOOKUP(I537,SeasonFormats!$A$3:$B$999,2,0)</f>
        <v>Season</v>
      </c>
      <c r="K537" s="3">
        <v>111</v>
      </c>
      <c r="L537" s="3">
        <v>3</v>
      </c>
      <c r="M537" s="3" t="s">
        <v>469</v>
      </c>
      <c r="N537" s="3">
        <v>2</v>
      </c>
      <c r="O537" s="3" t="s">
        <v>10</v>
      </c>
      <c r="P537" s="3">
        <v>10</v>
      </c>
      <c r="Q537" s="7" t="d">
        <v>1980-11-01</v>
      </c>
      <c r="R537" s="3">
        <v>22</v>
      </c>
      <c r="S537" s="3"/>
      <c r="T537" s="4" t="s">
        <v>1169</v>
      </c>
      <c r="U537" s="3" t="str" cm="1">
        <f t="array" ref="U537">_xlfn.TEXTJOIN(",",TRUE,_xlfn.XLOOKUP(_xlfn.FILTERXML("&lt;t&gt;&lt;s&gt;" &amp; SUBSTITUTE(T537,",","&lt;/s&gt;&lt;s&gt;") &amp; "&lt;/s&gt;&lt;/t&gt;", "//s"),Writers!$A$3:$A$999,Writers!$B$3:$B$999,""))</f>
        <v>Andrew Smith</v>
      </c>
      <c r="V537" s="3"/>
      <c r="W537" s="3" t="str">
        <f>IF(V537="","",_xlfn.XLOOKUP(V537,Writers!$A$3:$A$999,Writers!$B$3:$B$999,""))</f>
        <v/>
      </c>
      <c r="X537" s="3">
        <v>3.7</v>
      </c>
      <c r="Y537" s="3"/>
      <c r="Z537" s="3"/>
      <c r="AA537" s="3">
        <f t="shared" si="24"/>
        <v>4.49</v>
      </c>
      <c r="AB537" s="3" t="str">
        <f t="shared" si="25"/>
        <v/>
      </c>
      <c r="AC537" s="3" t="str">
        <f t="shared" si="26"/>
        <v/>
      </c>
      <c r="AD537" s="3">
        <f>VLOOKUP(YEAR(Q537),Populations!$A$3:$B$999,2,0)</f>
        <v>56329700</v>
      </c>
      <c r="AE537" s="3">
        <f>(Calculations!B1/AD537)</f>
        <v>1.2125917943819999</v>
      </c>
      <c r="AF537" s="3"/>
      <c r="AG537" s="3">
        <v>1</v>
      </c>
      <c r="AH537" s="3" t="str">
        <f>VLOOKUP(AG537,WikiFormats!$A$3:$B$999,2,0)</f>
        <v>Story</v>
      </c>
      <c r="AI537" s="3" t="s">
        <v>696</v>
      </c>
    </row>
    <row r="538" spans="1:35" s="8" customFormat="1" x14ac:dyDescent="0.55000000000000004">
      <c r="A538" s="3">
        <v>536</v>
      </c>
      <c r="B538" s="3">
        <v>1</v>
      </c>
      <c r="C538" s="3" t="str">
        <f>VLOOKUP(B538,Eras!$A$3:$B$999,2,0)</f>
        <v>Classic</v>
      </c>
      <c r="D538" s="3">
        <v>1</v>
      </c>
      <c r="E538" s="3" t="str">
        <f>VLOOKUP(D538,EpisodeFormats!$A$3:$B$999,2,0)</f>
        <v>Series</v>
      </c>
      <c r="F538" s="3">
        <v>4</v>
      </c>
      <c r="G538" s="3" t="str">
        <f>VLOOKUP(F538,Doctors!$A$3:$B$999,2,0)</f>
        <v>Tom Baker</v>
      </c>
      <c r="H538" s="3">
        <v>18</v>
      </c>
      <c r="I538" s="3">
        <v>1</v>
      </c>
      <c r="J538" s="3" t="str">
        <f>VLOOKUP(I538,SeasonFormats!$A$3:$B$999,2,0)</f>
        <v>Season</v>
      </c>
      <c r="K538" s="3">
        <v>111</v>
      </c>
      <c r="L538" s="3">
        <v>3</v>
      </c>
      <c r="M538" s="3" t="s">
        <v>469</v>
      </c>
      <c r="N538" s="3">
        <v>3</v>
      </c>
      <c r="O538" s="3" t="s">
        <v>11</v>
      </c>
      <c r="P538" s="3">
        <v>11</v>
      </c>
      <c r="Q538" s="7" t="d">
        <v>1980-11-08</v>
      </c>
      <c r="R538" s="3">
        <v>22</v>
      </c>
      <c r="S538" s="3"/>
      <c r="T538" s="4" t="s">
        <v>1169</v>
      </c>
      <c r="U538" s="3" t="str" cm="1">
        <f t="array" ref="U538">_xlfn.TEXTJOIN(",",TRUE,_xlfn.XLOOKUP(_xlfn.FILTERXML("&lt;t&gt;&lt;s&gt;" &amp; SUBSTITUTE(T538,",","&lt;/s&gt;&lt;s&gt;") &amp; "&lt;/s&gt;&lt;/t&gt;", "//s"),Writers!$A$3:$A$999,Writers!$B$3:$B$999,""))</f>
        <v>Andrew Smith</v>
      </c>
      <c r="V538" s="3"/>
      <c r="W538" s="3" t="str">
        <f>IF(V538="","",_xlfn.XLOOKUP(V538,Writers!$A$3:$A$999,Writers!$B$3:$B$999,""))</f>
        <v/>
      </c>
      <c r="X538" s="3">
        <v>5.9</v>
      </c>
      <c r="Y538" s="3"/>
      <c r="Z538" s="3"/>
      <c r="AA538" s="3">
        <f t="shared" si="24"/>
        <v>7.15</v>
      </c>
      <c r="AB538" s="3" t="str">
        <f t="shared" si="25"/>
        <v/>
      </c>
      <c r="AC538" s="3" t="str">
        <f t="shared" si="26"/>
        <v/>
      </c>
      <c r="AD538" s="3">
        <f>VLOOKUP(YEAR(Q538),Populations!$A$3:$B$999,2,0)</f>
        <v>56329700</v>
      </c>
      <c r="AE538" s="3">
        <f>(Calculations!B1/AD538)</f>
        <v>1.2125917943819999</v>
      </c>
      <c r="AF538" s="3"/>
      <c r="AG538" s="3">
        <v>1</v>
      </c>
      <c r="AH538" s="3" t="str">
        <f>VLOOKUP(AG538,WikiFormats!$A$3:$B$999,2,0)</f>
        <v>Story</v>
      </c>
      <c r="AI538" s="3" t="s">
        <v>696</v>
      </c>
    </row>
    <row r="539" spans="1:35" s="8" customFormat="1" x14ac:dyDescent="0.55000000000000004">
      <c r="A539" s="3">
        <v>537</v>
      </c>
      <c r="B539" s="3">
        <v>1</v>
      </c>
      <c r="C539" s="3" t="str">
        <f>VLOOKUP(B539,Eras!$A$3:$B$999,2,0)</f>
        <v>Classic</v>
      </c>
      <c r="D539" s="3">
        <v>1</v>
      </c>
      <c r="E539" s="3" t="str">
        <f>VLOOKUP(D539,EpisodeFormats!$A$3:$B$999,2,0)</f>
        <v>Series</v>
      </c>
      <c r="F539" s="3">
        <v>4</v>
      </c>
      <c r="G539" s="3" t="str">
        <f>VLOOKUP(F539,Doctors!$A$3:$B$999,2,0)</f>
        <v>Tom Baker</v>
      </c>
      <c r="H539" s="3">
        <v>18</v>
      </c>
      <c r="I539" s="3">
        <v>1</v>
      </c>
      <c r="J539" s="3" t="str">
        <f>VLOOKUP(I539,SeasonFormats!$A$3:$B$999,2,0)</f>
        <v>Season</v>
      </c>
      <c r="K539" s="3">
        <v>111</v>
      </c>
      <c r="L539" s="3">
        <v>3</v>
      </c>
      <c r="M539" s="3" t="s">
        <v>469</v>
      </c>
      <c r="N539" s="3">
        <v>4</v>
      </c>
      <c r="O539" s="3" t="s">
        <v>12</v>
      </c>
      <c r="P539" s="3">
        <v>12</v>
      </c>
      <c r="Q539" s="7" t="d">
        <v>1980-11-15</v>
      </c>
      <c r="R539" s="3">
        <v>24</v>
      </c>
      <c r="S539" s="3"/>
      <c r="T539" s="4" t="s">
        <v>1169</v>
      </c>
      <c r="U539" s="3" t="str" cm="1">
        <f t="array" ref="U539">_xlfn.TEXTJOIN(",",TRUE,_xlfn.XLOOKUP(_xlfn.FILTERXML("&lt;t&gt;&lt;s&gt;" &amp; SUBSTITUTE(T539,",","&lt;/s&gt;&lt;s&gt;") &amp; "&lt;/s&gt;&lt;/t&gt;", "//s"),Writers!$A$3:$A$999,Writers!$B$3:$B$999,""))</f>
        <v>Andrew Smith</v>
      </c>
      <c r="V539" s="3"/>
      <c r="W539" s="3" t="str">
        <f>IF(V539="","",_xlfn.XLOOKUP(V539,Writers!$A$3:$A$999,Writers!$B$3:$B$999,""))</f>
        <v/>
      </c>
      <c r="X539" s="3">
        <v>5.4</v>
      </c>
      <c r="Y539" s="3"/>
      <c r="Z539" s="3"/>
      <c r="AA539" s="3">
        <f t="shared" si="24"/>
        <v>6.55</v>
      </c>
      <c r="AB539" s="3" t="str">
        <f t="shared" si="25"/>
        <v/>
      </c>
      <c r="AC539" s="3" t="str">
        <f t="shared" si="26"/>
        <v/>
      </c>
      <c r="AD539" s="3">
        <f>VLOOKUP(YEAR(Q539),Populations!$A$3:$B$999,2,0)</f>
        <v>56329700</v>
      </c>
      <c r="AE539" s="3">
        <f>(Calculations!B1/AD539)</f>
        <v>1.2125917943819999</v>
      </c>
      <c r="AF539" s="3" t="s">
        <v>524</v>
      </c>
      <c r="AG539" s="3">
        <v>1</v>
      </c>
      <c r="AH539" s="3" t="str">
        <f>VLOOKUP(AG539,WikiFormats!$A$3:$B$999,2,0)</f>
        <v>Story</v>
      </c>
      <c r="AI539" s="3" t="s">
        <v>696</v>
      </c>
    </row>
    <row r="540" spans="1:35" s="2" customFormat="1" x14ac:dyDescent="0.55000000000000004">
      <c r="A540">
        <v>538</v>
      </c>
      <c r="B540">
        <v>1</v>
      </c>
      <c r="C540" t="str">
        <f>VLOOKUP(B540,Eras!$A$3:$B$999,2,0)</f>
        <v>Classic</v>
      </c>
      <c r="D540">
        <v>1</v>
      </c>
      <c r="E540" t="str">
        <f>VLOOKUP(D540,EpisodeFormats!$A$3:$B$999,2,0)</f>
        <v>Series</v>
      </c>
      <c r="F540">
        <v>4</v>
      </c>
      <c r="G540" t="str">
        <f>VLOOKUP(F540,Doctors!$A$3:$B$999,2,0)</f>
        <v>Tom Baker</v>
      </c>
      <c r="H540">
        <v>18</v>
      </c>
      <c r="I540">
        <v>1</v>
      </c>
      <c r="J540" t="str">
        <f>VLOOKUP(I540,SeasonFormats!$A$3:$B$999,2,0)</f>
        <v>Season</v>
      </c>
      <c r="K540">
        <v>112</v>
      </c>
      <c r="L540">
        <v>4</v>
      </c>
      <c r="M540" t="s">
        <v>470</v>
      </c>
      <c r="N540">
        <v>1</v>
      </c>
      <c r="O540" t="s">
        <v>9</v>
      </c>
      <c r="P540">
        <v>13</v>
      </c>
      <c r="Q540" s="6" t="d">
        <v>1980-11-22</v>
      </c>
      <c r="R540">
        <v>22</v>
      </c>
      <c r="S540"/>
      <c r="T540" s="15" t="s">
        <v>1105</v>
      </c>
      <c r="U540" t="str" cm="1">
        <f t="array" ref="U540">_xlfn.TEXTJOIN(",",TRUE,_xlfn.XLOOKUP(_xlfn.FILTERXML("&lt;t&gt;&lt;s&gt;" &amp; SUBSTITUTE(T540,",","&lt;/s&gt;&lt;s&gt;") &amp; "&lt;/s&gt;&lt;/t&gt;", "//s"),Writers!$A$3:$A$999,Writers!$B$3:$B$999,""))</f>
        <v>Terrance Dicks</v>
      </c>
      <c r="V540"/>
      <c r="W540" t="str">
        <f>IF(V540="","",_xlfn.XLOOKUP(V540,Writers!$A$3:$A$999,Writers!$B$3:$B$999,""))</f>
        <v/>
      </c>
      <c r="X540">
        <v>5.8</v>
      </c>
      <c r="Y540"/>
      <c r="Z540"/>
      <c r="AA540">
        <f t="shared" si="24"/>
        <v>7.03</v>
      </c>
      <c r="AB540" t="str">
        <f t="shared" si="25"/>
        <v/>
      </c>
      <c r="AC540" t="str">
        <f t="shared" si="26"/>
        <v/>
      </c>
      <c r="AD540">
        <f>VLOOKUP(YEAR(Q540),Populations!$A$3:$B$999,2,0)</f>
        <v>56329700</v>
      </c>
      <c r="AE540">
        <f>(Calculations!B1/AD540)</f>
        <v>1.2125917943819999</v>
      </c>
      <c r="AF540"/>
      <c r="AG540">
        <v>1</v>
      </c>
      <c r="AH540" t="str">
        <f>VLOOKUP(AG540,WikiFormats!$A$3:$B$999,2,0)</f>
        <v>Story</v>
      </c>
      <c r="AI540" t="s">
        <v>697</v>
      </c>
    </row>
    <row r="541" spans="1:35" s="2" customFormat="1" x14ac:dyDescent="0.55000000000000004">
      <c r="A541">
        <v>539</v>
      </c>
      <c r="B541">
        <v>1</v>
      </c>
      <c r="C541" t="str">
        <f>VLOOKUP(B541,Eras!$A$3:$B$999,2,0)</f>
        <v>Classic</v>
      </c>
      <c r="D541">
        <v>1</v>
      </c>
      <c r="E541" t="str">
        <f>VLOOKUP(D541,EpisodeFormats!$A$3:$B$999,2,0)</f>
        <v>Series</v>
      </c>
      <c r="F541">
        <v>4</v>
      </c>
      <c r="G541" t="str">
        <f>VLOOKUP(F541,Doctors!$A$3:$B$999,2,0)</f>
        <v>Tom Baker</v>
      </c>
      <c r="H541">
        <v>18</v>
      </c>
      <c r="I541">
        <v>1</v>
      </c>
      <c r="J541" t="str">
        <f>VLOOKUP(I541,SeasonFormats!$A$3:$B$999,2,0)</f>
        <v>Season</v>
      </c>
      <c r="K541">
        <v>112</v>
      </c>
      <c r="L541">
        <v>4</v>
      </c>
      <c r="M541" t="s">
        <v>470</v>
      </c>
      <c r="N541">
        <v>2</v>
      </c>
      <c r="O541" t="s">
        <v>10</v>
      </c>
      <c r="P541">
        <v>14</v>
      </c>
      <c r="Q541" s="6" t="d">
        <v>1980-11-29</v>
      </c>
      <c r="R541">
        <v>23</v>
      </c>
      <c r="S541"/>
      <c r="T541" s="15" t="s">
        <v>1105</v>
      </c>
      <c r="U541" t="str" cm="1">
        <f t="array" ref="U541">_xlfn.TEXTJOIN(",",TRUE,_xlfn.XLOOKUP(_xlfn.FILTERXML("&lt;t&gt;&lt;s&gt;" &amp; SUBSTITUTE(T541,",","&lt;/s&gt;&lt;s&gt;") &amp; "&lt;/s&gt;&lt;/t&gt;", "//s"),Writers!$A$3:$A$999,Writers!$B$3:$B$999,""))</f>
        <v>Terrance Dicks</v>
      </c>
      <c r="V541"/>
      <c r="W541" t="str">
        <f>IF(V541="","",_xlfn.XLOOKUP(V541,Writers!$A$3:$A$999,Writers!$B$3:$B$999,""))</f>
        <v/>
      </c>
      <c r="X541">
        <v>5.3</v>
      </c>
      <c r="Y541"/>
      <c r="Z541"/>
      <c r="AA541">
        <f t="shared" si="24"/>
        <v>6.43</v>
      </c>
      <c r="AB541" t="str">
        <f t="shared" si="25"/>
        <v/>
      </c>
      <c r="AC541" t="str">
        <f t="shared" si="26"/>
        <v/>
      </c>
      <c r="AD541">
        <f>VLOOKUP(YEAR(Q541),Populations!$A$3:$B$999,2,0)</f>
        <v>56329700</v>
      </c>
      <c r="AE541">
        <f>(Calculations!B1/AD541)</f>
        <v>1.2125917943819999</v>
      </c>
      <c r="AF541"/>
      <c r="AG541">
        <v>1</v>
      </c>
      <c r="AH541" t="str">
        <f>VLOOKUP(AG541,WikiFormats!$A$3:$B$999,2,0)</f>
        <v>Story</v>
      </c>
      <c r="AI541" t="s">
        <v>697</v>
      </c>
    </row>
    <row r="542" spans="1:35" s="2" customFormat="1" x14ac:dyDescent="0.55000000000000004">
      <c r="A542">
        <v>540</v>
      </c>
      <c r="B542">
        <v>1</v>
      </c>
      <c r="C542" t="str">
        <f>VLOOKUP(B542,Eras!$A$3:$B$999,2,0)</f>
        <v>Classic</v>
      </c>
      <c r="D542">
        <v>1</v>
      </c>
      <c r="E542" t="str">
        <f>VLOOKUP(D542,EpisodeFormats!$A$3:$B$999,2,0)</f>
        <v>Series</v>
      </c>
      <c r="F542">
        <v>4</v>
      </c>
      <c r="G542" t="str">
        <f>VLOOKUP(F542,Doctors!$A$3:$B$999,2,0)</f>
        <v>Tom Baker</v>
      </c>
      <c r="H542">
        <v>18</v>
      </c>
      <c r="I542">
        <v>1</v>
      </c>
      <c r="J542" t="str">
        <f>VLOOKUP(I542,SeasonFormats!$A$3:$B$999,2,0)</f>
        <v>Season</v>
      </c>
      <c r="K542">
        <v>112</v>
      </c>
      <c r="L542">
        <v>4</v>
      </c>
      <c r="M542" t="s">
        <v>470</v>
      </c>
      <c r="N542">
        <v>3</v>
      </c>
      <c r="O542" t="s">
        <v>11</v>
      </c>
      <c r="P542">
        <v>15</v>
      </c>
      <c r="Q542" s="6" t="d">
        <v>1980-12-06</v>
      </c>
      <c r="R542">
        <v>24</v>
      </c>
      <c r="S542"/>
      <c r="T542" s="15" t="s">
        <v>1105</v>
      </c>
      <c r="U542" t="str" cm="1">
        <f t="array" ref="U542">_xlfn.TEXTJOIN(",",TRUE,_xlfn.XLOOKUP(_xlfn.FILTERXML("&lt;t&gt;&lt;s&gt;" &amp; SUBSTITUTE(T542,",","&lt;/s&gt;&lt;s&gt;") &amp; "&lt;/s&gt;&lt;/t&gt;", "//s"),Writers!$A$3:$A$999,Writers!$B$3:$B$999,""))</f>
        <v>Terrance Dicks</v>
      </c>
      <c r="V542"/>
      <c r="W542" t="str">
        <f>IF(V542="","",_xlfn.XLOOKUP(V542,Writers!$A$3:$A$999,Writers!$B$3:$B$999,""))</f>
        <v/>
      </c>
      <c r="X542">
        <v>4.4000000000000004</v>
      </c>
      <c r="Y542"/>
      <c r="Z542"/>
      <c r="AA542">
        <f t="shared" si="24"/>
        <v>5.34</v>
      </c>
      <c r="AB542" t="str">
        <f t="shared" si="25"/>
        <v/>
      </c>
      <c r="AC542" t="str">
        <f t="shared" si="26"/>
        <v/>
      </c>
      <c r="AD542">
        <f>VLOOKUP(YEAR(Q542),Populations!$A$3:$B$999,2,0)</f>
        <v>56329700</v>
      </c>
      <c r="AE542">
        <f>(Calculations!B1/AD542)</f>
        <v>1.2125917943819999</v>
      </c>
      <c r="AF542"/>
      <c r="AG542">
        <v>1</v>
      </c>
      <c r="AH542" t="str">
        <f>VLOOKUP(AG542,WikiFormats!$A$3:$B$999,2,0)</f>
        <v>Story</v>
      </c>
      <c r="AI542" t="s">
        <v>697</v>
      </c>
    </row>
    <row r="543" spans="1:35" s="2" customFormat="1" x14ac:dyDescent="0.55000000000000004">
      <c r="A543">
        <v>541</v>
      </c>
      <c r="B543">
        <v>1</v>
      </c>
      <c r="C543" t="str">
        <f>VLOOKUP(B543,Eras!$A$3:$B$999,2,0)</f>
        <v>Classic</v>
      </c>
      <c r="D543">
        <v>1</v>
      </c>
      <c r="E543" t="str">
        <f>VLOOKUP(D543,EpisodeFormats!$A$3:$B$999,2,0)</f>
        <v>Series</v>
      </c>
      <c r="F543">
        <v>4</v>
      </c>
      <c r="G543" t="str">
        <f>VLOOKUP(F543,Doctors!$A$3:$B$999,2,0)</f>
        <v>Tom Baker</v>
      </c>
      <c r="H543">
        <v>18</v>
      </c>
      <c r="I543">
        <v>1</v>
      </c>
      <c r="J543" t="str">
        <f>VLOOKUP(I543,SeasonFormats!$A$3:$B$999,2,0)</f>
        <v>Season</v>
      </c>
      <c r="K543">
        <v>112</v>
      </c>
      <c r="L543">
        <v>4</v>
      </c>
      <c r="M543" t="s">
        <v>470</v>
      </c>
      <c r="N543">
        <v>4</v>
      </c>
      <c r="O543" t="s">
        <v>12</v>
      </c>
      <c r="P543">
        <v>16</v>
      </c>
      <c r="Q543" s="6" t="d">
        <v>1980-12-13</v>
      </c>
      <c r="R543">
        <v>25</v>
      </c>
      <c r="S543"/>
      <c r="T543" s="15" t="s">
        <v>1105</v>
      </c>
      <c r="U543" t="str" cm="1">
        <f t="array" ref="U543">_xlfn.TEXTJOIN(",",TRUE,_xlfn.XLOOKUP(_xlfn.FILTERXML("&lt;t&gt;&lt;s&gt;" &amp; SUBSTITUTE(T543,",","&lt;/s&gt;&lt;s&gt;") &amp; "&lt;/s&gt;&lt;/t&gt;", "//s"),Writers!$A$3:$A$999,Writers!$B$3:$B$999,""))</f>
        <v>Terrance Dicks</v>
      </c>
      <c r="V543"/>
      <c r="W543" t="str">
        <f>IF(V543="","",_xlfn.XLOOKUP(V543,Writers!$A$3:$A$999,Writers!$B$3:$B$999,""))</f>
        <v/>
      </c>
      <c r="X543">
        <v>5.4</v>
      </c>
      <c r="Y543"/>
      <c r="Z543"/>
      <c r="AA543">
        <f t="shared" si="24"/>
        <v>6.55</v>
      </c>
      <c r="AB543" t="str">
        <f t="shared" si="25"/>
        <v/>
      </c>
      <c r="AC543" t="str">
        <f t="shared" si="26"/>
        <v/>
      </c>
      <c r="AD543">
        <f>VLOOKUP(YEAR(Q543),Populations!$A$3:$B$999,2,0)</f>
        <v>56329700</v>
      </c>
      <c r="AE543">
        <f>(Calculations!B1/AD543)</f>
        <v>1.2125917943819999</v>
      </c>
      <c r="AF543"/>
      <c r="AG543">
        <v>1</v>
      </c>
      <c r="AH543" t="str">
        <f>VLOOKUP(AG543,WikiFormats!$A$3:$B$999,2,0)</f>
        <v>Story</v>
      </c>
      <c r="AI543" t="s">
        <v>697</v>
      </c>
    </row>
    <row r="544" spans="1:35" s="8" customFormat="1" x14ac:dyDescent="0.55000000000000004">
      <c r="A544" s="3">
        <v>542</v>
      </c>
      <c r="B544" s="3">
        <v>1</v>
      </c>
      <c r="C544" s="3" t="str">
        <f>VLOOKUP(B544,Eras!$A$3:$B$999,2,0)</f>
        <v>Classic</v>
      </c>
      <c r="D544" s="3">
        <v>1</v>
      </c>
      <c r="E544" s="3" t="str">
        <f>VLOOKUP(D544,EpisodeFormats!$A$3:$B$999,2,0)</f>
        <v>Series</v>
      </c>
      <c r="F544" s="3">
        <v>4</v>
      </c>
      <c r="G544" s="3" t="str">
        <f>VLOOKUP(F544,Doctors!$A$3:$B$999,2,0)</f>
        <v>Tom Baker</v>
      </c>
      <c r="H544" s="3">
        <v>18</v>
      </c>
      <c r="I544" s="3">
        <v>1</v>
      </c>
      <c r="J544" s="3" t="str">
        <f>VLOOKUP(I544,SeasonFormats!$A$3:$B$999,2,0)</f>
        <v>Season</v>
      </c>
      <c r="K544" s="3">
        <v>113</v>
      </c>
      <c r="L544" s="3">
        <v>5</v>
      </c>
      <c r="M544" s="3" t="s">
        <v>471</v>
      </c>
      <c r="N544" s="3">
        <v>1</v>
      </c>
      <c r="O544" s="3" t="s">
        <v>9</v>
      </c>
      <c r="P544" s="3">
        <v>17</v>
      </c>
      <c r="Q544" s="7" t="d">
        <v>1981-01-03</v>
      </c>
      <c r="R544" s="3">
        <v>23</v>
      </c>
      <c r="S544" s="3"/>
      <c r="T544" s="4" t="s">
        <v>1115</v>
      </c>
      <c r="U544" s="3" t="str" cm="1">
        <f t="array" ref="U544">_xlfn.TEXTJOIN(",",TRUE,_xlfn.XLOOKUP(_xlfn.FILTERXML("&lt;t&gt;&lt;s&gt;" &amp; SUBSTITUTE(T544,",","&lt;/s&gt;&lt;s&gt;") &amp; "&lt;/s&gt;&lt;/t&gt;", "//s"),Writers!$A$3:$A$999,Writers!$B$3:$B$999,""))</f>
        <v>Stephen Gallagher</v>
      </c>
      <c r="V544" s="3"/>
      <c r="W544" s="3" t="str">
        <f>IF(V544="","",_xlfn.XLOOKUP(V544,Writers!$A$3:$A$999,Writers!$B$3:$B$999,""))</f>
        <v/>
      </c>
      <c r="X544" s="3">
        <v>7.1</v>
      </c>
      <c r="Y544" s="3"/>
      <c r="Z544" s="3"/>
      <c r="AA544" s="3">
        <f t="shared" si="24"/>
        <v>8.61</v>
      </c>
      <c r="AB544" s="3" t="str">
        <f t="shared" si="25"/>
        <v/>
      </c>
      <c r="AC544" s="3" t="str">
        <f t="shared" si="26"/>
        <v/>
      </c>
      <c r="AD544" s="3">
        <f>VLOOKUP(YEAR(Q544),Populations!$A$3:$B$999,2,0)</f>
        <v>56357500</v>
      </c>
      <c r="AE544" s="3">
        <f>(Calculations!B1/AD544)</f>
        <v>1.21199364769552</v>
      </c>
      <c r="AF544" s="3"/>
      <c r="AG544" s="3">
        <v>1</v>
      </c>
      <c r="AH544" s="3" t="str">
        <f>VLOOKUP(AG544,WikiFormats!$A$3:$B$999,2,0)</f>
        <v>Story</v>
      </c>
      <c r="AI544" s="3" t="s">
        <v>698</v>
      </c>
    </row>
    <row r="545" spans="1:35" s="8" customFormat="1" x14ac:dyDescent="0.55000000000000004">
      <c r="A545" s="3">
        <v>543</v>
      </c>
      <c r="B545" s="3">
        <v>1</v>
      </c>
      <c r="C545" s="3" t="str">
        <f>VLOOKUP(B545,Eras!$A$3:$B$999,2,0)</f>
        <v>Classic</v>
      </c>
      <c r="D545" s="3">
        <v>1</v>
      </c>
      <c r="E545" s="3" t="str">
        <f>VLOOKUP(D545,EpisodeFormats!$A$3:$B$999,2,0)</f>
        <v>Series</v>
      </c>
      <c r="F545" s="3">
        <v>4</v>
      </c>
      <c r="G545" s="3" t="str">
        <f>VLOOKUP(F545,Doctors!$A$3:$B$999,2,0)</f>
        <v>Tom Baker</v>
      </c>
      <c r="H545" s="3">
        <v>18</v>
      </c>
      <c r="I545" s="3">
        <v>1</v>
      </c>
      <c r="J545" s="3" t="str">
        <f>VLOOKUP(I545,SeasonFormats!$A$3:$B$999,2,0)</f>
        <v>Season</v>
      </c>
      <c r="K545" s="3">
        <v>113</v>
      </c>
      <c r="L545" s="3">
        <v>5</v>
      </c>
      <c r="M545" s="3" t="s">
        <v>471</v>
      </c>
      <c r="N545" s="3">
        <v>2</v>
      </c>
      <c r="O545" s="3" t="s">
        <v>10</v>
      </c>
      <c r="P545" s="3">
        <v>18</v>
      </c>
      <c r="Q545" s="7" t="d">
        <v>1981-01-10</v>
      </c>
      <c r="R545" s="3">
        <v>24</v>
      </c>
      <c r="S545" s="3"/>
      <c r="T545" s="4" t="s">
        <v>1115</v>
      </c>
      <c r="U545" s="3" t="str" cm="1">
        <f t="array" ref="U545">_xlfn.TEXTJOIN(",",TRUE,_xlfn.XLOOKUP(_xlfn.FILTERXML("&lt;t&gt;&lt;s&gt;" &amp; SUBSTITUTE(T545,",","&lt;/s&gt;&lt;s&gt;") &amp; "&lt;/s&gt;&lt;/t&gt;", "//s"),Writers!$A$3:$A$999,Writers!$B$3:$B$999,""))</f>
        <v>Stephen Gallagher</v>
      </c>
      <c r="V545" s="3"/>
      <c r="W545" s="3" t="str">
        <f>IF(V545="","",_xlfn.XLOOKUP(V545,Writers!$A$3:$A$999,Writers!$B$3:$B$999,""))</f>
        <v/>
      </c>
      <c r="X545" s="3">
        <v>6.7</v>
      </c>
      <c r="Y545" s="3"/>
      <c r="Z545" s="3"/>
      <c r="AA545" s="3">
        <f t="shared" si="24"/>
        <v>8.1199999999999992</v>
      </c>
      <c r="AB545" s="3" t="str">
        <f t="shared" si="25"/>
        <v/>
      </c>
      <c r="AC545" s="3" t="str">
        <f t="shared" si="26"/>
        <v/>
      </c>
      <c r="AD545" s="3">
        <f>VLOOKUP(YEAR(Q545),Populations!$A$3:$B$999,2,0)</f>
        <v>56357500</v>
      </c>
      <c r="AE545" s="3">
        <f>(Calculations!B1/AD545)</f>
        <v>1.21199364769552</v>
      </c>
      <c r="AF545" s="3"/>
      <c r="AG545" s="3">
        <v>1</v>
      </c>
      <c r="AH545" s="3" t="str">
        <f>VLOOKUP(AG545,WikiFormats!$A$3:$B$999,2,0)</f>
        <v>Story</v>
      </c>
      <c r="AI545" s="3" t="s">
        <v>698</v>
      </c>
    </row>
    <row r="546" spans="1:35" s="8" customFormat="1" x14ac:dyDescent="0.55000000000000004">
      <c r="A546" s="3">
        <v>544</v>
      </c>
      <c r="B546" s="3">
        <v>1</v>
      </c>
      <c r="C546" s="3" t="str">
        <f>VLOOKUP(B546,Eras!$A$3:$B$999,2,0)</f>
        <v>Classic</v>
      </c>
      <c r="D546" s="3">
        <v>1</v>
      </c>
      <c r="E546" s="3" t="str">
        <f>VLOOKUP(D546,EpisodeFormats!$A$3:$B$999,2,0)</f>
        <v>Series</v>
      </c>
      <c r="F546" s="3">
        <v>4</v>
      </c>
      <c r="G546" s="3" t="str">
        <f>VLOOKUP(F546,Doctors!$A$3:$B$999,2,0)</f>
        <v>Tom Baker</v>
      </c>
      <c r="H546" s="3">
        <v>18</v>
      </c>
      <c r="I546" s="3">
        <v>1</v>
      </c>
      <c r="J546" s="3" t="str">
        <f>VLOOKUP(I546,SeasonFormats!$A$3:$B$999,2,0)</f>
        <v>Season</v>
      </c>
      <c r="K546" s="3">
        <v>113</v>
      </c>
      <c r="L546" s="3">
        <v>5</v>
      </c>
      <c r="M546" s="3" t="s">
        <v>471</v>
      </c>
      <c r="N546" s="3">
        <v>3</v>
      </c>
      <c r="O546" s="3" t="s">
        <v>11</v>
      </c>
      <c r="P546" s="3">
        <v>19</v>
      </c>
      <c r="Q546" s="7" t="d">
        <v>1981-01-17</v>
      </c>
      <c r="R546" s="3">
        <v>22</v>
      </c>
      <c r="S546" s="3"/>
      <c r="T546" s="4" t="s">
        <v>1115</v>
      </c>
      <c r="U546" s="3" t="str" cm="1">
        <f t="array" ref="U546">_xlfn.TEXTJOIN(",",TRUE,_xlfn.XLOOKUP(_xlfn.FILTERXML("&lt;t&gt;&lt;s&gt;" &amp; SUBSTITUTE(T546,",","&lt;/s&gt;&lt;s&gt;") &amp; "&lt;/s&gt;&lt;/t&gt;", "//s"),Writers!$A$3:$A$999,Writers!$B$3:$B$999,""))</f>
        <v>Stephen Gallagher</v>
      </c>
      <c r="V546" s="3"/>
      <c r="W546" s="3" t="str">
        <f>IF(V546="","",_xlfn.XLOOKUP(V546,Writers!$A$3:$A$999,Writers!$B$3:$B$999,""))</f>
        <v/>
      </c>
      <c r="X546" s="3">
        <v>8.3000000000000007</v>
      </c>
      <c r="Y546" s="3"/>
      <c r="Z546" s="3"/>
      <c r="AA546" s="3">
        <f t="shared" si="24"/>
        <v>10.06</v>
      </c>
      <c r="AB546" s="3" t="str">
        <f t="shared" si="25"/>
        <v/>
      </c>
      <c r="AC546" s="3" t="str">
        <f t="shared" si="26"/>
        <v/>
      </c>
      <c r="AD546" s="3">
        <f>VLOOKUP(YEAR(Q546),Populations!$A$3:$B$999,2,0)</f>
        <v>56357500</v>
      </c>
      <c r="AE546" s="3">
        <f>(Calculations!B1/AD546)</f>
        <v>1.21199364769552</v>
      </c>
      <c r="AF546" s="3"/>
      <c r="AG546" s="3">
        <v>1</v>
      </c>
      <c r="AH546" s="3" t="str">
        <f>VLOOKUP(AG546,WikiFormats!$A$3:$B$999,2,0)</f>
        <v>Story</v>
      </c>
      <c r="AI546" s="3" t="s">
        <v>698</v>
      </c>
    </row>
    <row r="547" spans="1:35" s="8" customFormat="1" x14ac:dyDescent="0.55000000000000004">
      <c r="A547" s="3">
        <v>545</v>
      </c>
      <c r="B547" s="3">
        <v>1</v>
      </c>
      <c r="C547" s="3" t="str">
        <f>VLOOKUP(B547,Eras!$A$3:$B$999,2,0)</f>
        <v>Classic</v>
      </c>
      <c r="D547" s="3">
        <v>1</v>
      </c>
      <c r="E547" s="3" t="str">
        <f>VLOOKUP(D547,EpisodeFormats!$A$3:$B$999,2,0)</f>
        <v>Series</v>
      </c>
      <c r="F547" s="3">
        <v>4</v>
      </c>
      <c r="G547" s="3" t="str">
        <f>VLOOKUP(F547,Doctors!$A$3:$B$999,2,0)</f>
        <v>Tom Baker</v>
      </c>
      <c r="H547" s="3">
        <v>18</v>
      </c>
      <c r="I547" s="3">
        <v>1</v>
      </c>
      <c r="J547" s="3" t="str">
        <f>VLOOKUP(I547,SeasonFormats!$A$3:$B$999,2,0)</f>
        <v>Season</v>
      </c>
      <c r="K547" s="3">
        <v>113</v>
      </c>
      <c r="L547" s="3">
        <v>5</v>
      </c>
      <c r="M547" s="3" t="s">
        <v>471</v>
      </c>
      <c r="N547" s="3">
        <v>4</v>
      </c>
      <c r="O547" s="3" t="s">
        <v>12</v>
      </c>
      <c r="P547" s="3">
        <v>20</v>
      </c>
      <c r="Q547" s="7" t="d">
        <v>1981-01-24</v>
      </c>
      <c r="R547" s="3">
        <v>25</v>
      </c>
      <c r="S547" s="3"/>
      <c r="T547" s="4" t="s">
        <v>1115</v>
      </c>
      <c r="U547" s="3" t="str" cm="1">
        <f t="array" ref="U547">_xlfn.TEXTJOIN(",",TRUE,_xlfn.XLOOKUP(_xlfn.FILTERXML("&lt;t&gt;&lt;s&gt;" &amp; SUBSTITUTE(T547,",","&lt;/s&gt;&lt;s&gt;") &amp; "&lt;/s&gt;&lt;/t&gt;", "//s"),Writers!$A$3:$A$999,Writers!$B$3:$B$999,""))</f>
        <v>Stephen Gallagher</v>
      </c>
      <c r="V547" s="3"/>
      <c r="W547" s="3" t="str">
        <f>IF(V547="","",_xlfn.XLOOKUP(V547,Writers!$A$3:$A$999,Writers!$B$3:$B$999,""))</f>
        <v/>
      </c>
      <c r="X547" s="3">
        <v>7.8</v>
      </c>
      <c r="Y547" s="3"/>
      <c r="Z547" s="3"/>
      <c r="AA547" s="3">
        <f t="shared" si="24"/>
        <v>9.4499999999999993</v>
      </c>
      <c r="AB547" s="3" t="str">
        <f t="shared" si="25"/>
        <v/>
      </c>
      <c r="AC547" s="3" t="str">
        <f t="shared" si="26"/>
        <v/>
      </c>
      <c r="AD547" s="3">
        <f>VLOOKUP(YEAR(Q547),Populations!$A$3:$B$999,2,0)</f>
        <v>56357500</v>
      </c>
      <c r="AE547" s="3">
        <f>(Calculations!B1/AD547)</f>
        <v>1.21199364769552</v>
      </c>
      <c r="AF547" s="3"/>
      <c r="AG547" s="3">
        <v>1</v>
      </c>
      <c r="AH547" s="3" t="str">
        <f>VLOOKUP(AG547,WikiFormats!$A$3:$B$999,2,0)</f>
        <v>Story</v>
      </c>
      <c r="AI547" s="3" t="s">
        <v>698</v>
      </c>
    </row>
    <row r="548" spans="1:35" s="2" customFormat="1" x14ac:dyDescent="0.55000000000000004">
      <c r="A548">
        <v>546</v>
      </c>
      <c r="B548">
        <v>1</v>
      </c>
      <c r="C548" t="str">
        <f>VLOOKUP(B548,Eras!$A$3:$B$999,2,0)</f>
        <v>Classic</v>
      </c>
      <c r="D548">
        <v>1</v>
      </c>
      <c r="E548" t="str">
        <f>VLOOKUP(D548,EpisodeFormats!$A$3:$B$999,2,0)</f>
        <v>Series</v>
      </c>
      <c r="F548">
        <v>4</v>
      </c>
      <c r="G548" t="str">
        <f>VLOOKUP(F548,Doctors!$A$3:$B$999,2,0)</f>
        <v>Tom Baker</v>
      </c>
      <c r="H548">
        <v>18</v>
      </c>
      <c r="I548">
        <v>1</v>
      </c>
      <c r="J548" t="str">
        <f>VLOOKUP(I548,SeasonFormats!$A$3:$B$999,2,0)</f>
        <v>Season</v>
      </c>
      <c r="K548">
        <v>114</v>
      </c>
      <c r="L548">
        <v>6</v>
      </c>
      <c r="M548" t="s">
        <v>472</v>
      </c>
      <c r="N548">
        <v>1</v>
      </c>
      <c r="O548" t="s">
        <v>9</v>
      </c>
      <c r="P548">
        <v>21</v>
      </c>
      <c r="Q548" s="6" t="d">
        <v>1981-01-31</v>
      </c>
      <c r="R548">
        <v>24</v>
      </c>
      <c r="S548"/>
      <c r="T548" s="15" t="s">
        <v>1083</v>
      </c>
      <c r="U548" t="str" cm="1">
        <f t="array" ref="U548">_xlfn.TEXTJOIN(",",TRUE,_xlfn.XLOOKUP(_xlfn.FILTERXML("&lt;t&gt;&lt;s&gt;" &amp; SUBSTITUTE(T548,",","&lt;/s&gt;&lt;s&gt;") &amp; "&lt;/s&gt;&lt;/t&gt;", "//s"),Writers!$A$3:$A$999,Writers!$B$3:$B$999,""))</f>
        <v>Johnny Byrne</v>
      </c>
      <c r="V548"/>
      <c r="W548" t="str">
        <f>IF(V548="","",_xlfn.XLOOKUP(V548,Writers!$A$3:$A$999,Writers!$B$3:$B$999,""))</f>
        <v/>
      </c>
      <c r="X548">
        <v>7.6</v>
      </c>
      <c r="Y548"/>
      <c r="Z548"/>
      <c r="AA548">
        <f t="shared" si="24"/>
        <v>9.2100000000000009</v>
      </c>
      <c r="AB548" t="str">
        <f t="shared" si="25"/>
        <v/>
      </c>
      <c r="AC548" t="str">
        <f t="shared" si="26"/>
        <v/>
      </c>
      <c r="AD548">
        <f>VLOOKUP(YEAR(Q548),Populations!$A$3:$B$999,2,0)</f>
        <v>56357500</v>
      </c>
      <c r="AE548">
        <f>(Calculations!B1/AD548)</f>
        <v>1.21199364769552</v>
      </c>
      <c r="AF548"/>
      <c r="AG548">
        <v>1</v>
      </c>
      <c r="AH548" t="str">
        <f>VLOOKUP(AG548,WikiFormats!$A$3:$B$999,2,0)</f>
        <v>Story</v>
      </c>
      <c r="AI548" t="s">
        <v>699</v>
      </c>
    </row>
    <row r="549" spans="1:35" s="2" customFormat="1" x14ac:dyDescent="0.55000000000000004">
      <c r="A549">
        <v>547</v>
      </c>
      <c r="B549">
        <v>1</v>
      </c>
      <c r="C549" t="str">
        <f>VLOOKUP(B549,Eras!$A$3:$B$999,2,0)</f>
        <v>Classic</v>
      </c>
      <c r="D549">
        <v>1</v>
      </c>
      <c r="E549" t="str">
        <f>VLOOKUP(D549,EpisodeFormats!$A$3:$B$999,2,0)</f>
        <v>Series</v>
      </c>
      <c r="F549">
        <v>4</v>
      </c>
      <c r="G549" t="str">
        <f>VLOOKUP(F549,Doctors!$A$3:$B$999,2,0)</f>
        <v>Tom Baker</v>
      </c>
      <c r="H549">
        <v>18</v>
      </c>
      <c r="I549">
        <v>1</v>
      </c>
      <c r="J549" t="str">
        <f>VLOOKUP(I549,SeasonFormats!$A$3:$B$999,2,0)</f>
        <v>Season</v>
      </c>
      <c r="K549">
        <v>114</v>
      </c>
      <c r="L549">
        <v>6</v>
      </c>
      <c r="M549" t="s">
        <v>472</v>
      </c>
      <c r="N549">
        <v>2</v>
      </c>
      <c r="O549" t="s">
        <v>10</v>
      </c>
      <c r="P549">
        <v>22</v>
      </c>
      <c r="Q549" s="6" t="d">
        <v>1981-02-07</v>
      </c>
      <c r="R549">
        <v>25</v>
      </c>
      <c r="S549"/>
      <c r="T549" s="15" t="s">
        <v>1083</v>
      </c>
      <c r="U549" t="str" cm="1">
        <f t="array" ref="U549">_xlfn.TEXTJOIN(",",TRUE,_xlfn.XLOOKUP(_xlfn.FILTERXML("&lt;t&gt;&lt;s&gt;" &amp; SUBSTITUTE(T549,",","&lt;/s&gt;&lt;s&gt;") &amp; "&lt;/s&gt;&lt;/t&gt;", "//s"),Writers!$A$3:$A$999,Writers!$B$3:$B$999,""))</f>
        <v>Johnny Byrne</v>
      </c>
      <c r="V549"/>
      <c r="W549" t="str">
        <f>IF(V549="","",_xlfn.XLOOKUP(V549,Writers!$A$3:$A$999,Writers!$B$3:$B$999,""))</f>
        <v/>
      </c>
      <c r="X549">
        <v>6.1</v>
      </c>
      <c r="Y549"/>
      <c r="Z549"/>
      <c r="AA549">
        <f t="shared" si="24"/>
        <v>7.39</v>
      </c>
      <c r="AB549" t="str">
        <f t="shared" si="25"/>
        <v/>
      </c>
      <c r="AC549" t="str">
        <f t="shared" si="26"/>
        <v/>
      </c>
      <c r="AD549">
        <f>VLOOKUP(YEAR(Q549),Populations!$A$3:$B$999,2,0)</f>
        <v>56357500</v>
      </c>
      <c r="AE549">
        <f>(Calculations!B1/AD549)</f>
        <v>1.21199364769552</v>
      </c>
      <c r="AF549"/>
      <c r="AG549">
        <v>1</v>
      </c>
      <c r="AH549" t="str">
        <f>VLOOKUP(AG549,WikiFormats!$A$3:$B$999,2,0)</f>
        <v>Story</v>
      </c>
      <c r="AI549" t="s">
        <v>699</v>
      </c>
    </row>
    <row r="550" spans="1:35" s="2" customFormat="1" x14ac:dyDescent="0.55000000000000004">
      <c r="A550">
        <v>548</v>
      </c>
      <c r="B550">
        <v>1</v>
      </c>
      <c r="C550" t="str">
        <f>VLOOKUP(B550,Eras!$A$3:$B$999,2,0)</f>
        <v>Classic</v>
      </c>
      <c r="D550">
        <v>1</v>
      </c>
      <c r="E550" t="str">
        <f>VLOOKUP(D550,EpisodeFormats!$A$3:$B$999,2,0)</f>
        <v>Series</v>
      </c>
      <c r="F550">
        <v>4</v>
      </c>
      <c r="G550" t="str">
        <f>VLOOKUP(F550,Doctors!$A$3:$B$999,2,0)</f>
        <v>Tom Baker</v>
      </c>
      <c r="H550">
        <v>18</v>
      </c>
      <c r="I550">
        <v>1</v>
      </c>
      <c r="J550" t="str">
        <f>VLOOKUP(I550,SeasonFormats!$A$3:$B$999,2,0)</f>
        <v>Season</v>
      </c>
      <c r="K550">
        <v>114</v>
      </c>
      <c r="L550">
        <v>6</v>
      </c>
      <c r="M550" t="s">
        <v>472</v>
      </c>
      <c r="N550">
        <v>3</v>
      </c>
      <c r="O550" t="s">
        <v>11</v>
      </c>
      <c r="P550">
        <v>23</v>
      </c>
      <c r="Q550" s="6" t="d">
        <v>1981-02-14</v>
      </c>
      <c r="R550">
        <v>24</v>
      </c>
      <c r="S550"/>
      <c r="T550" s="15" t="s">
        <v>1083</v>
      </c>
      <c r="U550" t="str" cm="1">
        <f t="array" ref="U550">_xlfn.TEXTJOIN(",",TRUE,_xlfn.XLOOKUP(_xlfn.FILTERXML("&lt;t&gt;&lt;s&gt;" &amp; SUBSTITUTE(T550,",","&lt;/s&gt;&lt;s&gt;") &amp; "&lt;/s&gt;&lt;/t&gt;", "//s"),Writers!$A$3:$A$999,Writers!$B$3:$B$999,""))</f>
        <v>Johnny Byrne</v>
      </c>
      <c r="V550"/>
      <c r="W550" t="str">
        <f>IF(V550="","",_xlfn.XLOOKUP(V550,Writers!$A$3:$A$999,Writers!$B$3:$B$999,""))</f>
        <v/>
      </c>
      <c r="X550">
        <v>5.2</v>
      </c>
      <c r="Y550"/>
      <c r="Z550"/>
      <c r="AA550">
        <f t="shared" si="24"/>
        <v>6.3</v>
      </c>
      <c r="AB550" t="str">
        <f t="shared" si="25"/>
        <v/>
      </c>
      <c r="AC550" t="str">
        <f t="shared" si="26"/>
        <v/>
      </c>
      <c r="AD550">
        <f>VLOOKUP(YEAR(Q550),Populations!$A$3:$B$999,2,0)</f>
        <v>56357500</v>
      </c>
      <c r="AE550">
        <f>(Calculations!B1/AD550)</f>
        <v>1.21199364769552</v>
      </c>
      <c r="AF550"/>
      <c r="AG550">
        <v>1</v>
      </c>
      <c r="AH550" t="str">
        <f>VLOOKUP(AG550,WikiFormats!$A$3:$B$999,2,0)</f>
        <v>Story</v>
      </c>
      <c r="AI550" t="s">
        <v>699</v>
      </c>
    </row>
    <row r="551" spans="1:35" s="2" customFormat="1" x14ac:dyDescent="0.55000000000000004">
      <c r="A551">
        <v>549</v>
      </c>
      <c r="B551">
        <v>1</v>
      </c>
      <c r="C551" t="str">
        <f>VLOOKUP(B551,Eras!$A$3:$B$999,2,0)</f>
        <v>Classic</v>
      </c>
      <c r="D551">
        <v>1</v>
      </c>
      <c r="E551" t="str">
        <f>VLOOKUP(D551,EpisodeFormats!$A$3:$B$999,2,0)</f>
        <v>Series</v>
      </c>
      <c r="F551">
        <v>4</v>
      </c>
      <c r="G551" t="str">
        <f>VLOOKUP(F551,Doctors!$A$3:$B$999,2,0)</f>
        <v>Tom Baker</v>
      </c>
      <c r="H551">
        <v>18</v>
      </c>
      <c r="I551">
        <v>1</v>
      </c>
      <c r="J551" t="str">
        <f>VLOOKUP(I551,SeasonFormats!$A$3:$B$999,2,0)</f>
        <v>Season</v>
      </c>
      <c r="K551">
        <v>114</v>
      </c>
      <c r="L551">
        <v>6</v>
      </c>
      <c r="M551" t="s">
        <v>472</v>
      </c>
      <c r="N551">
        <v>4</v>
      </c>
      <c r="O551" t="s">
        <v>12</v>
      </c>
      <c r="P551">
        <v>24</v>
      </c>
      <c r="Q551" s="6" t="d">
        <v>1981-02-21</v>
      </c>
      <c r="R551">
        <v>25</v>
      </c>
      <c r="S551"/>
      <c r="T551" s="15" t="s">
        <v>1083</v>
      </c>
      <c r="U551" t="str" cm="1">
        <f t="array" ref="U551">_xlfn.TEXTJOIN(",",TRUE,_xlfn.XLOOKUP(_xlfn.FILTERXML("&lt;t&gt;&lt;s&gt;" &amp; SUBSTITUTE(T551,",","&lt;/s&gt;&lt;s&gt;") &amp; "&lt;/s&gt;&lt;/t&gt;", "//s"),Writers!$A$3:$A$999,Writers!$B$3:$B$999,""))</f>
        <v>Johnny Byrne</v>
      </c>
      <c r="V551"/>
      <c r="W551" t="str">
        <f>IF(V551="","",_xlfn.XLOOKUP(V551,Writers!$A$3:$A$999,Writers!$B$3:$B$999,""))</f>
        <v/>
      </c>
      <c r="X551">
        <v>6.1</v>
      </c>
      <c r="Y551"/>
      <c r="Z551"/>
      <c r="AA551">
        <f t="shared" si="24"/>
        <v>7.39</v>
      </c>
      <c r="AB551" t="str">
        <f t="shared" si="25"/>
        <v/>
      </c>
      <c r="AC551" t="str">
        <f t="shared" si="26"/>
        <v/>
      </c>
      <c r="AD551">
        <f>VLOOKUP(YEAR(Q551),Populations!$A$3:$B$999,2,0)</f>
        <v>56357500</v>
      </c>
      <c r="AE551">
        <f>(Calculations!B1/AD551)</f>
        <v>1.21199364769552</v>
      </c>
      <c r="AF551"/>
      <c r="AG551">
        <v>1</v>
      </c>
      <c r="AH551" t="str">
        <f>VLOOKUP(AG551,WikiFormats!$A$3:$B$999,2,0)</f>
        <v>Story</v>
      </c>
      <c r="AI551" t="s">
        <v>699</v>
      </c>
    </row>
    <row r="552" spans="1:35" s="8" customFormat="1" x14ac:dyDescent="0.55000000000000004">
      <c r="A552" s="3">
        <v>550</v>
      </c>
      <c r="B552" s="3">
        <v>1</v>
      </c>
      <c r="C552" s="3" t="str">
        <f>VLOOKUP(B552,Eras!$A$3:$B$999,2,0)</f>
        <v>Classic</v>
      </c>
      <c r="D552" s="3">
        <v>1</v>
      </c>
      <c r="E552" s="3" t="str">
        <f>VLOOKUP(D552,EpisodeFormats!$A$3:$B$999,2,0)</f>
        <v>Series</v>
      </c>
      <c r="F552" s="3">
        <v>4</v>
      </c>
      <c r="G552" s="3" t="str">
        <f>VLOOKUP(F552,Doctors!$A$3:$B$999,2,0)</f>
        <v>Tom Baker</v>
      </c>
      <c r="H552" s="3">
        <v>18</v>
      </c>
      <c r="I552" s="3">
        <v>1</v>
      </c>
      <c r="J552" s="3" t="str">
        <f>VLOOKUP(I552,SeasonFormats!$A$3:$B$999,2,0)</f>
        <v>Season</v>
      </c>
      <c r="K552" s="3">
        <v>115</v>
      </c>
      <c r="L552" s="3">
        <v>7</v>
      </c>
      <c r="M552" s="3" t="s">
        <v>473</v>
      </c>
      <c r="N552" s="3">
        <v>1</v>
      </c>
      <c r="O552" s="3" t="s">
        <v>9</v>
      </c>
      <c r="P552" s="3">
        <v>25</v>
      </c>
      <c r="Q552" s="7" t="d">
        <v>1981-02-28</v>
      </c>
      <c r="R552" s="3">
        <v>25</v>
      </c>
      <c r="S552" s="3"/>
      <c r="T552" s="4" t="s">
        <v>1078</v>
      </c>
      <c r="U552" s="3" t="str" cm="1">
        <f t="array" ref="U552">_xlfn.TEXTJOIN(",",TRUE,_xlfn.XLOOKUP(_xlfn.FILTERXML("&lt;t&gt;&lt;s&gt;" &amp; SUBSTITUTE(T552,",","&lt;/s&gt;&lt;s&gt;") &amp; "&lt;/s&gt;&lt;/t&gt;", "//s"),Writers!$A$3:$A$999,Writers!$B$3:$B$999,""))</f>
        <v>Christopher H. Bidmead</v>
      </c>
      <c r="V552" s="3"/>
      <c r="W552" s="3" t="str">
        <f>IF(V552="","",_xlfn.XLOOKUP(V552,Writers!$A$3:$A$999,Writers!$B$3:$B$999,""))</f>
        <v/>
      </c>
      <c r="X552" s="3">
        <v>7.7</v>
      </c>
      <c r="Y552" s="3"/>
      <c r="Z552" s="3"/>
      <c r="AA552" s="3">
        <f t="shared" si="24"/>
        <v>9.33</v>
      </c>
      <c r="AB552" s="3" t="str">
        <f t="shared" si="25"/>
        <v/>
      </c>
      <c r="AC552" s="3" t="str">
        <f t="shared" si="26"/>
        <v/>
      </c>
      <c r="AD552" s="3">
        <f>VLOOKUP(YEAR(Q552),Populations!$A$3:$B$999,2,0)</f>
        <v>56357500</v>
      </c>
      <c r="AE552" s="3">
        <f>(Calculations!B1/AD552)</f>
        <v>1.21199364769552</v>
      </c>
      <c r="AF552" s="3" t="s">
        <v>525</v>
      </c>
      <c r="AG552" s="3">
        <v>1</v>
      </c>
      <c r="AH552" s="3" t="str">
        <f>VLOOKUP(AG552,WikiFormats!$A$3:$B$999,2,0)</f>
        <v>Story</v>
      </c>
      <c r="AI552" s="3" t="s">
        <v>700</v>
      </c>
    </row>
    <row r="553" spans="1:35" s="8" customFormat="1" x14ac:dyDescent="0.55000000000000004">
      <c r="A553" s="3">
        <v>551</v>
      </c>
      <c r="B553" s="3">
        <v>1</v>
      </c>
      <c r="C553" s="3" t="str">
        <f>VLOOKUP(B553,Eras!$A$3:$B$999,2,0)</f>
        <v>Classic</v>
      </c>
      <c r="D553" s="3">
        <v>1</v>
      </c>
      <c r="E553" s="3" t="str">
        <f>VLOOKUP(D553,EpisodeFormats!$A$3:$B$999,2,0)</f>
        <v>Series</v>
      </c>
      <c r="F553" s="3">
        <v>4</v>
      </c>
      <c r="G553" s="3" t="str">
        <f>VLOOKUP(F553,Doctors!$A$3:$B$999,2,0)</f>
        <v>Tom Baker</v>
      </c>
      <c r="H553" s="3">
        <v>18</v>
      </c>
      <c r="I553" s="3">
        <v>1</v>
      </c>
      <c r="J553" s="3" t="str">
        <f>VLOOKUP(I553,SeasonFormats!$A$3:$B$999,2,0)</f>
        <v>Season</v>
      </c>
      <c r="K553" s="3">
        <v>115</v>
      </c>
      <c r="L553" s="3">
        <v>7</v>
      </c>
      <c r="M553" s="3" t="s">
        <v>473</v>
      </c>
      <c r="N553" s="3">
        <v>2</v>
      </c>
      <c r="O553" s="3" t="s">
        <v>10</v>
      </c>
      <c r="P553" s="3">
        <v>26</v>
      </c>
      <c r="Q553" s="7" t="d">
        <v>1981-03-07</v>
      </c>
      <c r="R553" s="3">
        <v>24</v>
      </c>
      <c r="S553" s="3"/>
      <c r="T553" s="4" t="s">
        <v>1078</v>
      </c>
      <c r="U553" s="3" t="str" cm="1">
        <f t="array" ref="U553">_xlfn.TEXTJOIN(",",TRUE,_xlfn.XLOOKUP(_xlfn.FILTERXML("&lt;t&gt;&lt;s&gt;" &amp; SUBSTITUTE(T553,",","&lt;/s&gt;&lt;s&gt;") &amp; "&lt;/s&gt;&lt;/t&gt;", "//s"),Writers!$A$3:$A$999,Writers!$B$3:$B$999,""))</f>
        <v>Christopher H. Bidmead</v>
      </c>
      <c r="V553" s="3"/>
      <c r="W553" s="3" t="str">
        <f>IF(V553="","",_xlfn.XLOOKUP(V553,Writers!$A$3:$A$999,Writers!$B$3:$B$999,""))</f>
        <v/>
      </c>
      <c r="X553" s="3">
        <v>7.7</v>
      </c>
      <c r="Y553" s="3"/>
      <c r="Z553" s="3"/>
      <c r="AA553" s="3">
        <f t="shared" si="24"/>
        <v>9.33</v>
      </c>
      <c r="AB553" s="3" t="str">
        <f t="shared" si="25"/>
        <v/>
      </c>
      <c r="AC553" s="3" t="str">
        <f t="shared" si="26"/>
        <v/>
      </c>
      <c r="AD553" s="3">
        <f>VLOOKUP(YEAR(Q553),Populations!$A$3:$B$999,2,0)</f>
        <v>56357500</v>
      </c>
      <c r="AE553" s="3">
        <f>(Calculations!B1/AD553)</f>
        <v>1.21199364769552</v>
      </c>
      <c r="AF553" s="3"/>
      <c r="AG553" s="3">
        <v>1</v>
      </c>
      <c r="AH553" s="3" t="str">
        <f>VLOOKUP(AG553,WikiFormats!$A$3:$B$999,2,0)</f>
        <v>Story</v>
      </c>
      <c r="AI553" s="3" t="s">
        <v>700</v>
      </c>
    </row>
    <row r="554" spans="1:35" s="8" customFormat="1" x14ac:dyDescent="0.55000000000000004">
      <c r="A554" s="3">
        <v>552</v>
      </c>
      <c r="B554" s="3">
        <v>1</v>
      </c>
      <c r="C554" s="3" t="str">
        <f>VLOOKUP(B554,Eras!$A$3:$B$999,2,0)</f>
        <v>Classic</v>
      </c>
      <c r="D554" s="3">
        <v>1</v>
      </c>
      <c r="E554" s="3" t="str">
        <f>VLOOKUP(D554,EpisodeFormats!$A$3:$B$999,2,0)</f>
        <v>Series</v>
      </c>
      <c r="F554" s="3">
        <v>4</v>
      </c>
      <c r="G554" s="3" t="str">
        <f>VLOOKUP(F554,Doctors!$A$3:$B$999,2,0)</f>
        <v>Tom Baker</v>
      </c>
      <c r="H554" s="3">
        <v>18</v>
      </c>
      <c r="I554" s="3">
        <v>1</v>
      </c>
      <c r="J554" s="3" t="str">
        <f>VLOOKUP(I554,SeasonFormats!$A$3:$B$999,2,0)</f>
        <v>Season</v>
      </c>
      <c r="K554" s="3">
        <v>115</v>
      </c>
      <c r="L554" s="3">
        <v>7</v>
      </c>
      <c r="M554" s="3" t="s">
        <v>473</v>
      </c>
      <c r="N554" s="3">
        <v>3</v>
      </c>
      <c r="O554" s="3" t="s">
        <v>11</v>
      </c>
      <c r="P554" s="3">
        <v>27</v>
      </c>
      <c r="Q554" s="7" t="d">
        <v>1981-03-14</v>
      </c>
      <c r="R554" s="3">
        <v>25</v>
      </c>
      <c r="S554" s="3"/>
      <c r="T554" s="4" t="s">
        <v>1078</v>
      </c>
      <c r="U554" s="3" t="str" cm="1">
        <f t="array" ref="U554">_xlfn.TEXTJOIN(",",TRUE,_xlfn.XLOOKUP(_xlfn.FILTERXML("&lt;t&gt;&lt;s&gt;" &amp; SUBSTITUTE(T554,",","&lt;/s&gt;&lt;s&gt;") &amp; "&lt;/s&gt;&lt;/t&gt;", "//s"),Writers!$A$3:$A$999,Writers!$B$3:$B$999,""))</f>
        <v>Christopher H. Bidmead</v>
      </c>
      <c r="V554" s="3"/>
      <c r="W554" s="3" t="str">
        <f>IF(V554="","",_xlfn.XLOOKUP(V554,Writers!$A$3:$A$999,Writers!$B$3:$B$999,""))</f>
        <v/>
      </c>
      <c r="X554" s="3">
        <v>5.8</v>
      </c>
      <c r="Y554" s="3"/>
      <c r="Z554" s="3"/>
      <c r="AA554" s="3">
        <f t="shared" si="24"/>
        <v>7.03</v>
      </c>
      <c r="AB554" s="3" t="str">
        <f t="shared" si="25"/>
        <v/>
      </c>
      <c r="AC554" s="3" t="str">
        <f t="shared" si="26"/>
        <v/>
      </c>
      <c r="AD554" s="3">
        <f>VLOOKUP(YEAR(Q554),Populations!$A$3:$B$999,2,0)</f>
        <v>56357500</v>
      </c>
      <c r="AE554" s="3">
        <f>(Calculations!B1/AD554)</f>
        <v>1.21199364769552</v>
      </c>
      <c r="AF554" s="3"/>
      <c r="AG554" s="3">
        <v>1</v>
      </c>
      <c r="AH554" s="3" t="str">
        <f>VLOOKUP(AG554,WikiFormats!$A$3:$B$999,2,0)</f>
        <v>Story</v>
      </c>
      <c r="AI554" s="3" t="s">
        <v>700</v>
      </c>
    </row>
    <row r="555" spans="1:35" s="8" customFormat="1" x14ac:dyDescent="0.55000000000000004">
      <c r="A555" s="3">
        <v>553</v>
      </c>
      <c r="B555" s="3">
        <v>1</v>
      </c>
      <c r="C555" s="3" t="str">
        <f>VLOOKUP(B555,Eras!$A$3:$B$999,2,0)</f>
        <v>Classic</v>
      </c>
      <c r="D555" s="3">
        <v>1</v>
      </c>
      <c r="E555" s="3" t="str">
        <f>VLOOKUP(D555,EpisodeFormats!$A$3:$B$999,2,0)</f>
        <v>Series</v>
      </c>
      <c r="F555" s="3">
        <v>4</v>
      </c>
      <c r="G555" s="3" t="str">
        <f>VLOOKUP(F555,Doctors!$A$3:$B$999,2,0)</f>
        <v>Tom Baker</v>
      </c>
      <c r="H555" s="3">
        <v>18</v>
      </c>
      <c r="I555" s="3">
        <v>1</v>
      </c>
      <c r="J555" s="3" t="str">
        <f>VLOOKUP(I555,SeasonFormats!$A$3:$B$999,2,0)</f>
        <v>Season</v>
      </c>
      <c r="K555" s="3">
        <v>115</v>
      </c>
      <c r="L555" s="3">
        <v>7</v>
      </c>
      <c r="M555" s="3" t="s">
        <v>473</v>
      </c>
      <c r="N555" s="3">
        <v>4</v>
      </c>
      <c r="O555" s="3" t="s">
        <v>12</v>
      </c>
      <c r="P555" s="3">
        <v>28</v>
      </c>
      <c r="Q555" s="7" t="d">
        <v>1981-03-21</v>
      </c>
      <c r="R555" s="3">
        <v>25</v>
      </c>
      <c r="S555" s="3"/>
      <c r="T555" s="4" t="s">
        <v>1078</v>
      </c>
      <c r="U555" s="3" t="str" cm="1">
        <f t="array" ref="U555">_xlfn.TEXTJOIN(",",TRUE,_xlfn.XLOOKUP(_xlfn.FILTERXML("&lt;t&gt;&lt;s&gt;" &amp; SUBSTITUTE(T555,",","&lt;/s&gt;&lt;s&gt;") &amp; "&lt;/s&gt;&lt;/t&gt;", "//s"),Writers!$A$3:$A$999,Writers!$B$3:$B$999,""))</f>
        <v>Christopher H. Bidmead</v>
      </c>
      <c r="V555" s="3"/>
      <c r="W555" s="3" t="str">
        <f>IF(V555="","",_xlfn.XLOOKUP(V555,Writers!$A$3:$A$999,Writers!$B$3:$B$999,""))</f>
        <v/>
      </c>
      <c r="X555" s="3">
        <v>6.1</v>
      </c>
      <c r="Y555" s="3"/>
      <c r="Z555" s="3"/>
      <c r="AA555" s="3">
        <f t="shared" si="24"/>
        <v>7.39</v>
      </c>
      <c r="AB555" s="3" t="str">
        <f t="shared" si="25"/>
        <v/>
      </c>
      <c r="AC555" s="3" t="str">
        <f t="shared" si="26"/>
        <v/>
      </c>
      <c r="AD555" s="3">
        <f>VLOOKUP(YEAR(Q555),Populations!$A$3:$B$999,2,0)</f>
        <v>56357500</v>
      </c>
      <c r="AE555" s="3">
        <f>(Calculations!B1/AD555)</f>
        <v>1.21199364769552</v>
      </c>
      <c r="AF555" s="3"/>
      <c r="AG555" s="3">
        <v>1</v>
      </c>
      <c r="AH555" s="3" t="str">
        <f>VLOOKUP(AG555,WikiFormats!$A$3:$B$999,2,0)</f>
        <v>Story</v>
      </c>
      <c r="AI555" s="3" t="s">
        <v>700</v>
      </c>
    </row>
    <row r="556" spans="1:35" s="2" customFormat="1" x14ac:dyDescent="0.55000000000000004">
      <c r="A556">
        <v>554</v>
      </c>
      <c r="B556">
        <v>1</v>
      </c>
      <c r="C556" t="str">
        <f>VLOOKUP(B556,Eras!$A$3:$B$999,2,0)</f>
        <v>Classic</v>
      </c>
      <c r="D556">
        <v>1</v>
      </c>
      <c r="E556" t="str">
        <f>VLOOKUP(D556,EpisodeFormats!$A$3:$B$999,2,0)</f>
        <v>Series</v>
      </c>
      <c r="F556">
        <v>5</v>
      </c>
      <c r="G556" t="str">
        <f>VLOOKUP(F556,Doctors!$A$3:$B$999,2,0)</f>
        <v>Peter Davison</v>
      </c>
      <c r="H556">
        <v>19</v>
      </c>
      <c r="I556">
        <v>1</v>
      </c>
      <c r="J556" t="str">
        <f>VLOOKUP(I556,SeasonFormats!$A$3:$B$999,2,0)</f>
        <v>Season</v>
      </c>
      <c r="K556">
        <v>116</v>
      </c>
      <c r="L556">
        <v>1</v>
      </c>
      <c r="M556" t="s">
        <v>474</v>
      </c>
      <c r="N556">
        <v>1</v>
      </c>
      <c r="O556" t="s">
        <v>9</v>
      </c>
      <c r="P556">
        <v>1</v>
      </c>
      <c r="Q556" s="6" t="d">
        <v>1982-01-04</v>
      </c>
      <c r="R556">
        <v>24</v>
      </c>
      <c r="S556"/>
      <c r="T556" s="15" t="s">
        <v>1078</v>
      </c>
      <c r="U556" t="str" cm="1">
        <f t="array" ref="U556">_xlfn.TEXTJOIN(",",TRUE,_xlfn.XLOOKUP(_xlfn.FILTERXML("&lt;t&gt;&lt;s&gt;" &amp; SUBSTITUTE(T556,",","&lt;/s&gt;&lt;s&gt;") &amp; "&lt;/s&gt;&lt;/t&gt;", "//s"),Writers!$A$3:$A$999,Writers!$B$3:$B$999,""))</f>
        <v>Christopher H. Bidmead</v>
      </c>
      <c r="V556"/>
      <c r="W556" t="str">
        <f>IF(V556="","",_xlfn.XLOOKUP(V556,Writers!$A$3:$A$999,Writers!$B$3:$B$999,""))</f>
        <v/>
      </c>
      <c r="X556">
        <v>9.1</v>
      </c>
      <c r="Y556"/>
      <c r="Z556"/>
      <c r="AA556">
        <f t="shared" si="24"/>
        <v>11.04</v>
      </c>
      <c r="AB556" t="str">
        <f t="shared" si="25"/>
        <v/>
      </c>
      <c r="AC556" t="str">
        <f t="shared" si="26"/>
        <v/>
      </c>
      <c r="AD556">
        <f>VLOOKUP(YEAR(Q556),Populations!$A$3:$B$999,2,0)</f>
        <v>56290700</v>
      </c>
      <c r="AE556">
        <f>(Calculations!B1/AD556)</f>
        <v>1.2134319168175201</v>
      </c>
      <c r="AF556"/>
      <c r="AG556">
        <v>1</v>
      </c>
      <c r="AH556" t="str">
        <f>VLOOKUP(AG556,WikiFormats!$A$3:$B$999,2,0)</f>
        <v>Story</v>
      </c>
      <c r="AI556" t="s">
        <v>701</v>
      </c>
    </row>
    <row r="557" spans="1:35" s="2" customFormat="1" x14ac:dyDescent="0.55000000000000004">
      <c r="A557">
        <v>555</v>
      </c>
      <c r="B557">
        <v>1</v>
      </c>
      <c r="C557" t="str">
        <f>VLOOKUP(B557,Eras!$A$3:$B$999,2,0)</f>
        <v>Classic</v>
      </c>
      <c r="D557">
        <v>1</v>
      </c>
      <c r="E557" t="str">
        <f>VLOOKUP(D557,EpisodeFormats!$A$3:$B$999,2,0)</f>
        <v>Series</v>
      </c>
      <c r="F557">
        <v>5</v>
      </c>
      <c r="G557" t="str">
        <f>VLOOKUP(F557,Doctors!$A$3:$B$999,2,0)</f>
        <v>Peter Davison</v>
      </c>
      <c r="H557">
        <v>19</v>
      </c>
      <c r="I557">
        <v>1</v>
      </c>
      <c r="J557" t="str">
        <f>VLOOKUP(I557,SeasonFormats!$A$3:$B$999,2,0)</f>
        <v>Season</v>
      </c>
      <c r="K557">
        <v>116</v>
      </c>
      <c r="L557">
        <v>1</v>
      </c>
      <c r="M557" t="s">
        <v>474</v>
      </c>
      <c r="N557">
        <v>2</v>
      </c>
      <c r="O557" t="s">
        <v>10</v>
      </c>
      <c r="P557">
        <v>2</v>
      </c>
      <c r="Q557" s="6" t="d">
        <v>1982-01-05</v>
      </c>
      <c r="R557">
        <v>24</v>
      </c>
      <c r="S557"/>
      <c r="T557" s="15" t="s">
        <v>1078</v>
      </c>
      <c r="U557" t="str" cm="1">
        <f t="array" ref="U557">_xlfn.TEXTJOIN(",",TRUE,_xlfn.XLOOKUP(_xlfn.FILTERXML("&lt;t&gt;&lt;s&gt;" &amp; SUBSTITUTE(T557,",","&lt;/s&gt;&lt;s&gt;") &amp; "&lt;/s&gt;&lt;/t&gt;", "//s"),Writers!$A$3:$A$999,Writers!$B$3:$B$999,""))</f>
        <v>Christopher H. Bidmead</v>
      </c>
      <c r="V557"/>
      <c r="W557" t="str">
        <f>IF(V557="","",_xlfn.XLOOKUP(V557,Writers!$A$3:$A$999,Writers!$B$3:$B$999,""))</f>
        <v/>
      </c>
      <c r="X557">
        <v>8.6</v>
      </c>
      <c r="Y557"/>
      <c r="Z557"/>
      <c r="AA557">
        <f t="shared" si="24"/>
        <v>10.44</v>
      </c>
      <c r="AB557" t="str">
        <f t="shared" si="25"/>
        <v/>
      </c>
      <c r="AC557" t="str">
        <f t="shared" si="26"/>
        <v/>
      </c>
      <c r="AD557">
        <f>VLOOKUP(YEAR(Q557),Populations!$A$3:$B$999,2,0)</f>
        <v>56290700</v>
      </c>
      <c r="AE557">
        <f>(Calculations!B1/AD557)</f>
        <v>1.2134319168175201</v>
      </c>
      <c r="AF557"/>
      <c r="AG557">
        <v>1</v>
      </c>
      <c r="AH557" t="str">
        <f>VLOOKUP(AG557,WikiFormats!$A$3:$B$999,2,0)</f>
        <v>Story</v>
      </c>
      <c r="AI557" t="s">
        <v>701</v>
      </c>
    </row>
    <row r="558" spans="1:35" s="2" customFormat="1" x14ac:dyDescent="0.55000000000000004">
      <c r="A558">
        <v>556</v>
      </c>
      <c r="B558">
        <v>1</v>
      </c>
      <c r="C558" t="str">
        <f>VLOOKUP(B558,Eras!$A$3:$B$999,2,0)</f>
        <v>Classic</v>
      </c>
      <c r="D558">
        <v>1</v>
      </c>
      <c r="E558" t="str">
        <f>VLOOKUP(D558,EpisodeFormats!$A$3:$B$999,2,0)</f>
        <v>Series</v>
      </c>
      <c r="F558">
        <v>5</v>
      </c>
      <c r="G558" t="str">
        <f>VLOOKUP(F558,Doctors!$A$3:$B$999,2,0)</f>
        <v>Peter Davison</v>
      </c>
      <c r="H558">
        <v>19</v>
      </c>
      <c r="I558">
        <v>1</v>
      </c>
      <c r="J558" t="str">
        <f>VLOOKUP(I558,SeasonFormats!$A$3:$B$999,2,0)</f>
        <v>Season</v>
      </c>
      <c r="K558">
        <v>116</v>
      </c>
      <c r="L558">
        <v>1</v>
      </c>
      <c r="M558" t="s">
        <v>474</v>
      </c>
      <c r="N558">
        <v>3</v>
      </c>
      <c r="O558" t="s">
        <v>11</v>
      </c>
      <c r="P558">
        <v>3</v>
      </c>
      <c r="Q558" s="6" t="d">
        <v>1982-01-11</v>
      </c>
      <c r="R558">
        <v>24</v>
      </c>
      <c r="S558"/>
      <c r="T558" s="15" t="s">
        <v>1078</v>
      </c>
      <c r="U558" t="str" cm="1">
        <f t="array" ref="U558">_xlfn.TEXTJOIN(",",TRUE,_xlfn.XLOOKUP(_xlfn.FILTERXML("&lt;t&gt;&lt;s&gt;" &amp; SUBSTITUTE(T558,",","&lt;/s&gt;&lt;s&gt;") &amp; "&lt;/s&gt;&lt;/t&gt;", "//s"),Writers!$A$3:$A$999,Writers!$B$3:$B$999,""))</f>
        <v>Christopher H. Bidmead</v>
      </c>
      <c r="V558"/>
      <c r="W558" t="str">
        <f>IF(V558="","",_xlfn.XLOOKUP(V558,Writers!$A$3:$A$999,Writers!$B$3:$B$999,""))</f>
        <v/>
      </c>
      <c r="X558">
        <v>10.199999999999999</v>
      </c>
      <c r="Y558"/>
      <c r="Z558"/>
      <c r="AA558">
        <f t="shared" si="24"/>
        <v>12.38</v>
      </c>
      <c r="AB558" t="str">
        <f t="shared" si="25"/>
        <v/>
      </c>
      <c r="AC558" t="str">
        <f t="shared" si="26"/>
        <v/>
      </c>
      <c r="AD558">
        <f>VLOOKUP(YEAR(Q558),Populations!$A$3:$B$999,2,0)</f>
        <v>56290700</v>
      </c>
      <c r="AE558">
        <f>(Calculations!B1/AD558)</f>
        <v>1.2134319168175201</v>
      </c>
      <c r="AF558"/>
      <c r="AG558">
        <v>1</v>
      </c>
      <c r="AH558" t="str">
        <f>VLOOKUP(AG558,WikiFormats!$A$3:$B$999,2,0)</f>
        <v>Story</v>
      </c>
      <c r="AI558" t="s">
        <v>701</v>
      </c>
    </row>
    <row r="559" spans="1:35" s="2" customFormat="1" x14ac:dyDescent="0.55000000000000004">
      <c r="A559">
        <v>557</v>
      </c>
      <c r="B559">
        <v>1</v>
      </c>
      <c r="C559" t="str">
        <f>VLOOKUP(B559,Eras!$A$3:$B$999,2,0)</f>
        <v>Classic</v>
      </c>
      <c r="D559">
        <v>1</v>
      </c>
      <c r="E559" t="str">
        <f>VLOOKUP(D559,EpisodeFormats!$A$3:$B$999,2,0)</f>
        <v>Series</v>
      </c>
      <c r="F559">
        <v>5</v>
      </c>
      <c r="G559" t="str">
        <f>VLOOKUP(F559,Doctors!$A$3:$B$999,2,0)</f>
        <v>Peter Davison</v>
      </c>
      <c r="H559">
        <v>19</v>
      </c>
      <c r="I559">
        <v>1</v>
      </c>
      <c r="J559" t="str">
        <f>VLOOKUP(I559,SeasonFormats!$A$3:$B$999,2,0)</f>
        <v>Season</v>
      </c>
      <c r="K559">
        <v>116</v>
      </c>
      <c r="L559">
        <v>1</v>
      </c>
      <c r="M559" t="s">
        <v>474</v>
      </c>
      <c r="N559">
        <v>4</v>
      </c>
      <c r="O559" t="s">
        <v>12</v>
      </c>
      <c r="P559">
        <v>4</v>
      </c>
      <c r="Q559" s="6" t="d">
        <v>1982-01-12</v>
      </c>
      <c r="R559">
        <v>24</v>
      </c>
      <c r="S559"/>
      <c r="T559" s="15" t="s">
        <v>1078</v>
      </c>
      <c r="U559" t="str" cm="1">
        <f t="array" ref="U559">_xlfn.TEXTJOIN(",",TRUE,_xlfn.XLOOKUP(_xlfn.FILTERXML("&lt;t&gt;&lt;s&gt;" &amp; SUBSTITUTE(T559,",","&lt;/s&gt;&lt;s&gt;") &amp; "&lt;/s&gt;&lt;/t&gt;", "//s"),Writers!$A$3:$A$999,Writers!$B$3:$B$999,""))</f>
        <v>Christopher H. Bidmead</v>
      </c>
      <c r="V559"/>
      <c r="W559" t="str">
        <f>IF(V559="","",_xlfn.XLOOKUP(V559,Writers!$A$3:$A$999,Writers!$B$3:$B$999,""))</f>
        <v/>
      </c>
      <c r="X559">
        <v>10.4</v>
      </c>
      <c r="Y559"/>
      <c r="Z559"/>
      <c r="AA559">
        <f t="shared" si="24"/>
        <v>12.62</v>
      </c>
      <c r="AB559" t="str">
        <f t="shared" si="25"/>
        <v/>
      </c>
      <c r="AC559" t="str">
        <f t="shared" si="26"/>
        <v/>
      </c>
      <c r="AD559">
        <f>VLOOKUP(YEAR(Q559),Populations!$A$3:$B$999,2,0)</f>
        <v>56290700</v>
      </c>
      <c r="AE559">
        <f>(Calculations!B1/AD559)</f>
        <v>1.2134319168175201</v>
      </c>
      <c r="AF559"/>
      <c r="AG559">
        <v>1</v>
      </c>
      <c r="AH559" t="str">
        <f>VLOOKUP(AG559,WikiFormats!$A$3:$B$999,2,0)</f>
        <v>Story</v>
      </c>
      <c r="AI559" t="s">
        <v>701</v>
      </c>
    </row>
    <row r="560" spans="1:35" s="8" customFormat="1" x14ac:dyDescent="0.55000000000000004">
      <c r="A560" s="3">
        <v>558</v>
      </c>
      <c r="B560" s="3">
        <v>1</v>
      </c>
      <c r="C560" s="3" t="str">
        <f>VLOOKUP(B560,Eras!$A$3:$B$999,2,0)</f>
        <v>Classic</v>
      </c>
      <c r="D560" s="3">
        <v>1</v>
      </c>
      <c r="E560" s="3" t="str">
        <f>VLOOKUP(D560,EpisodeFormats!$A$3:$B$999,2,0)</f>
        <v>Series</v>
      </c>
      <c r="F560" s="3">
        <v>5</v>
      </c>
      <c r="G560" s="3" t="str">
        <f>VLOOKUP(F560,Doctors!$A$3:$B$999,2,0)</f>
        <v>Peter Davison</v>
      </c>
      <c r="H560" s="3">
        <v>19</v>
      </c>
      <c r="I560" s="3">
        <v>1</v>
      </c>
      <c r="J560" s="3" t="str">
        <f>VLOOKUP(I560,SeasonFormats!$A$3:$B$999,2,0)</f>
        <v>Season</v>
      </c>
      <c r="K560" s="3">
        <v>117</v>
      </c>
      <c r="L560" s="3">
        <v>2</v>
      </c>
      <c r="M560" s="3" t="s">
        <v>475</v>
      </c>
      <c r="N560" s="3">
        <v>1</v>
      </c>
      <c r="O560" s="3" t="s">
        <v>9</v>
      </c>
      <c r="P560" s="3">
        <v>5</v>
      </c>
      <c r="Q560" s="7" t="d">
        <v>1982-01-18</v>
      </c>
      <c r="R560" s="3">
        <v>24</v>
      </c>
      <c r="S560" s="3"/>
      <c r="T560" s="4" t="s">
        <v>1107</v>
      </c>
      <c r="U560" s="3" t="str" cm="1">
        <f t="array" ref="U560">_xlfn.TEXTJOIN(",",TRUE,_xlfn.XLOOKUP(_xlfn.FILTERXML("&lt;t&gt;&lt;s&gt;" &amp; SUBSTITUTE(T560,",","&lt;/s&gt;&lt;s&gt;") &amp; "&lt;/s&gt;&lt;/t&gt;", "//s"),Writers!$A$3:$A$999,Writers!$B$3:$B$999,""))</f>
        <v>Terence Dudley</v>
      </c>
      <c r="V560" s="3"/>
      <c r="W560" s="3" t="str">
        <f>IF(V560="","",_xlfn.XLOOKUP(V560,Writers!$A$3:$A$999,Writers!$B$3:$B$999,""))</f>
        <v/>
      </c>
      <c r="X560" s="3">
        <v>8.4</v>
      </c>
      <c r="Y560" s="3"/>
      <c r="Z560" s="3"/>
      <c r="AA560" s="3">
        <f t="shared" si="24"/>
        <v>10.19</v>
      </c>
      <c r="AB560" s="3" t="str">
        <f t="shared" si="25"/>
        <v/>
      </c>
      <c r="AC560" s="3" t="str">
        <f t="shared" si="26"/>
        <v/>
      </c>
      <c r="AD560" s="3">
        <f>VLOOKUP(YEAR(Q560),Populations!$A$3:$B$999,2,0)</f>
        <v>56290700</v>
      </c>
      <c r="AE560" s="3">
        <f>(Calculations!B1/AD560)</f>
        <v>1.2134319168175201</v>
      </c>
      <c r="AF560" s="3"/>
      <c r="AG560" s="3">
        <v>1</v>
      </c>
      <c r="AH560" s="3" t="str">
        <f>VLOOKUP(AG560,WikiFormats!$A$3:$B$999,2,0)</f>
        <v>Story</v>
      </c>
      <c r="AI560" s="3" t="s">
        <v>702</v>
      </c>
    </row>
    <row r="561" spans="1:35" s="8" customFormat="1" x14ac:dyDescent="0.55000000000000004">
      <c r="A561" s="3">
        <v>559</v>
      </c>
      <c r="B561" s="3">
        <v>1</v>
      </c>
      <c r="C561" s="3" t="str">
        <f>VLOOKUP(B561,Eras!$A$3:$B$999,2,0)</f>
        <v>Classic</v>
      </c>
      <c r="D561" s="3">
        <v>1</v>
      </c>
      <c r="E561" s="3" t="str">
        <f>VLOOKUP(D561,EpisodeFormats!$A$3:$B$999,2,0)</f>
        <v>Series</v>
      </c>
      <c r="F561" s="3">
        <v>5</v>
      </c>
      <c r="G561" s="3" t="str">
        <f>VLOOKUP(F561,Doctors!$A$3:$B$999,2,0)</f>
        <v>Peter Davison</v>
      </c>
      <c r="H561" s="3">
        <v>19</v>
      </c>
      <c r="I561" s="3">
        <v>1</v>
      </c>
      <c r="J561" s="3" t="str">
        <f>VLOOKUP(I561,SeasonFormats!$A$3:$B$999,2,0)</f>
        <v>Season</v>
      </c>
      <c r="K561" s="3">
        <v>117</v>
      </c>
      <c r="L561" s="3">
        <v>2</v>
      </c>
      <c r="M561" s="3" t="s">
        <v>475</v>
      </c>
      <c r="N561" s="3">
        <v>2</v>
      </c>
      <c r="O561" s="3" t="s">
        <v>10</v>
      </c>
      <c r="P561" s="3">
        <v>6</v>
      </c>
      <c r="Q561" s="7" t="d">
        <v>1982-01-19</v>
      </c>
      <c r="R561" s="3">
        <v>24</v>
      </c>
      <c r="S561" s="3"/>
      <c r="T561" s="4" t="s">
        <v>1107</v>
      </c>
      <c r="U561" s="3" t="str" cm="1">
        <f t="array" ref="U561">_xlfn.TEXTJOIN(",",TRUE,_xlfn.XLOOKUP(_xlfn.FILTERXML("&lt;t&gt;&lt;s&gt;" &amp; SUBSTITUTE(T561,",","&lt;/s&gt;&lt;s&gt;") &amp; "&lt;/s&gt;&lt;/t&gt;", "//s"),Writers!$A$3:$A$999,Writers!$B$3:$B$999,""))</f>
        <v>Terence Dudley</v>
      </c>
      <c r="V561" s="3"/>
      <c r="W561" s="3" t="str">
        <f>IF(V561="","",_xlfn.XLOOKUP(V561,Writers!$A$3:$A$999,Writers!$B$3:$B$999,""))</f>
        <v/>
      </c>
      <c r="X561" s="3">
        <v>8.8000000000000007</v>
      </c>
      <c r="Y561" s="3"/>
      <c r="Z561" s="3"/>
      <c r="AA561" s="3">
        <f t="shared" si="24"/>
        <v>10.68</v>
      </c>
      <c r="AB561" s="3" t="str">
        <f t="shared" si="25"/>
        <v/>
      </c>
      <c r="AC561" s="3" t="str">
        <f t="shared" si="26"/>
        <v/>
      </c>
      <c r="AD561" s="3">
        <f>VLOOKUP(YEAR(Q561),Populations!$A$3:$B$999,2,0)</f>
        <v>56290700</v>
      </c>
      <c r="AE561" s="3">
        <f>(Calculations!B1/AD561)</f>
        <v>1.2134319168175201</v>
      </c>
      <c r="AF561" s="3"/>
      <c r="AG561" s="3">
        <v>1</v>
      </c>
      <c r="AH561" s="3" t="str">
        <f>VLOOKUP(AG561,WikiFormats!$A$3:$B$999,2,0)</f>
        <v>Story</v>
      </c>
      <c r="AI561" s="3" t="s">
        <v>702</v>
      </c>
    </row>
    <row r="562" spans="1:35" s="8" customFormat="1" x14ac:dyDescent="0.55000000000000004">
      <c r="A562" s="3">
        <v>560</v>
      </c>
      <c r="B562" s="3">
        <v>1</v>
      </c>
      <c r="C562" s="3" t="str">
        <f>VLOOKUP(B562,Eras!$A$3:$B$999,2,0)</f>
        <v>Classic</v>
      </c>
      <c r="D562" s="3">
        <v>1</v>
      </c>
      <c r="E562" s="3" t="str">
        <f>VLOOKUP(D562,EpisodeFormats!$A$3:$B$999,2,0)</f>
        <v>Series</v>
      </c>
      <c r="F562" s="3">
        <v>5</v>
      </c>
      <c r="G562" s="3" t="str">
        <f>VLOOKUP(F562,Doctors!$A$3:$B$999,2,0)</f>
        <v>Peter Davison</v>
      </c>
      <c r="H562" s="3">
        <v>19</v>
      </c>
      <c r="I562" s="3">
        <v>1</v>
      </c>
      <c r="J562" s="3" t="str">
        <f>VLOOKUP(I562,SeasonFormats!$A$3:$B$999,2,0)</f>
        <v>Season</v>
      </c>
      <c r="K562" s="3">
        <v>117</v>
      </c>
      <c r="L562" s="3">
        <v>2</v>
      </c>
      <c r="M562" s="3" t="s">
        <v>475</v>
      </c>
      <c r="N562" s="3">
        <v>3</v>
      </c>
      <c r="O562" s="3" t="s">
        <v>11</v>
      </c>
      <c r="P562" s="3">
        <v>7</v>
      </c>
      <c r="Q562" s="7" t="d">
        <v>1982-01-25</v>
      </c>
      <c r="R562" s="3">
        <v>24</v>
      </c>
      <c r="S562" s="3"/>
      <c r="T562" s="4" t="s">
        <v>1107</v>
      </c>
      <c r="U562" s="3" t="str" cm="1">
        <f t="array" ref="U562">_xlfn.TEXTJOIN(",",TRUE,_xlfn.XLOOKUP(_xlfn.FILTERXML("&lt;t&gt;&lt;s&gt;" &amp; SUBSTITUTE(T562,",","&lt;/s&gt;&lt;s&gt;") &amp; "&lt;/s&gt;&lt;/t&gt;", "//s"),Writers!$A$3:$A$999,Writers!$B$3:$B$999,""))</f>
        <v>Terence Dudley</v>
      </c>
      <c r="V562" s="3"/>
      <c r="W562" s="3" t="str">
        <f>IF(V562="","",_xlfn.XLOOKUP(V562,Writers!$A$3:$A$999,Writers!$B$3:$B$999,""))</f>
        <v/>
      </c>
      <c r="X562" s="3">
        <v>8.9</v>
      </c>
      <c r="Y562" s="3"/>
      <c r="Z562" s="3"/>
      <c r="AA562" s="3">
        <f t="shared" si="24"/>
        <v>10.8</v>
      </c>
      <c r="AB562" s="3" t="str">
        <f t="shared" si="25"/>
        <v/>
      </c>
      <c r="AC562" s="3" t="str">
        <f t="shared" si="26"/>
        <v/>
      </c>
      <c r="AD562" s="3">
        <f>VLOOKUP(YEAR(Q562),Populations!$A$3:$B$999,2,0)</f>
        <v>56290700</v>
      </c>
      <c r="AE562" s="3">
        <f>(Calculations!B1/AD562)</f>
        <v>1.2134319168175201</v>
      </c>
      <c r="AF562" s="3" t="s">
        <v>526</v>
      </c>
      <c r="AG562" s="3">
        <v>1</v>
      </c>
      <c r="AH562" s="3" t="str">
        <f>VLOOKUP(AG562,WikiFormats!$A$3:$B$999,2,0)</f>
        <v>Story</v>
      </c>
      <c r="AI562" s="3" t="s">
        <v>702</v>
      </c>
    </row>
    <row r="563" spans="1:35" s="8" customFormat="1" x14ac:dyDescent="0.55000000000000004">
      <c r="A563" s="3">
        <v>561</v>
      </c>
      <c r="B563" s="3">
        <v>1</v>
      </c>
      <c r="C563" s="3" t="str">
        <f>VLOOKUP(B563,Eras!$A$3:$B$999,2,0)</f>
        <v>Classic</v>
      </c>
      <c r="D563" s="3">
        <v>1</v>
      </c>
      <c r="E563" s="3" t="str">
        <f>VLOOKUP(D563,EpisodeFormats!$A$3:$B$999,2,0)</f>
        <v>Series</v>
      </c>
      <c r="F563" s="3">
        <v>5</v>
      </c>
      <c r="G563" s="3" t="str">
        <f>VLOOKUP(F563,Doctors!$A$3:$B$999,2,0)</f>
        <v>Peter Davison</v>
      </c>
      <c r="H563" s="3">
        <v>19</v>
      </c>
      <c r="I563" s="3">
        <v>1</v>
      </c>
      <c r="J563" s="3" t="str">
        <f>VLOOKUP(I563,SeasonFormats!$A$3:$B$999,2,0)</f>
        <v>Season</v>
      </c>
      <c r="K563" s="3">
        <v>117</v>
      </c>
      <c r="L563" s="3">
        <v>2</v>
      </c>
      <c r="M563" s="3" t="s">
        <v>475</v>
      </c>
      <c r="N563" s="3">
        <v>4</v>
      </c>
      <c r="O563" s="3" t="s">
        <v>12</v>
      </c>
      <c r="P563" s="3">
        <v>8</v>
      </c>
      <c r="Q563" s="7" t="d">
        <v>1982-01-26</v>
      </c>
      <c r="R563" s="3">
        <v>25</v>
      </c>
      <c r="S563" s="3"/>
      <c r="T563" s="4" t="s">
        <v>1107</v>
      </c>
      <c r="U563" s="3" t="str" cm="1">
        <f t="array" ref="U563">_xlfn.TEXTJOIN(",",TRUE,_xlfn.XLOOKUP(_xlfn.FILTERXML("&lt;t&gt;&lt;s&gt;" &amp; SUBSTITUTE(T563,",","&lt;/s&gt;&lt;s&gt;") &amp; "&lt;/s&gt;&lt;/t&gt;", "//s"),Writers!$A$3:$A$999,Writers!$B$3:$B$999,""))</f>
        <v>Terence Dudley</v>
      </c>
      <c r="V563" s="3"/>
      <c r="W563" s="3" t="str">
        <f>IF(V563="","",_xlfn.XLOOKUP(V563,Writers!$A$3:$A$999,Writers!$B$3:$B$999,""))</f>
        <v/>
      </c>
      <c r="X563" s="3">
        <v>9.4</v>
      </c>
      <c r="Y563" s="3"/>
      <c r="Z563" s="3"/>
      <c r="AA563" s="3">
        <f t="shared" si="24"/>
        <v>11.41</v>
      </c>
      <c r="AB563" s="3" t="str">
        <f t="shared" si="25"/>
        <v/>
      </c>
      <c r="AC563" s="3" t="str">
        <f t="shared" si="26"/>
        <v/>
      </c>
      <c r="AD563" s="3">
        <f>VLOOKUP(YEAR(Q563),Populations!$A$3:$B$999,2,0)</f>
        <v>56290700</v>
      </c>
      <c r="AE563" s="3">
        <f>(Calculations!B1/AD563)</f>
        <v>1.2134319168175201</v>
      </c>
      <c r="AF563" s="3"/>
      <c r="AG563" s="3">
        <v>1</v>
      </c>
      <c r="AH563" s="3" t="str">
        <f>VLOOKUP(AG563,WikiFormats!$A$3:$B$999,2,0)</f>
        <v>Story</v>
      </c>
      <c r="AI563" s="3" t="s">
        <v>702</v>
      </c>
    </row>
    <row r="564" spans="1:35" s="2" customFormat="1" x14ac:dyDescent="0.55000000000000004">
      <c r="A564">
        <v>562</v>
      </c>
      <c r="B564">
        <v>1</v>
      </c>
      <c r="C564" t="str">
        <f>VLOOKUP(B564,Eras!$A$3:$B$999,2,0)</f>
        <v>Classic</v>
      </c>
      <c r="D564">
        <v>1</v>
      </c>
      <c r="E564" t="str">
        <f>VLOOKUP(D564,EpisodeFormats!$A$3:$B$999,2,0)</f>
        <v>Series</v>
      </c>
      <c r="F564">
        <v>5</v>
      </c>
      <c r="G564" t="str">
        <f>VLOOKUP(F564,Doctors!$A$3:$B$999,2,0)</f>
        <v>Peter Davison</v>
      </c>
      <c r="H564">
        <v>19</v>
      </c>
      <c r="I564">
        <v>1</v>
      </c>
      <c r="J564" t="str">
        <f>VLOOKUP(I564,SeasonFormats!$A$3:$B$999,2,0)</f>
        <v>Season</v>
      </c>
      <c r="K564">
        <v>118</v>
      </c>
      <c r="L564">
        <v>3</v>
      </c>
      <c r="M564" t="s">
        <v>476</v>
      </c>
      <c r="N564">
        <v>1</v>
      </c>
      <c r="O564" t="s">
        <v>9</v>
      </c>
      <c r="P564">
        <v>9</v>
      </c>
      <c r="Q564" s="6" t="d">
        <v>1982-02-01</v>
      </c>
      <c r="R564">
        <v>25</v>
      </c>
      <c r="S564"/>
      <c r="T564" s="15" t="s">
        <v>1073</v>
      </c>
      <c r="U564" t="str" cm="1">
        <f t="array" ref="U564">_xlfn.TEXTJOIN(",",TRUE,_xlfn.XLOOKUP(_xlfn.FILTERXML("&lt;t&gt;&lt;s&gt;" &amp; SUBSTITUTE(T564,",","&lt;/s&gt;&lt;s&gt;") &amp; "&lt;/s&gt;&lt;/t&gt;", "//s"),Writers!$A$3:$A$999,Writers!$B$3:$B$999,""))</f>
        <v>Christopher Bailey</v>
      </c>
      <c r="V564"/>
      <c r="W564" t="str">
        <f>IF(V564="","",_xlfn.XLOOKUP(V564,Writers!$A$3:$A$999,Writers!$B$3:$B$999,""))</f>
        <v/>
      </c>
      <c r="X564">
        <v>8.4</v>
      </c>
      <c r="Y564"/>
      <c r="Z564"/>
      <c r="AA564">
        <f t="shared" si="24"/>
        <v>10.19</v>
      </c>
      <c r="AB564" t="str">
        <f t="shared" si="25"/>
        <v/>
      </c>
      <c r="AC564" t="str">
        <f t="shared" si="26"/>
        <v/>
      </c>
      <c r="AD564">
        <f>VLOOKUP(YEAR(Q564),Populations!$A$3:$B$999,2,0)</f>
        <v>56290700</v>
      </c>
      <c r="AE564">
        <f>(Calculations!B1/AD564)</f>
        <v>1.2134319168175201</v>
      </c>
      <c r="AF564"/>
      <c r="AG564">
        <v>1</v>
      </c>
      <c r="AH564" t="str">
        <f>VLOOKUP(AG564,WikiFormats!$A$3:$B$999,2,0)</f>
        <v>Story</v>
      </c>
      <c r="AI564" t="s">
        <v>703</v>
      </c>
    </row>
    <row r="565" spans="1:35" s="2" customFormat="1" x14ac:dyDescent="0.55000000000000004">
      <c r="A565">
        <v>563</v>
      </c>
      <c r="B565">
        <v>1</v>
      </c>
      <c r="C565" t="str">
        <f>VLOOKUP(B565,Eras!$A$3:$B$999,2,0)</f>
        <v>Classic</v>
      </c>
      <c r="D565">
        <v>1</v>
      </c>
      <c r="E565" t="str">
        <f>VLOOKUP(D565,EpisodeFormats!$A$3:$B$999,2,0)</f>
        <v>Series</v>
      </c>
      <c r="F565">
        <v>5</v>
      </c>
      <c r="G565" t="str">
        <f>VLOOKUP(F565,Doctors!$A$3:$B$999,2,0)</f>
        <v>Peter Davison</v>
      </c>
      <c r="H565">
        <v>19</v>
      </c>
      <c r="I565">
        <v>1</v>
      </c>
      <c r="J565" t="str">
        <f>VLOOKUP(I565,SeasonFormats!$A$3:$B$999,2,0)</f>
        <v>Season</v>
      </c>
      <c r="K565">
        <v>118</v>
      </c>
      <c r="L565">
        <v>3</v>
      </c>
      <c r="M565" t="s">
        <v>476</v>
      </c>
      <c r="N565">
        <v>2</v>
      </c>
      <c r="O565" t="s">
        <v>10</v>
      </c>
      <c r="P565">
        <v>10</v>
      </c>
      <c r="Q565" s="6" t="d">
        <v>1982-02-02</v>
      </c>
      <c r="R565">
        <v>25</v>
      </c>
      <c r="S565"/>
      <c r="T565" s="15" t="s">
        <v>1073</v>
      </c>
      <c r="U565" t="str" cm="1">
        <f t="array" ref="U565">_xlfn.TEXTJOIN(",",TRUE,_xlfn.XLOOKUP(_xlfn.FILTERXML("&lt;t&gt;&lt;s&gt;" &amp; SUBSTITUTE(T565,",","&lt;/s&gt;&lt;s&gt;") &amp; "&lt;/s&gt;&lt;/t&gt;", "//s"),Writers!$A$3:$A$999,Writers!$B$3:$B$999,""))</f>
        <v>Christopher Bailey</v>
      </c>
      <c r="V565"/>
      <c r="W565" t="str">
        <f>IF(V565="","",_xlfn.XLOOKUP(V565,Writers!$A$3:$A$999,Writers!$B$3:$B$999,""))</f>
        <v/>
      </c>
      <c r="X565">
        <v>9.4</v>
      </c>
      <c r="Y565"/>
      <c r="Z565"/>
      <c r="AA565">
        <f t="shared" si="24"/>
        <v>11.41</v>
      </c>
      <c r="AB565" t="str">
        <f t="shared" si="25"/>
        <v/>
      </c>
      <c r="AC565" t="str">
        <f t="shared" si="26"/>
        <v/>
      </c>
      <c r="AD565">
        <f>VLOOKUP(YEAR(Q565),Populations!$A$3:$B$999,2,0)</f>
        <v>56290700</v>
      </c>
      <c r="AE565">
        <f>(Calculations!B1/AD565)</f>
        <v>1.2134319168175201</v>
      </c>
      <c r="AF565"/>
      <c r="AG565">
        <v>1</v>
      </c>
      <c r="AH565" t="str">
        <f>VLOOKUP(AG565,WikiFormats!$A$3:$B$999,2,0)</f>
        <v>Story</v>
      </c>
      <c r="AI565" t="s">
        <v>703</v>
      </c>
    </row>
    <row r="566" spans="1:35" s="2" customFormat="1" x14ac:dyDescent="0.55000000000000004">
      <c r="A566">
        <v>564</v>
      </c>
      <c r="B566">
        <v>1</v>
      </c>
      <c r="C566" t="str">
        <f>VLOOKUP(B566,Eras!$A$3:$B$999,2,0)</f>
        <v>Classic</v>
      </c>
      <c r="D566">
        <v>1</v>
      </c>
      <c r="E566" t="str">
        <f>VLOOKUP(D566,EpisodeFormats!$A$3:$B$999,2,0)</f>
        <v>Series</v>
      </c>
      <c r="F566">
        <v>5</v>
      </c>
      <c r="G566" t="str">
        <f>VLOOKUP(F566,Doctors!$A$3:$B$999,2,0)</f>
        <v>Peter Davison</v>
      </c>
      <c r="H566">
        <v>19</v>
      </c>
      <c r="I566">
        <v>1</v>
      </c>
      <c r="J566" t="str">
        <f>VLOOKUP(I566,SeasonFormats!$A$3:$B$999,2,0)</f>
        <v>Season</v>
      </c>
      <c r="K566">
        <v>118</v>
      </c>
      <c r="L566">
        <v>3</v>
      </c>
      <c r="M566" t="s">
        <v>476</v>
      </c>
      <c r="N566">
        <v>3</v>
      </c>
      <c r="O566" t="s">
        <v>11</v>
      </c>
      <c r="P566">
        <v>11</v>
      </c>
      <c r="Q566" s="6" t="d">
        <v>1982-02-08</v>
      </c>
      <c r="R566">
        <v>24</v>
      </c>
      <c r="S566"/>
      <c r="T566" s="15" t="s">
        <v>1073</v>
      </c>
      <c r="U566" t="str" cm="1">
        <f t="array" ref="U566">_xlfn.TEXTJOIN(",",TRUE,_xlfn.XLOOKUP(_xlfn.FILTERXML("&lt;t&gt;&lt;s&gt;" &amp; SUBSTITUTE(T566,",","&lt;/s&gt;&lt;s&gt;") &amp; "&lt;/s&gt;&lt;/t&gt;", "//s"),Writers!$A$3:$A$999,Writers!$B$3:$B$999,""))</f>
        <v>Christopher Bailey</v>
      </c>
      <c r="V566"/>
      <c r="W566" t="str">
        <f>IF(V566="","",_xlfn.XLOOKUP(V566,Writers!$A$3:$A$999,Writers!$B$3:$B$999,""))</f>
        <v/>
      </c>
      <c r="X566">
        <v>8.5</v>
      </c>
      <c r="Y566"/>
      <c r="Z566"/>
      <c r="AA566">
        <f t="shared" si="24"/>
        <v>10.31</v>
      </c>
      <c r="AB566" t="str">
        <f t="shared" si="25"/>
        <v/>
      </c>
      <c r="AC566" t="str">
        <f t="shared" si="26"/>
        <v/>
      </c>
      <c r="AD566">
        <f>VLOOKUP(YEAR(Q566),Populations!$A$3:$B$999,2,0)</f>
        <v>56290700</v>
      </c>
      <c r="AE566">
        <f>(Calculations!B1/AD566)</f>
        <v>1.2134319168175201</v>
      </c>
      <c r="AF566"/>
      <c r="AG566">
        <v>1</v>
      </c>
      <c r="AH566" t="str">
        <f>VLOOKUP(AG566,WikiFormats!$A$3:$B$999,2,0)</f>
        <v>Story</v>
      </c>
      <c r="AI566" t="s">
        <v>703</v>
      </c>
    </row>
    <row r="567" spans="1:35" s="2" customFormat="1" x14ac:dyDescent="0.55000000000000004">
      <c r="A567">
        <v>565</v>
      </c>
      <c r="B567">
        <v>1</v>
      </c>
      <c r="C567" t="str">
        <f>VLOOKUP(B567,Eras!$A$3:$B$999,2,0)</f>
        <v>Classic</v>
      </c>
      <c r="D567">
        <v>1</v>
      </c>
      <c r="E567" t="str">
        <f>VLOOKUP(D567,EpisodeFormats!$A$3:$B$999,2,0)</f>
        <v>Series</v>
      </c>
      <c r="F567">
        <v>5</v>
      </c>
      <c r="G567" t="str">
        <f>VLOOKUP(F567,Doctors!$A$3:$B$999,2,0)</f>
        <v>Peter Davison</v>
      </c>
      <c r="H567">
        <v>19</v>
      </c>
      <c r="I567">
        <v>1</v>
      </c>
      <c r="J567" t="str">
        <f>VLOOKUP(I567,SeasonFormats!$A$3:$B$999,2,0)</f>
        <v>Season</v>
      </c>
      <c r="K567">
        <v>118</v>
      </c>
      <c r="L567">
        <v>3</v>
      </c>
      <c r="M567" t="s">
        <v>476</v>
      </c>
      <c r="N567">
        <v>4</v>
      </c>
      <c r="O567" t="s">
        <v>12</v>
      </c>
      <c r="P567">
        <v>12</v>
      </c>
      <c r="Q567" s="6" t="d">
        <v>1982-02-09</v>
      </c>
      <c r="R567">
        <v>25</v>
      </c>
      <c r="S567"/>
      <c r="T567" s="15" t="s">
        <v>1073</v>
      </c>
      <c r="U567" t="str" cm="1">
        <f t="array" ref="U567">_xlfn.TEXTJOIN(",",TRUE,_xlfn.XLOOKUP(_xlfn.FILTERXML("&lt;t&gt;&lt;s&gt;" &amp; SUBSTITUTE(T567,",","&lt;/s&gt;&lt;s&gt;") &amp; "&lt;/s&gt;&lt;/t&gt;", "//s"),Writers!$A$3:$A$999,Writers!$B$3:$B$999,""))</f>
        <v>Christopher Bailey</v>
      </c>
      <c r="V567"/>
      <c r="W567" t="str">
        <f>IF(V567="","",_xlfn.XLOOKUP(V567,Writers!$A$3:$A$999,Writers!$B$3:$B$999,""))</f>
        <v/>
      </c>
      <c r="X567">
        <v>8.9</v>
      </c>
      <c r="Y567"/>
      <c r="Z567"/>
      <c r="AA567">
        <f t="shared" si="24"/>
        <v>10.8</v>
      </c>
      <c r="AB567" t="str">
        <f t="shared" si="25"/>
        <v/>
      </c>
      <c r="AC567" t="str">
        <f t="shared" si="26"/>
        <v/>
      </c>
      <c r="AD567">
        <f>VLOOKUP(YEAR(Q567),Populations!$A$3:$B$999,2,0)</f>
        <v>56290700</v>
      </c>
      <c r="AE567">
        <f>(Calculations!B1/AD567)</f>
        <v>1.2134319168175201</v>
      </c>
      <c r="AF567"/>
      <c r="AG567">
        <v>1</v>
      </c>
      <c r="AH567" t="str">
        <f>VLOOKUP(AG567,WikiFormats!$A$3:$B$999,2,0)</f>
        <v>Story</v>
      </c>
      <c r="AI567" t="s">
        <v>703</v>
      </c>
    </row>
    <row r="568" spans="1:35" s="8" customFormat="1" x14ac:dyDescent="0.55000000000000004">
      <c r="A568" s="3">
        <v>566</v>
      </c>
      <c r="B568" s="3">
        <v>1</v>
      </c>
      <c r="C568" s="3" t="str">
        <f>VLOOKUP(B568,Eras!$A$3:$B$999,2,0)</f>
        <v>Classic</v>
      </c>
      <c r="D568" s="3">
        <v>1</v>
      </c>
      <c r="E568" s="3" t="str">
        <f>VLOOKUP(D568,EpisodeFormats!$A$3:$B$999,2,0)</f>
        <v>Series</v>
      </c>
      <c r="F568" s="3">
        <v>5</v>
      </c>
      <c r="G568" s="3" t="str">
        <f>VLOOKUP(F568,Doctors!$A$3:$B$999,2,0)</f>
        <v>Peter Davison</v>
      </c>
      <c r="H568" s="3">
        <v>19</v>
      </c>
      <c r="I568" s="3">
        <v>1</v>
      </c>
      <c r="J568" s="3" t="str">
        <f>VLOOKUP(I568,SeasonFormats!$A$3:$B$999,2,0)</f>
        <v>Season</v>
      </c>
      <c r="K568" s="3">
        <v>119</v>
      </c>
      <c r="L568" s="3">
        <v>4</v>
      </c>
      <c r="M568" s="3" t="s">
        <v>477</v>
      </c>
      <c r="N568" s="3">
        <v>1</v>
      </c>
      <c r="O568" s="3" t="s">
        <v>9</v>
      </c>
      <c r="P568" s="3">
        <v>13</v>
      </c>
      <c r="Q568" s="7" t="d">
        <v>1982-02-15</v>
      </c>
      <c r="R568" s="3">
        <v>24</v>
      </c>
      <c r="S568" s="3"/>
      <c r="T568" s="4" t="s">
        <v>1149</v>
      </c>
      <c r="U568" s="3" t="str" cm="1">
        <f t="array" ref="U568">_xlfn.TEXTJOIN(",",TRUE,_xlfn.XLOOKUP(_xlfn.FILTERXML("&lt;t&gt;&lt;s&gt;" &amp; SUBSTITUTE(T568,",","&lt;/s&gt;&lt;s&gt;") &amp; "&lt;/s&gt;&lt;/t&gt;", "//s"),Writers!$A$3:$A$999,Writers!$B$3:$B$999,""))</f>
        <v>Eric Saward</v>
      </c>
      <c r="V568" s="3"/>
      <c r="W568" s="3" t="str">
        <f>IF(V568="","",_xlfn.XLOOKUP(V568,Writers!$A$3:$A$999,Writers!$B$3:$B$999,""))</f>
        <v/>
      </c>
      <c r="X568" s="3">
        <v>9.1</v>
      </c>
      <c r="Y568" s="3"/>
      <c r="Z568" s="3"/>
      <c r="AA568" s="3">
        <f t="shared" si="24"/>
        <v>11.04</v>
      </c>
      <c r="AB568" s="3" t="str">
        <f t="shared" si="25"/>
        <v/>
      </c>
      <c r="AC568" s="3" t="str">
        <f t="shared" si="26"/>
        <v/>
      </c>
      <c r="AD568" s="3">
        <f>VLOOKUP(YEAR(Q568),Populations!$A$3:$B$999,2,0)</f>
        <v>56290700</v>
      </c>
      <c r="AE568" s="3">
        <f>(Calculations!B1/AD568)</f>
        <v>1.2134319168175201</v>
      </c>
      <c r="AF568" s="3"/>
      <c r="AG568" s="3">
        <v>1</v>
      </c>
      <c r="AH568" s="3" t="str">
        <f>VLOOKUP(AG568,WikiFormats!$A$3:$B$999,2,0)</f>
        <v>Story</v>
      </c>
      <c r="AI568" s="3" t="s">
        <v>704</v>
      </c>
    </row>
    <row r="569" spans="1:35" s="8" customFormat="1" x14ac:dyDescent="0.55000000000000004">
      <c r="A569" s="3">
        <v>567</v>
      </c>
      <c r="B569" s="3">
        <v>1</v>
      </c>
      <c r="C569" s="3" t="str">
        <f>VLOOKUP(B569,Eras!$A$3:$B$999,2,0)</f>
        <v>Classic</v>
      </c>
      <c r="D569" s="3">
        <v>1</v>
      </c>
      <c r="E569" s="3" t="str">
        <f>VLOOKUP(D569,EpisodeFormats!$A$3:$B$999,2,0)</f>
        <v>Series</v>
      </c>
      <c r="F569" s="3">
        <v>5</v>
      </c>
      <c r="G569" s="3" t="str">
        <f>VLOOKUP(F569,Doctors!$A$3:$B$999,2,0)</f>
        <v>Peter Davison</v>
      </c>
      <c r="H569" s="3">
        <v>19</v>
      </c>
      <c r="I569" s="3">
        <v>1</v>
      </c>
      <c r="J569" s="3" t="str">
        <f>VLOOKUP(I569,SeasonFormats!$A$3:$B$999,2,0)</f>
        <v>Season</v>
      </c>
      <c r="K569" s="3">
        <v>119</v>
      </c>
      <c r="L569" s="3">
        <v>4</v>
      </c>
      <c r="M569" s="3" t="s">
        <v>477</v>
      </c>
      <c r="N569" s="3">
        <v>2</v>
      </c>
      <c r="O569" s="3" t="s">
        <v>10</v>
      </c>
      <c r="P569" s="3">
        <v>14</v>
      </c>
      <c r="Q569" s="7" t="d">
        <v>1982-02-16</v>
      </c>
      <c r="R569" s="3">
        <v>24</v>
      </c>
      <c r="S569" s="3"/>
      <c r="T569" s="4" t="s">
        <v>1149</v>
      </c>
      <c r="U569" s="3" t="str" cm="1">
        <f t="array" ref="U569">_xlfn.TEXTJOIN(",",TRUE,_xlfn.XLOOKUP(_xlfn.FILTERXML("&lt;t&gt;&lt;s&gt;" &amp; SUBSTITUTE(T569,",","&lt;/s&gt;&lt;s&gt;") &amp; "&lt;/s&gt;&lt;/t&gt;", "//s"),Writers!$A$3:$A$999,Writers!$B$3:$B$999,""))</f>
        <v>Eric Saward</v>
      </c>
      <c r="V569" s="3"/>
      <c r="W569" s="3" t="str">
        <f>IF(V569="","",_xlfn.XLOOKUP(V569,Writers!$A$3:$A$999,Writers!$B$3:$B$999,""))</f>
        <v/>
      </c>
      <c r="X569" s="3">
        <v>9.3000000000000007</v>
      </c>
      <c r="Y569" s="3"/>
      <c r="Z569" s="3"/>
      <c r="AA569" s="3">
        <f t="shared" si="24"/>
        <v>11.28</v>
      </c>
      <c r="AB569" s="3" t="str">
        <f t="shared" si="25"/>
        <v/>
      </c>
      <c r="AC569" s="3" t="str">
        <f t="shared" si="26"/>
        <v/>
      </c>
      <c r="AD569" s="3">
        <f>VLOOKUP(YEAR(Q569),Populations!$A$3:$B$999,2,0)</f>
        <v>56290700</v>
      </c>
      <c r="AE569" s="3">
        <f>(Calculations!B1/AD569)</f>
        <v>1.2134319168175201</v>
      </c>
      <c r="AF569" s="3"/>
      <c r="AG569" s="3">
        <v>1</v>
      </c>
      <c r="AH569" s="3" t="str">
        <f>VLOOKUP(AG569,WikiFormats!$A$3:$B$999,2,0)</f>
        <v>Story</v>
      </c>
      <c r="AI569" s="3" t="s">
        <v>704</v>
      </c>
    </row>
    <row r="570" spans="1:35" s="8" customFormat="1" x14ac:dyDescent="0.55000000000000004">
      <c r="A570" s="3">
        <v>568</v>
      </c>
      <c r="B570" s="3">
        <v>1</v>
      </c>
      <c r="C570" s="3" t="str">
        <f>VLOOKUP(B570,Eras!$A$3:$B$999,2,0)</f>
        <v>Classic</v>
      </c>
      <c r="D570" s="3">
        <v>1</v>
      </c>
      <c r="E570" s="3" t="str">
        <f>VLOOKUP(D570,EpisodeFormats!$A$3:$B$999,2,0)</f>
        <v>Series</v>
      </c>
      <c r="F570" s="3">
        <v>5</v>
      </c>
      <c r="G570" s="3" t="str">
        <f>VLOOKUP(F570,Doctors!$A$3:$B$999,2,0)</f>
        <v>Peter Davison</v>
      </c>
      <c r="H570" s="3">
        <v>19</v>
      </c>
      <c r="I570" s="3">
        <v>1</v>
      </c>
      <c r="J570" s="3" t="str">
        <f>VLOOKUP(I570,SeasonFormats!$A$3:$B$999,2,0)</f>
        <v>Season</v>
      </c>
      <c r="K570" s="3">
        <v>119</v>
      </c>
      <c r="L570" s="3">
        <v>4</v>
      </c>
      <c r="M570" s="3" t="s">
        <v>477</v>
      </c>
      <c r="N570" s="3">
        <v>3</v>
      </c>
      <c r="O570" s="3" t="s">
        <v>11</v>
      </c>
      <c r="P570" s="3">
        <v>15</v>
      </c>
      <c r="Q570" s="7" t="d">
        <v>1982-02-22</v>
      </c>
      <c r="R570" s="3">
        <v>24</v>
      </c>
      <c r="S570" s="3"/>
      <c r="T570" s="4" t="s">
        <v>1149</v>
      </c>
      <c r="U570" s="3" t="str" cm="1">
        <f t="array" ref="U570">_xlfn.TEXTJOIN(",",TRUE,_xlfn.XLOOKUP(_xlfn.FILTERXML("&lt;t&gt;&lt;s&gt;" &amp; SUBSTITUTE(T570,",","&lt;/s&gt;&lt;s&gt;") &amp; "&lt;/s&gt;&lt;/t&gt;", "//s"),Writers!$A$3:$A$999,Writers!$B$3:$B$999,""))</f>
        <v>Eric Saward</v>
      </c>
      <c r="V570" s="3"/>
      <c r="W570" s="3" t="str">
        <f>IF(V570="","",_xlfn.XLOOKUP(V570,Writers!$A$3:$A$999,Writers!$B$3:$B$999,""))</f>
        <v/>
      </c>
      <c r="X570" s="3">
        <v>9.9</v>
      </c>
      <c r="Y570" s="3"/>
      <c r="Z570" s="3"/>
      <c r="AA570" s="3">
        <f t="shared" si="24"/>
        <v>12.01</v>
      </c>
      <c r="AB570" s="3" t="str">
        <f t="shared" si="25"/>
        <v/>
      </c>
      <c r="AC570" s="3" t="str">
        <f t="shared" si="26"/>
        <v/>
      </c>
      <c r="AD570" s="3">
        <f>VLOOKUP(YEAR(Q570),Populations!$A$3:$B$999,2,0)</f>
        <v>56290700</v>
      </c>
      <c r="AE570" s="3">
        <f>(Calculations!B1/AD570)</f>
        <v>1.2134319168175201</v>
      </c>
      <c r="AF570" s="3"/>
      <c r="AG570" s="3">
        <v>1</v>
      </c>
      <c r="AH570" s="3" t="str">
        <f>VLOOKUP(AG570,WikiFormats!$A$3:$B$999,2,0)</f>
        <v>Story</v>
      </c>
      <c r="AI570" s="3" t="s">
        <v>704</v>
      </c>
    </row>
    <row r="571" spans="1:35" s="8" customFormat="1" x14ac:dyDescent="0.55000000000000004">
      <c r="A571" s="3">
        <v>569</v>
      </c>
      <c r="B571" s="3">
        <v>1</v>
      </c>
      <c r="C571" s="3" t="str">
        <f>VLOOKUP(B571,Eras!$A$3:$B$999,2,0)</f>
        <v>Classic</v>
      </c>
      <c r="D571" s="3">
        <v>1</v>
      </c>
      <c r="E571" s="3" t="str">
        <f>VLOOKUP(D571,EpisodeFormats!$A$3:$B$999,2,0)</f>
        <v>Series</v>
      </c>
      <c r="F571" s="3">
        <v>5</v>
      </c>
      <c r="G571" s="3" t="str">
        <f>VLOOKUP(F571,Doctors!$A$3:$B$999,2,0)</f>
        <v>Peter Davison</v>
      </c>
      <c r="H571" s="3">
        <v>19</v>
      </c>
      <c r="I571" s="3">
        <v>1</v>
      </c>
      <c r="J571" s="3" t="str">
        <f>VLOOKUP(I571,SeasonFormats!$A$3:$B$999,2,0)</f>
        <v>Season</v>
      </c>
      <c r="K571" s="3">
        <v>119</v>
      </c>
      <c r="L571" s="3">
        <v>4</v>
      </c>
      <c r="M571" s="3" t="s">
        <v>477</v>
      </c>
      <c r="N571" s="3">
        <v>4</v>
      </c>
      <c r="O571" s="3" t="s">
        <v>12</v>
      </c>
      <c r="P571" s="3">
        <v>16</v>
      </c>
      <c r="Q571" s="7" t="d">
        <v>1982-02-23</v>
      </c>
      <c r="R571" s="3">
        <v>24</v>
      </c>
      <c r="S571" s="3"/>
      <c r="T571" s="4" t="s">
        <v>1149</v>
      </c>
      <c r="U571" s="3" t="str" cm="1">
        <f t="array" ref="U571">_xlfn.TEXTJOIN(",",TRUE,_xlfn.XLOOKUP(_xlfn.FILTERXML("&lt;t&gt;&lt;s&gt;" &amp; SUBSTITUTE(T571,",","&lt;/s&gt;&lt;s&gt;") &amp; "&lt;/s&gt;&lt;/t&gt;", "//s"),Writers!$A$3:$A$999,Writers!$B$3:$B$999,""))</f>
        <v>Eric Saward</v>
      </c>
      <c r="V571" s="3"/>
      <c r="W571" s="3" t="str">
        <f>IF(V571="","",_xlfn.XLOOKUP(V571,Writers!$A$3:$A$999,Writers!$B$3:$B$999,""))</f>
        <v/>
      </c>
      <c r="X571" s="3">
        <v>10.1</v>
      </c>
      <c r="Y571" s="3"/>
      <c r="Z571" s="3"/>
      <c r="AA571" s="3">
        <f t="shared" si="24"/>
        <v>12.26</v>
      </c>
      <c r="AB571" s="3" t="str">
        <f t="shared" si="25"/>
        <v/>
      </c>
      <c r="AC571" s="3" t="str">
        <f t="shared" si="26"/>
        <v/>
      </c>
      <c r="AD571" s="3">
        <f>VLOOKUP(YEAR(Q571),Populations!$A$3:$B$999,2,0)</f>
        <v>56290700</v>
      </c>
      <c r="AE571" s="3">
        <f>(Calculations!B1/AD571)</f>
        <v>1.2134319168175201</v>
      </c>
      <c r="AF571" s="3"/>
      <c r="AG571" s="3">
        <v>1</v>
      </c>
      <c r="AH571" s="3" t="str">
        <f>VLOOKUP(AG571,WikiFormats!$A$3:$B$999,2,0)</f>
        <v>Story</v>
      </c>
      <c r="AI571" s="3" t="s">
        <v>704</v>
      </c>
    </row>
    <row r="572" spans="1:35" s="2" customFormat="1" x14ac:dyDescent="0.55000000000000004">
      <c r="A572">
        <v>570</v>
      </c>
      <c r="B572">
        <v>1</v>
      </c>
      <c r="C572" t="str">
        <f>VLOOKUP(B572,Eras!$A$3:$B$999,2,0)</f>
        <v>Classic</v>
      </c>
      <c r="D572">
        <v>1</v>
      </c>
      <c r="E572" t="str">
        <f>VLOOKUP(D572,EpisodeFormats!$A$3:$B$999,2,0)</f>
        <v>Series</v>
      </c>
      <c r="F572">
        <v>5</v>
      </c>
      <c r="G572" t="str">
        <f>VLOOKUP(F572,Doctors!$A$3:$B$999,2,0)</f>
        <v>Peter Davison</v>
      </c>
      <c r="H572">
        <v>19</v>
      </c>
      <c r="I572">
        <v>1</v>
      </c>
      <c r="J572" t="str">
        <f>VLOOKUP(I572,SeasonFormats!$A$3:$B$999,2,0)</f>
        <v>Season</v>
      </c>
      <c r="K572">
        <v>120</v>
      </c>
      <c r="L572">
        <v>5</v>
      </c>
      <c r="M572" t="s">
        <v>478</v>
      </c>
      <c r="N572">
        <v>1</v>
      </c>
      <c r="O572" t="s">
        <v>9</v>
      </c>
      <c r="P572">
        <v>17</v>
      </c>
      <c r="Q572" s="6" t="d">
        <v>1982-03-01</v>
      </c>
      <c r="R572">
        <v>25</v>
      </c>
      <c r="S572"/>
      <c r="T572" s="15" t="s">
        <v>1107</v>
      </c>
      <c r="U572" t="str" cm="1">
        <f t="array" ref="U572">_xlfn.TEXTJOIN(",",TRUE,_xlfn.XLOOKUP(_xlfn.FILTERXML("&lt;t&gt;&lt;s&gt;" &amp; SUBSTITUTE(T572,",","&lt;/s&gt;&lt;s&gt;") &amp; "&lt;/s&gt;&lt;/t&gt;", "//s"),Writers!$A$3:$A$999,Writers!$B$3:$B$999,""))</f>
        <v>Terence Dudley</v>
      </c>
      <c r="V572"/>
      <c r="W572" t="str">
        <f>IF(V572="","",_xlfn.XLOOKUP(V572,Writers!$A$3:$A$999,Writers!$B$3:$B$999,""))</f>
        <v/>
      </c>
      <c r="X572">
        <v>9.9</v>
      </c>
      <c r="Y572"/>
      <c r="Z572"/>
      <c r="AA572">
        <f t="shared" si="24"/>
        <v>12.01</v>
      </c>
      <c r="AB572" t="str">
        <f t="shared" si="25"/>
        <v/>
      </c>
      <c r="AC572" t="str">
        <f t="shared" si="26"/>
        <v/>
      </c>
      <c r="AD572">
        <f>VLOOKUP(YEAR(Q572),Populations!$A$3:$B$999,2,0)</f>
        <v>56290700</v>
      </c>
      <c r="AE572">
        <f>(Calculations!B1/AD572)</f>
        <v>1.2134319168175201</v>
      </c>
      <c r="AF572"/>
      <c r="AG572">
        <v>1</v>
      </c>
      <c r="AH572" t="str">
        <f>VLOOKUP(AG572,WikiFormats!$A$3:$B$999,2,0)</f>
        <v>Story</v>
      </c>
      <c r="AI572" t="s">
        <v>705</v>
      </c>
    </row>
    <row r="573" spans="1:35" s="2" customFormat="1" x14ac:dyDescent="0.55000000000000004">
      <c r="A573">
        <v>571</v>
      </c>
      <c r="B573">
        <v>1</v>
      </c>
      <c r="C573" t="str">
        <f>VLOOKUP(B573,Eras!$A$3:$B$999,2,0)</f>
        <v>Classic</v>
      </c>
      <c r="D573">
        <v>1</v>
      </c>
      <c r="E573" t="str">
        <f>VLOOKUP(D573,EpisodeFormats!$A$3:$B$999,2,0)</f>
        <v>Series</v>
      </c>
      <c r="F573">
        <v>5</v>
      </c>
      <c r="G573" t="str">
        <f>VLOOKUP(F573,Doctors!$A$3:$B$999,2,0)</f>
        <v>Peter Davison</v>
      </c>
      <c r="H573">
        <v>19</v>
      </c>
      <c r="I573">
        <v>1</v>
      </c>
      <c r="J573" t="str">
        <f>VLOOKUP(I573,SeasonFormats!$A$3:$B$999,2,0)</f>
        <v>Season</v>
      </c>
      <c r="K573">
        <v>120</v>
      </c>
      <c r="L573">
        <v>5</v>
      </c>
      <c r="M573" t="s">
        <v>478</v>
      </c>
      <c r="N573">
        <v>2</v>
      </c>
      <c r="O573" t="s">
        <v>10</v>
      </c>
      <c r="P573">
        <v>18</v>
      </c>
      <c r="Q573" s="6" t="d">
        <v>1982-03-02</v>
      </c>
      <c r="R573">
        <v>25</v>
      </c>
      <c r="S573"/>
      <c r="T573" s="15" t="s">
        <v>1107</v>
      </c>
      <c r="U573" t="str" cm="1">
        <f t="array" ref="U573">_xlfn.TEXTJOIN(",",TRUE,_xlfn.XLOOKUP(_xlfn.FILTERXML("&lt;t&gt;&lt;s&gt;" &amp; SUBSTITUTE(T573,",","&lt;/s&gt;&lt;s&gt;") &amp; "&lt;/s&gt;&lt;/t&gt;", "//s"),Writers!$A$3:$A$999,Writers!$B$3:$B$999,""))</f>
        <v>Terence Dudley</v>
      </c>
      <c r="V573"/>
      <c r="W573" t="str">
        <f>IF(V573="","",_xlfn.XLOOKUP(V573,Writers!$A$3:$A$999,Writers!$B$3:$B$999,""))</f>
        <v/>
      </c>
      <c r="X573">
        <v>10.1</v>
      </c>
      <c r="Y573"/>
      <c r="Z573"/>
      <c r="AA573">
        <f t="shared" si="24"/>
        <v>12.26</v>
      </c>
      <c r="AB573" t="str">
        <f t="shared" si="25"/>
        <v/>
      </c>
      <c r="AC573" t="str">
        <f t="shared" si="26"/>
        <v/>
      </c>
      <c r="AD573">
        <f>VLOOKUP(YEAR(Q573),Populations!$A$3:$B$999,2,0)</f>
        <v>56290700</v>
      </c>
      <c r="AE573">
        <f>(Calculations!B1/AD573)</f>
        <v>1.2134319168175201</v>
      </c>
      <c r="AF573"/>
      <c r="AG573">
        <v>1</v>
      </c>
      <c r="AH573" t="str">
        <f>VLOOKUP(AG573,WikiFormats!$A$3:$B$999,2,0)</f>
        <v>Story</v>
      </c>
      <c r="AI573" t="s">
        <v>705</v>
      </c>
    </row>
    <row r="574" spans="1:35" s="8" customFormat="1" x14ac:dyDescent="0.55000000000000004">
      <c r="A574" s="3">
        <v>572</v>
      </c>
      <c r="B574" s="3">
        <v>1</v>
      </c>
      <c r="C574" s="3" t="str">
        <f>VLOOKUP(B574,Eras!$A$3:$B$999,2,0)</f>
        <v>Classic</v>
      </c>
      <c r="D574" s="3">
        <v>1</v>
      </c>
      <c r="E574" s="3" t="str">
        <f>VLOOKUP(D574,EpisodeFormats!$A$3:$B$999,2,0)</f>
        <v>Series</v>
      </c>
      <c r="F574" s="3">
        <v>5</v>
      </c>
      <c r="G574" s="3" t="str">
        <f>VLOOKUP(F574,Doctors!$A$3:$B$999,2,0)</f>
        <v>Peter Davison</v>
      </c>
      <c r="H574" s="3">
        <v>19</v>
      </c>
      <c r="I574" s="3">
        <v>1</v>
      </c>
      <c r="J574" s="3" t="str">
        <f>VLOOKUP(I574,SeasonFormats!$A$3:$B$999,2,0)</f>
        <v>Season</v>
      </c>
      <c r="K574" s="3">
        <v>121</v>
      </c>
      <c r="L574" s="3">
        <v>6</v>
      </c>
      <c r="M574" s="3" t="s">
        <v>479</v>
      </c>
      <c r="N574" s="3">
        <v>1</v>
      </c>
      <c r="O574" s="3" t="s">
        <v>9</v>
      </c>
      <c r="P574" s="3">
        <v>19</v>
      </c>
      <c r="Q574" s="7" t="d">
        <v>1982-03-08</v>
      </c>
      <c r="R574" s="3">
        <v>24</v>
      </c>
      <c r="S574" s="3"/>
      <c r="T574" s="4" t="s">
        <v>1149</v>
      </c>
      <c r="U574" s="3" t="str" cm="1">
        <f t="array" ref="U574">_xlfn.TEXTJOIN(",",TRUE,_xlfn.XLOOKUP(_xlfn.FILTERXML("&lt;t&gt;&lt;s&gt;" &amp; SUBSTITUTE(T574,",","&lt;/s&gt;&lt;s&gt;") &amp; "&lt;/s&gt;&lt;/t&gt;", "//s"),Writers!$A$3:$A$999,Writers!$B$3:$B$999,""))</f>
        <v>Eric Saward</v>
      </c>
      <c r="V574" s="3"/>
      <c r="W574" s="3" t="str">
        <f>IF(V574="","",_xlfn.XLOOKUP(V574,Writers!$A$3:$A$999,Writers!$B$3:$B$999,""))</f>
        <v/>
      </c>
      <c r="X574" s="3">
        <v>9.1</v>
      </c>
      <c r="Y574" s="3"/>
      <c r="Z574" s="3"/>
      <c r="AA574" s="3">
        <f t="shared" si="24"/>
        <v>11.04</v>
      </c>
      <c r="AB574" s="3" t="str">
        <f t="shared" si="25"/>
        <v/>
      </c>
      <c r="AC574" s="3" t="str">
        <f t="shared" si="26"/>
        <v/>
      </c>
      <c r="AD574" s="3">
        <f>VLOOKUP(YEAR(Q574),Populations!$A$3:$B$999,2,0)</f>
        <v>56290700</v>
      </c>
      <c r="AE574" s="3">
        <f>(Calculations!B1/AD574)</f>
        <v>1.2134319168175201</v>
      </c>
      <c r="AF574" s="3"/>
      <c r="AG574" s="3">
        <v>1</v>
      </c>
      <c r="AH574" s="3" t="str">
        <f>VLOOKUP(AG574,WikiFormats!$A$3:$B$999,2,0)</f>
        <v>Story</v>
      </c>
      <c r="AI574" s="3" t="s">
        <v>706</v>
      </c>
    </row>
    <row r="575" spans="1:35" s="8" customFormat="1" x14ac:dyDescent="0.55000000000000004">
      <c r="A575" s="3">
        <v>573</v>
      </c>
      <c r="B575" s="3">
        <v>1</v>
      </c>
      <c r="C575" s="3" t="str">
        <f>VLOOKUP(B575,Eras!$A$3:$B$999,2,0)</f>
        <v>Classic</v>
      </c>
      <c r="D575" s="3">
        <v>1</v>
      </c>
      <c r="E575" s="3" t="str">
        <f>VLOOKUP(D575,EpisodeFormats!$A$3:$B$999,2,0)</f>
        <v>Series</v>
      </c>
      <c r="F575" s="3">
        <v>5</v>
      </c>
      <c r="G575" s="3" t="str">
        <f>VLOOKUP(F575,Doctors!$A$3:$B$999,2,0)</f>
        <v>Peter Davison</v>
      </c>
      <c r="H575" s="3">
        <v>19</v>
      </c>
      <c r="I575" s="3">
        <v>1</v>
      </c>
      <c r="J575" s="3" t="str">
        <f>VLOOKUP(I575,SeasonFormats!$A$3:$B$999,2,0)</f>
        <v>Season</v>
      </c>
      <c r="K575" s="3">
        <v>121</v>
      </c>
      <c r="L575" s="3">
        <v>6</v>
      </c>
      <c r="M575" s="3" t="s">
        <v>479</v>
      </c>
      <c r="N575" s="3">
        <v>2</v>
      </c>
      <c r="O575" s="3" t="s">
        <v>10</v>
      </c>
      <c r="P575" s="3">
        <v>20</v>
      </c>
      <c r="Q575" s="7" t="d">
        <v>1982-03-09</v>
      </c>
      <c r="R575" s="3">
        <v>24</v>
      </c>
      <c r="S575" s="3"/>
      <c r="T575" s="4" t="s">
        <v>1149</v>
      </c>
      <c r="U575" s="3" t="str" cm="1">
        <f t="array" ref="U575">_xlfn.TEXTJOIN(",",TRUE,_xlfn.XLOOKUP(_xlfn.FILTERXML("&lt;t&gt;&lt;s&gt;" &amp; SUBSTITUTE(T575,",","&lt;/s&gt;&lt;s&gt;") &amp; "&lt;/s&gt;&lt;/t&gt;", "//s"),Writers!$A$3:$A$999,Writers!$B$3:$B$999,""))</f>
        <v>Eric Saward</v>
      </c>
      <c r="V575" s="3"/>
      <c r="W575" s="3" t="str">
        <f>IF(V575="","",_xlfn.XLOOKUP(V575,Writers!$A$3:$A$999,Writers!$B$3:$B$999,""))</f>
        <v/>
      </c>
      <c r="X575" s="3">
        <v>8.8000000000000007</v>
      </c>
      <c r="Y575" s="3"/>
      <c r="Z575" s="3"/>
      <c r="AA575" s="3">
        <f t="shared" si="24"/>
        <v>10.68</v>
      </c>
      <c r="AB575" s="3" t="str">
        <f t="shared" si="25"/>
        <v/>
      </c>
      <c r="AC575" s="3" t="str">
        <f t="shared" si="26"/>
        <v/>
      </c>
      <c r="AD575" s="3">
        <f>VLOOKUP(YEAR(Q575),Populations!$A$3:$B$999,2,0)</f>
        <v>56290700</v>
      </c>
      <c r="AE575" s="3">
        <f>(Calculations!B1/AD575)</f>
        <v>1.2134319168175201</v>
      </c>
      <c r="AF575" s="3"/>
      <c r="AG575" s="3">
        <v>1</v>
      </c>
      <c r="AH575" s="3" t="str">
        <f>VLOOKUP(AG575,WikiFormats!$A$3:$B$999,2,0)</f>
        <v>Story</v>
      </c>
      <c r="AI575" s="3" t="s">
        <v>706</v>
      </c>
    </row>
    <row r="576" spans="1:35" s="8" customFormat="1" x14ac:dyDescent="0.55000000000000004">
      <c r="A576" s="3">
        <v>574</v>
      </c>
      <c r="B576" s="3">
        <v>1</v>
      </c>
      <c r="C576" s="3" t="str">
        <f>VLOOKUP(B576,Eras!$A$3:$B$999,2,0)</f>
        <v>Classic</v>
      </c>
      <c r="D576" s="3">
        <v>1</v>
      </c>
      <c r="E576" s="3" t="str">
        <f>VLOOKUP(D576,EpisodeFormats!$A$3:$B$999,2,0)</f>
        <v>Series</v>
      </c>
      <c r="F576" s="3">
        <v>5</v>
      </c>
      <c r="G576" s="3" t="str">
        <f>VLOOKUP(F576,Doctors!$A$3:$B$999,2,0)</f>
        <v>Peter Davison</v>
      </c>
      <c r="H576" s="3">
        <v>19</v>
      </c>
      <c r="I576" s="3">
        <v>1</v>
      </c>
      <c r="J576" s="3" t="str">
        <f>VLOOKUP(I576,SeasonFormats!$A$3:$B$999,2,0)</f>
        <v>Season</v>
      </c>
      <c r="K576" s="3">
        <v>121</v>
      </c>
      <c r="L576" s="3">
        <v>6</v>
      </c>
      <c r="M576" s="3" t="s">
        <v>479</v>
      </c>
      <c r="N576" s="3">
        <v>3</v>
      </c>
      <c r="O576" s="3" t="s">
        <v>11</v>
      </c>
      <c r="P576" s="3">
        <v>21</v>
      </c>
      <c r="Q576" s="7" t="d">
        <v>1982-03-15</v>
      </c>
      <c r="R576" s="3">
        <v>24</v>
      </c>
      <c r="S576" s="3"/>
      <c r="T576" s="4" t="s">
        <v>1149</v>
      </c>
      <c r="U576" s="3" t="str" cm="1">
        <f t="array" ref="U576">_xlfn.TEXTJOIN(",",TRUE,_xlfn.XLOOKUP(_xlfn.FILTERXML("&lt;t&gt;&lt;s&gt;" &amp; SUBSTITUTE(T576,",","&lt;/s&gt;&lt;s&gt;") &amp; "&lt;/s&gt;&lt;/t&gt;", "//s"),Writers!$A$3:$A$999,Writers!$B$3:$B$999,""))</f>
        <v>Eric Saward</v>
      </c>
      <c r="V576" s="3"/>
      <c r="W576" s="3" t="str">
        <f>IF(V576="","",_xlfn.XLOOKUP(V576,Writers!$A$3:$A$999,Writers!$B$3:$B$999,""))</f>
        <v/>
      </c>
      <c r="X576" s="3">
        <v>9.8000000000000007</v>
      </c>
      <c r="Y576" s="3"/>
      <c r="Z576" s="3"/>
      <c r="AA576" s="3">
        <f t="shared" si="24"/>
        <v>11.89</v>
      </c>
      <c r="AB576" s="3" t="str">
        <f t="shared" si="25"/>
        <v/>
      </c>
      <c r="AC576" s="3" t="str">
        <f t="shared" si="26"/>
        <v/>
      </c>
      <c r="AD576" s="3">
        <f>VLOOKUP(YEAR(Q576),Populations!$A$3:$B$999,2,0)</f>
        <v>56290700</v>
      </c>
      <c r="AE576" s="3">
        <f>(Calculations!B1/AD576)</f>
        <v>1.2134319168175201</v>
      </c>
      <c r="AF576" s="3"/>
      <c r="AG576" s="3">
        <v>1</v>
      </c>
      <c r="AH576" s="3" t="str">
        <f>VLOOKUP(AG576,WikiFormats!$A$3:$B$999,2,0)</f>
        <v>Story</v>
      </c>
      <c r="AI576" s="3" t="s">
        <v>706</v>
      </c>
    </row>
    <row r="577" spans="1:35" s="8" customFormat="1" x14ac:dyDescent="0.55000000000000004">
      <c r="A577" s="3">
        <v>575</v>
      </c>
      <c r="B577" s="3">
        <v>1</v>
      </c>
      <c r="C577" s="3" t="str">
        <f>VLOOKUP(B577,Eras!$A$3:$B$999,2,0)</f>
        <v>Classic</v>
      </c>
      <c r="D577" s="3">
        <v>1</v>
      </c>
      <c r="E577" s="3" t="str">
        <f>VLOOKUP(D577,EpisodeFormats!$A$3:$B$999,2,0)</f>
        <v>Series</v>
      </c>
      <c r="F577" s="3">
        <v>5</v>
      </c>
      <c r="G577" s="3" t="str">
        <f>VLOOKUP(F577,Doctors!$A$3:$B$999,2,0)</f>
        <v>Peter Davison</v>
      </c>
      <c r="H577" s="3">
        <v>19</v>
      </c>
      <c r="I577" s="3">
        <v>1</v>
      </c>
      <c r="J577" s="3" t="str">
        <f>VLOOKUP(I577,SeasonFormats!$A$3:$B$999,2,0)</f>
        <v>Season</v>
      </c>
      <c r="K577" s="3">
        <v>121</v>
      </c>
      <c r="L577" s="3">
        <v>6</v>
      </c>
      <c r="M577" s="3" t="s">
        <v>479</v>
      </c>
      <c r="N577" s="3">
        <v>4</v>
      </c>
      <c r="O577" s="3" t="s">
        <v>12</v>
      </c>
      <c r="P577" s="3">
        <v>22</v>
      </c>
      <c r="Q577" s="7" t="d">
        <v>1982-03-16</v>
      </c>
      <c r="R577" s="3">
        <v>24</v>
      </c>
      <c r="S577" s="3"/>
      <c r="T577" s="4" t="s">
        <v>1149</v>
      </c>
      <c r="U577" s="3" t="str" cm="1">
        <f t="array" ref="U577">_xlfn.TEXTJOIN(",",TRUE,_xlfn.XLOOKUP(_xlfn.FILTERXML("&lt;t&gt;&lt;s&gt;" &amp; SUBSTITUTE(T577,",","&lt;/s&gt;&lt;s&gt;") &amp; "&lt;/s&gt;&lt;/t&gt;", "//s"),Writers!$A$3:$A$999,Writers!$B$3:$B$999,""))</f>
        <v>Eric Saward</v>
      </c>
      <c r="V577" s="3"/>
      <c r="W577" s="3" t="str">
        <f>IF(V577="","",_xlfn.XLOOKUP(V577,Writers!$A$3:$A$999,Writers!$B$3:$B$999,""))</f>
        <v/>
      </c>
      <c r="X577" s="3">
        <v>9.6</v>
      </c>
      <c r="Y577" s="3"/>
      <c r="Z577" s="3"/>
      <c r="AA577" s="3">
        <f t="shared" si="24"/>
        <v>11.65</v>
      </c>
      <c r="AB577" s="3" t="str">
        <f t="shared" si="25"/>
        <v/>
      </c>
      <c r="AC577" s="3" t="str">
        <f t="shared" si="26"/>
        <v/>
      </c>
      <c r="AD577" s="3">
        <f>VLOOKUP(YEAR(Q577),Populations!$A$3:$B$999,2,0)</f>
        <v>56290700</v>
      </c>
      <c r="AE577" s="3">
        <f>(Calculations!B1/AD577)</f>
        <v>1.2134319168175201</v>
      </c>
      <c r="AF577" s="3"/>
      <c r="AG577" s="3">
        <v>1</v>
      </c>
      <c r="AH577" s="3" t="str">
        <f>VLOOKUP(AG577,WikiFormats!$A$3:$B$999,2,0)</f>
        <v>Story</v>
      </c>
      <c r="AI577" s="3" t="s">
        <v>706</v>
      </c>
    </row>
    <row r="578" spans="1:35" s="2" customFormat="1" x14ac:dyDescent="0.55000000000000004">
      <c r="A578">
        <v>576</v>
      </c>
      <c r="B578">
        <v>1</v>
      </c>
      <c r="C578" t="str">
        <f>VLOOKUP(B578,Eras!$A$3:$B$999,2,0)</f>
        <v>Classic</v>
      </c>
      <c r="D578">
        <v>1</v>
      </c>
      <c r="E578" t="str">
        <f>VLOOKUP(D578,EpisodeFormats!$A$3:$B$999,2,0)</f>
        <v>Series</v>
      </c>
      <c r="F578">
        <v>5</v>
      </c>
      <c r="G578" t="str">
        <f>VLOOKUP(F578,Doctors!$A$3:$B$999,2,0)</f>
        <v>Peter Davison</v>
      </c>
      <c r="H578">
        <v>19</v>
      </c>
      <c r="I578">
        <v>1</v>
      </c>
      <c r="J578" t="str">
        <f>VLOOKUP(I578,SeasonFormats!$A$3:$B$999,2,0)</f>
        <v>Season</v>
      </c>
      <c r="K578">
        <v>122</v>
      </c>
      <c r="L578">
        <v>7</v>
      </c>
      <c r="M578" t="s">
        <v>480</v>
      </c>
      <c r="N578">
        <v>1</v>
      </c>
      <c r="O578" t="s">
        <v>9</v>
      </c>
      <c r="P578">
        <v>23</v>
      </c>
      <c r="Q578" s="6" t="d">
        <v>1982-03-22</v>
      </c>
      <c r="R578">
        <v>25</v>
      </c>
      <c r="S578"/>
      <c r="T578" s="15" t="s">
        <v>1113</v>
      </c>
      <c r="U578" t="str" cm="1">
        <f t="array" ref="U578">_xlfn.TEXTJOIN(",",TRUE,_xlfn.XLOOKUP(_xlfn.FILTERXML("&lt;t&gt;&lt;s&gt;" &amp; SUBSTITUTE(T578,",","&lt;/s&gt;&lt;s&gt;") &amp; "&lt;/s&gt;&lt;/t&gt;", "//s"),Writers!$A$3:$A$999,Writers!$B$3:$B$999,""))</f>
        <v>Peter Grimwade</v>
      </c>
      <c r="V578"/>
      <c r="W578" t="str">
        <f>IF(V578="","",_xlfn.XLOOKUP(V578,Writers!$A$3:$A$999,Writers!$B$3:$B$999,""))</f>
        <v/>
      </c>
      <c r="X578">
        <v>10</v>
      </c>
      <c r="Y578"/>
      <c r="Z578"/>
      <c r="AA578">
        <f t="shared" si="24"/>
        <v>12.13</v>
      </c>
      <c r="AB578" t="str">
        <f t="shared" si="25"/>
        <v/>
      </c>
      <c r="AC578" t="str">
        <f t="shared" si="26"/>
        <v/>
      </c>
      <c r="AD578">
        <f>VLOOKUP(YEAR(Q578),Populations!$A$3:$B$999,2,0)</f>
        <v>56290700</v>
      </c>
      <c r="AE578">
        <f>(Calculations!B1/AD578)</f>
        <v>1.2134319168175201</v>
      </c>
      <c r="AF578"/>
      <c r="AG578">
        <v>1</v>
      </c>
      <c r="AH578" t="str">
        <f>VLOOKUP(AG578,WikiFormats!$A$3:$B$999,2,0)</f>
        <v>Story</v>
      </c>
      <c r="AI578" t="s">
        <v>707</v>
      </c>
    </row>
    <row r="579" spans="1:35" s="2" customFormat="1" x14ac:dyDescent="0.55000000000000004">
      <c r="A579">
        <v>577</v>
      </c>
      <c r="B579">
        <v>1</v>
      </c>
      <c r="C579" t="str">
        <f>VLOOKUP(B579,Eras!$A$3:$B$999,2,0)</f>
        <v>Classic</v>
      </c>
      <c r="D579">
        <v>1</v>
      </c>
      <c r="E579" t="str">
        <f>VLOOKUP(D579,EpisodeFormats!$A$3:$B$999,2,0)</f>
        <v>Series</v>
      </c>
      <c r="F579">
        <v>5</v>
      </c>
      <c r="G579" t="str">
        <f>VLOOKUP(F579,Doctors!$A$3:$B$999,2,0)</f>
        <v>Peter Davison</v>
      </c>
      <c r="H579">
        <v>19</v>
      </c>
      <c r="I579">
        <v>1</v>
      </c>
      <c r="J579" t="str">
        <f>VLOOKUP(I579,SeasonFormats!$A$3:$B$999,2,0)</f>
        <v>Season</v>
      </c>
      <c r="K579">
        <v>122</v>
      </c>
      <c r="L579">
        <v>7</v>
      </c>
      <c r="M579" t="s">
        <v>480</v>
      </c>
      <c r="N579">
        <v>2</v>
      </c>
      <c r="O579" t="s">
        <v>10</v>
      </c>
      <c r="P579">
        <v>24</v>
      </c>
      <c r="Q579" s="6" t="d">
        <v>1982-03-23</v>
      </c>
      <c r="R579">
        <v>24</v>
      </c>
      <c r="S579"/>
      <c r="T579" s="15" t="s">
        <v>1113</v>
      </c>
      <c r="U579" t="str" cm="1">
        <f t="array" ref="U579">_xlfn.TEXTJOIN(",",TRUE,_xlfn.XLOOKUP(_xlfn.FILTERXML("&lt;t&gt;&lt;s&gt;" &amp; SUBSTITUTE(T579,",","&lt;/s&gt;&lt;s&gt;") &amp; "&lt;/s&gt;&lt;/t&gt;", "//s"),Writers!$A$3:$A$999,Writers!$B$3:$B$999,""))</f>
        <v>Peter Grimwade</v>
      </c>
      <c r="V579"/>
      <c r="W579" t="str">
        <f>IF(V579="","",_xlfn.XLOOKUP(V579,Writers!$A$3:$A$999,Writers!$B$3:$B$999,""))</f>
        <v/>
      </c>
      <c r="X579">
        <v>8.5</v>
      </c>
      <c r="Y579"/>
      <c r="Z579"/>
      <c r="AA579">
        <f t="shared" si="24"/>
        <v>10.31</v>
      </c>
      <c r="AB579" t="str">
        <f t="shared" si="25"/>
        <v/>
      </c>
      <c r="AC579" t="str">
        <f t="shared" si="26"/>
        <v/>
      </c>
      <c r="AD579">
        <f>VLOOKUP(YEAR(Q579),Populations!$A$3:$B$999,2,0)</f>
        <v>56290700</v>
      </c>
      <c r="AE579">
        <f>(Calculations!B1/AD579)</f>
        <v>1.2134319168175201</v>
      </c>
      <c r="AF579"/>
      <c r="AG579">
        <v>1</v>
      </c>
      <c r="AH579" t="str">
        <f>VLOOKUP(AG579,WikiFormats!$A$3:$B$999,2,0)</f>
        <v>Story</v>
      </c>
      <c r="AI579" t="s">
        <v>707</v>
      </c>
    </row>
    <row r="580" spans="1:35" s="2" customFormat="1" x14ac:dyDescent="0.55000000000000004">
      <c r="A580">
        <v>578</v>
      </c>
      <c r="B580">
        <v>1</v>
      </c>
      <c r="C580" t="str">
        <f>VLOOKUP(B580,Eras!$A$3:$B$999,2,0)</f>
        <v>Classic</v>
      </c>
      <c r="D580">
        <v>1</v>
      </c>
      <c r="E580" t="str">
        <f>VLOOKUP(D580,EpisodeFormats!$A$3:$B$999,2,0)</f>
        <v>Series</v>
      </c>
      <c r="F580">
        <v>5</v>
      </c>
      <c r="G580" t="str">
        <f>VLOOKUP(F580,Doctors!$A$3:$B$999,2,0)</f>
        <v>Peter Davison</v>
      </c>
      <c r="H580">
        <v>19</v>
      </c>
      <c r="I580">
        <v>1</v>
      </c>
      <c r="J580" t="str">
        <f>VLOOKUP(I580,SeasonFormats!$A$3:$B$999,2,0)</f>
        <v>Season</v>
      </c>
      <c r="K580">
        <v>122</v>
      </c>
      <c r="L580">
        <v>7</v>
      </c>
      <c r="M580" t="s">
        <v>480</v>
      </c>
      <c r="N580">
        <v>3</v>
      </c>
      <c r="O580" t="s">
        <v>11</v>
      </c>
      <c r="P580">
        <v>25</v>
      </c>
      <c r="Q580" s="6" t="d">
        <v>1982-03-29</v>
      </c>
      <c r="R580">
        <v>25</v>
      </c>
      <c r="S580"/>
      <c r="T580" s="15" t="s">
        <v>1113</v>
      </c>
      <c r="U580" t="str" cm="1">
        <f t="array" ref="U580">_xlfn.TEXTJOIN(",",TRUE,_xlfn.XLOOKUP(_xlfn.FILTERXML("&lt;t&gt;&lt;s&gt;" &amp; SUBSTITUTE(T580,",","&lt;/s&gt;&lt;s&gt;") &amp; "&lt;/s&gt;&lt;/t&gt;", "//s"),Writers!$A$3:$A$999,Writers!$B$3:$B$999,""))</f>
        <v>Peter Grimwade</v>
      </c>
      <c r="V580"/>
      <c r="W580" t="str">
        <f>IF(V580="","",_xlfn.XLOOKUP(V580,Writers!$A$3:$A$999,Writers!$B$3:$B$999,""))</f>
        <v/>
      </c>
      <c r="X580">
        <v>8.9</v>
      </c>
      <c r="Y580"/>
      <c r="Z580"/>
      <c r="AA580">
        <f t="shared" ref="AA580:AA643" si="27">IF(ISBLANK(X580),"",ROUND(X580*AE580,2))</f>
        <v>10.8</v>
      </c>
      <c r="AB580" t="str">
        <f t="shared" ref="AB580:AB643" si="28">IF(ISBLANK(Y580),"",ROUND(Y580*AE580,2))</f>
        <v/>
      </c>
      <c r="AC580" t="str">
        <f t="shared" ref="AC580:AC643" si="29">IF(ISBLANK(Z580),"",ROUND(Z580*AE580,2))</f>
        <v/>
      </c>
      <c r="AD580">
        <f>VLOOKUP(YEAR(Q580),Populations!$A$3:$B$999,2,0)</f>
        <v>56290700</v>
      </c>
      <c r="AE580">
        <f>(Calculations!B1/AD580)</f>
        <v>1.2134319168175201</v>
      </c>
      <c r="AF580"/>
      <c r="AG580">
        <v>1</v>
      </c>
      <c r="AH580" t="str">
        <f>VLOOKUP(AG580,WikiFormats!$A$3:$B$999,2,0)</f>
        <v>Story</v>
      </c>
      <c r="AI580" t="s">
        <v>707</v>
      </c>
    </row>
    <row r="581" spans="1:35" s="2" customFormat="1" x14ac:dyDescent="0.55000000000000004">
      <c r="A581">
        <v>579</v>
      </c>
      <c r="B581">
        <v>1</v>
      </c>
      <c r="C581" t="str">
        <f>VLOOKUP(B581,Eras!$A$3:$B$999,2,0)</f>
        <v>Classic</v>
      </c>
      <c r="D581">
        <v>1</v>
      </c>
      <c r="E581" t="str">
        <f>VLOOKUP(D581,EpisodeFormats!$A$3:$B$999,2,0)</f>
        <v>Series</v>
      </c>
      <c r="F581">
        <v>5</v>
      </c>
      <c r="G581" t="str">
        <f>VLOOKUP(F581,Doctors!$A$3:$B$999,2,0)</f>
        <v>Peter Davison</v>
      </c>
      <c r="H581">
        <v>19</v>
      </c>
      <c r="I581">
        <v>1</v>
      </c>
      <c r="J581" t="str">
        <f>VLOOKUP(I581,SeasonFormats!$A$3:$B$999,2,0)</f>
        <v>Season</v>
      </c>
      <c r="K581">
        <v>122</v>
      </c>
      <c r="L581">
        <v>7</v>
      </c>
      <c r="M581" t="s">
        <v>480</v>
      </c>
      <c r="N581">
        <v>4</v>
      </c>
      <c r="O581" t="s">
        <v>12</v>
      </c>
      <c r="P581">
        <v>26</v>
      </c>
      <c r="Q581" s="6" t="d">
        <v>1982-03-30</v>
      </c>
      <c r="R581">
        <v>25</v>
      </c>
      <c r="S581"/>
      <c r="T581" s="15" t="s">
        <v>1113</v>
      </c>
      <c r="U581" t="str" cm="1">
        <f t="array" ref="U581">_xlfn.TEXTJOIN(",",TRUE,_xlfn.XLOOKUP(_xlfn.FILTERXML("&lt;t&gt;&lt;s&gt;" &amp; SUBSTITUTE(T581,",","&lt;/s&gt;&lt;s&gt;") &amp; "&lt;/s&gt;&lt;/t&gt;", "//s"),Writers!$A$3:$A$999,Writers!$B$3:$B$999,""))</f>
        <v>Peter Grimwade</v>
      </c>
      <c r="V581"/>
      <c r="W581" t="str">
        <f>IF(V581="","",_xlfn.XLOOKUP(V581,Writers!$A$3:$A$999,Writers!$B$3:$B$999,""))</f>
        <v/>
      </c>
      <c r="X581">
        <v>8.1</v>
      </c>
      <c r="Y581"/>
      <c r="Z581"/>
      <c r="AA581">
        <f t="shared" si="27"/>
        <v>9.83</v>
      </c>
      <c r="AB581" t="str">
        <f t="shared" si="28"/>
        <v/>
      </c>
      <c r="AC581" t="str">
        <f t="shared" si="29"/>
        <v/>
      </c>
      <c r="AD581">
        <f>VLOOKUP(YEAR(Q581),Populations!$A$3:$B$999,2,0)</f>
        <v>56290700</v>
      </c>
      <c r="AE581">
        <f>(Calculations!B1/AD581)</f>
        <v>1.2134319168175201</v>
      </c>
      <c r="AF581"/>
      <c r="AG581">
        <v>1</v>
      </c>
      <c r="AH581" t="str">
        <f>VLOOKUP(AG581,WikiFormats!$A$3:$B$999,2,0)</f>
        <v>Story</v>
      </c>
      <c r="AI581" t="s">
        <v>707</v>
      </c>
    </row>
    <row r="582" spans="1:35" s="8" customFormat="1" x14ac:dyDescent="0.55000000000000004">
      <c r="A582" s="3">
        <v>580</v>
      </c>
      <c r="B582" s="3">
        <v>1</v>
      </c>
      <c r="C582" s="3" t="str">
        <f>VLOOKUP(B582,Eras!$A$3:$B$999,2,0)</f>
        <v>Classic</v>
      </c>
      <c r="D582" s="3">
        <v>1</v>
      </c>
      <c r="E582" s="3" t="str">
        <f>VLOOKUP(D582,EpisodeFormats!$A$3:$B$999,2,0)</f>
        <v>Series</v>
      </c>
      <c r="F582" s="3">
        <v>5</v>
      </c>
      <c r="G582" s="3" t="str">
        <f>VLOOKUP(F582,Doctors!$A$3:$B$999,2,0)</f>
        <v>Peter Davison</v>
      </c>
      <c r="H582" s="3">
        <v>20</v>
      </c>
      <c r="I582" s="3">
        <v>1</v>
      </c>
      <c r="J582" s="3" t="str">
        <f>VLOOKUP(I582,SeasonFormats!$A$3:$B$999,2,0)</f>
        <v>Season</v>
      </c>
      <c r="K582" s="3">
        <v>123</v>
      </c>
      <c r="L582" s="3">
        <v>1</v>
      </c>
      <c r="M582" s="3" t="s">
        <v>481</v>
      </c>
      <c r="N582" s="3">
        <v>1</v>
      </c>
      <c r="O582" s="3" t="s">
        <v>9</v>
      </c>
      <c r="P582" s="3">
        <v>1</v>
      </c>
      <c r="Q582" s="7" t="d">
        <v>1983-01-03</v>
      </c>
      <c r="R582" s="3">
        <v>25</v>
      </c>
      <c r="S582" s="3"/>
      <c r="T582" s="4" t="s">
        <v>1083</v>
      </c>
      <c r="U582" s="3" t="str" cm="1">
        <f t="array" ref="U582">_xlfn.TEXTJOIN(",",TRUE,_xlfn.XLOOKUP(_xlfn.FILTERXML("&lt;t&gt;&lt;s&gt;" &amp; SUBSTITUTE(T582,",","&lt;/s&gt;&lt;s&gt;") &amp; "&lt;/s&gt;&lt;/t&gt;", "//s"),Writers!$A$3:$A$999,Writers!$B$3:$B$999,""))</f>
        <v>Johnny Byrne</v>
      </c>
      <c r="V582" s="3"/>
      <c r="W582" s="3" t="str">
        <f>IF(V582="","",_xlfn.XLOOKUP(V582,Writers!$A$3:$A$999,Writers!$B$3:$B$999,""))</f>
        <v/>
      </c>
      <c r="X582" s="3">
        <v>7.2</v>
      </c>
      <c r="Y582" s="3"/>
      <c r="Z582" s="3"/>
      <c r="AA582" s="3">
        <f t="shared" si="27"/>
        <v>8.73</v>
      </c>
      <c r="AB582" s="3" t="str">
        <f t="shared" si="28"/>
        <v/>
      </c>
      <c r="AC582" s="3" t="str">
        <f t="shared" si="29"/>
        <v/>
      </c>
      <c r="AD582" s="3">
        <f>VLOOKUP(YEAR(Q582),Populations!$A$3:$B$999,2,0)</f>
        <v>56315700</v>
      </c>
      <c r="AE582" s="3">
        <f>(Calculations!B1/AD582)</f>
        <v>1.2128932429145001</v>
      </c>
      <c r="AF582" s="3"/>
      <c r="AG582" s="3">
        <v>1</v>
      </c>
      <c r="AH582" s="3" t="str">
        <f>VLOOKUP(AG582,WikiFormats!$A$3:$B$999,2,0)</f>
        <v>Story</v>
      </c>
      <c r="AI582" s="3" t="s">
        <v>708</v>
      </c>
    </row>
    <row r="583" spans="1:35" s="8" customFormat="1" x14ac:dyDescent="0.55000000000000004">
      <c r="A583" s="3">
        <v>581</v>
      </c>
      <c r="B583" s="3">
        <v>1</v>
      </c>
      <c r="C583" s="3" t="str">
        <f>VLOOKUP(B583,Eras!$A$3:$B$999,2,0)</f>
        <v>Classic</v>
      </c>
      <c r="D583" s="3">
        <v>1</v>
      </c>
      <c r="E583" s="3" t="str">
        <f>VLOOKUP(D583,EpisodeFormats!$A$3:$B$999,2,0)</f>
        <v>Series</v>
      </c>
      <c r="F583" s="3">
        <v>5</v>
      </c>
      <c r="G583" s="3" t="str">
        <f>VLOOKUP(F583,Doctors!$A$3:$B$999,2,0)</f>
        <v>Peter Davison</v>
      </c>
      <c r="H583" s="3">
        <v>20</v>
      </c>
      <c r="I583" s="3">
        <v>1</v>
      </c>
      <c r="J583" s="3" t="str">
        <f>VLOOKUP(I583,SeasonFormats!$A$3:$B$999,2,0)</f>
        <v>Season</v>
      </c>
      <c r="K583" s="3">
        <v>123</v>
      </c>
      <c r="L583" s="3">
        <v>1</v>
      </c>
      <c r="M583" s="3" t="s">
        <v>481</v>
      </c>
      <c r="N583" s="3">
        <v>2</v>
      </c>
      <c r="O583" s="3" t="s">
        <v>10</v>
      </c>
      <c r="P583" s="3">
        <v>2</v>
      </c>
      <c r="Q583" s="7" t="d">
        <v>1983-01-05</v>
      </c>
      <c r="R583" s="3">
        <v>25</v>
      </c>
      <c r="S583" s="3"/>
      <c r="T583" s="4" t="s">
        <v>1083</v>
      </c>
      <c r="U583" s="3" t="str" cm="1">
        <f t="array" ref="U583">_xlfn.TEXTJOIN(",",TRUE,_xlfn.XLOOKUP(_xlfn.FILTERXML("&lt;t&gt;&lt;s&gt;" &amp; SUBSTITUTE(T583,",","&lt;/s&gt;&lt;s&gt;") &amp; "&lt;/s&gt;&lt;/t&gt;", "//s"),Writers!$A$3:$A$999,Writers!$B$3:$B$999,""))</f>
        <v>Johnny Byrne</v>
      </c>
      <c r="V583" s="3"/>
      <c r="W583" s="3" t="str">
        <f>IF(V583="","",_xlfn.XLOOKUP(V583,Writers!$A$3:$A$999,Writers!$B$3:$B$999,""))</f>
        <v/>
      </c>
      <c r="X583" s="3">
        <v>7.3</v>
      </c>
      <c r="Y583" s="3"/>
      <c r="Z583" s="3"/>
      <c r="AA583" s="3">
        <f t="shared" si="27"/>
        <v>8.85</v>
      </c>
      <c r="AB583" s="3" t="str">
        <f t="shared" si="28"/>
        <v/>
      </c>
      <c r="AC583" s="3" t="str">
        <f t="shared" si="29"/>
        <v/>
      </c>
      <c r="AD583" s="3">
        <f>VLOOKUP(YEAR(Q583),Populations!$A$3:$B$999,2,0)</f>
        <v>56315700</v>
      </c>
      <c r="AE583" s="3">
        <f>(Calculations!B1/AD583)</f>
        <v>1.2128932429145001</v>
      </c>
      <c r="AF583" s="3"/>
      <c r="AG583" s="3">
        <v>1</v>
      </c>
      <c r="AH583" s="3" t="str">
        <f>VLOOKUP(AG583,WikiFormats!$A$3:$B$999,2,0)</f>
        <v>Story</v>
      </c>
      <c r="AI583" s="3" t="s">
        <v>708</v>
      </c>
    </row>
    <row r="584" spans="1:35" s="8" customFormat="1" x14ac:dyDescent="0.55000000000000004">
      <c r="A584" s="3">
        <v>582</v>
      </c>
      <c r="B584" s="3">
        <v>1</v>
      </c>
      <c r="C584" s="3" t="str">
        <f>VLOOKUP(B584,Eras!$A$3:$B$999,2,0)</f>
        <v>Classic</v>
      </c>
      <c r="D584" s="3">
        <v>1</v>
      </c>
      <c r="E584" s="3" t="str">
        <f>VLOOKUP(D584,EpisodeFormats!$A$3:$B$999,2,0)</f>
        <v>Series</v>
      </c>
      <c r="F584" s="3">
        <v>5</v>
      </c>
      <c r="G584" s="3" t="str">
        <f>VLOOKUP(F584,Doctors!$A$3:$B$999,2,0)</f>
        <v>Peter Davison</v>
      </c>
      <c r="H584" s="3">
        <v>20</v>
      </c>
      <c r="I584" s="3">
        <v>1</v>
      </c>
      <c r="J584" s="3" t="str">
        <f>VLOOKUP(I584,SeasonFormats!$A$3:$B$999,2,0)</f>
        <v>Season</v>
      </c>
      <c r="K584" s="3">
        <v>123</v>
      </c>
      <c r="L584" s="3">
        <v>1</v>
      </c>
      <c r="M584" s="3" t="s">
        <v>481</v>
      </c>
      <c r="N584" s="3">
        <v>3</v>
      </c>
      <c r="O584" s="3" t="s">
        <v>11</v>
      </c>
      <c r="P584" s="3">
        <v>3</v>
      </c>
      <c r="Q584" s="7" t="d">
        <v>1983-01-11</v>
      </c>
      <c r="R584" s="3">
        <v>25</v>
      </c>
      <c r="S584" s="3"/>
      <c r="T584" s="4" t="s">
        <v>1083</v>
      </c>
      <c r="U584" s="3" t="str" cm="1">
        <f t="array" ref="U584">_xlfn.TEXTJOIN(",",TRUE,_xlfn.XLOOKUP(_xlfn.FILTERXML("&lt;t&gt;&lt;s&gt;" &amp; SUBSTITUTE(T584,",","&lt;/s&gt;&lt;s&gt;") &amp; "&lt;/s&gt;&lt;/t&gt;", "//s"),Writers!$A$3:$A$999,Writers!$B$3:$B$999,""))</f>
        <v>Johnny Byrne</v>
      </c>
      <c r="V584" s="3"/>
      <c r="W584" s="3" t="str">
        <f>IF(V584="","",_xlfn.XLOOKUP(V584,Writers!$A$3:$A$999,Writers!$B$3:$B$999,""))</f>
        <v/>
      </c>
      <c r="X584" s="3">
        <v>6.9</v>
      </c>
      <c r="Y584" s="3"/>
      <c r="Z584" s="3"/>
      <c r="AA584" s="3">
        <f t="shared" si="27"/>
        <v>8.3699999999999992</v>
      </c>
      <c r="AB584" s="3" t="str">
        <f t="shared" si="28"/>
        <v/>
      </c>
      <c r="AC584" s="3" t="str">
        <f t="shared" si="29"/>
        <v/>
      </c>
      <c r="AD584" s="3">
        <f>VLOOKUP(YEAR(Q584),Populations!$A$3:$B$999,2,0)</f>
        <v>56315700</v>
      </c>
      <c r="AE584" s="3">
        <f>(Calculations!B1/AD584)</f>
        <v>1.2128932429145001</v>
      </c>
      <c r="AF584" s="3"/>
      <c r="AG584" s="3">
        <v>1</v>
      </c>
      <c r="AH584" s="3" t="str">
        <f>VLOOKUP(AG584,WikiFormats!$A$3:$B$999,2,0)</f>
        <v>Story</v>
      </c>
      <c r="AI584" s="3" t="s">
        <v>708</v>
      </c>
    </row>
    <row r="585" spans="1:35" s="8" customFormat="1" x14ac:dyDescent="0.55000000000000004">
      <c r="A585" s="3">
        <v>583</v>
      </c>
      <c r="B585" s="3">
        <v>1</v>
      </c>
      <c r="C585" s="3" t="str">
        <f>VLOOKUP(B585,Eras!$A$3:$B$999,2,0)</f>
        <v>Classic</v>
      </c>
      <c r="D585" s="3">
        <v>1</v>
      </c>
      <c r="E585" s="3" t="str">
        <f>VLOOKUP(D585,EpisodeFormats!$A$3:$B$999,2,0)</f>
        <v>Series</v>
      </c>
      <c r="F585" s="3">
        <v>5</v>
      </c>
      <c r="G585" s="3" t="str">
        <f>VLOOKUP(F585,Doctors!$A$3:$B$999,2,0)</f>
        <v>Peter Davison</v>
      </c>
      <c r="H585" s="3">
        <v>20</v>
      </c>
      <c r="I585" s="3">
        <v>1</v>
      </c>
      <c r="J585" s="3" t="str">
        <f>VLOOKUP(I585,SeasonFormats!$A$3:$B$999,2,0)</f>
        <v>Season</v>
      </c>
      <c r="K585" s="3">
        <v>123</v>
      </c>
      <c r="L585" s="3">
        <v>1</v>
      </c>
      <c r="M585" s="3" t="s">
        <v>481</v>
      </c>
      <c r="N585" s="3">
        <v>4</v>
      </c>
      <c r="O585" s="3" t="s">
        <v>12</v>
      </c>
      <c r="P585" s="3">
        <v>4</v>
      </c>
      <c r="Q585" s="7" t="d">
        <v>1983-01-12</v>
      </c>
      <c r="R585" s="3">
        <v>24</v>
      </c>
      <c r="S585" s="3"/>
      <c r="T585" s="4" t="s">
        <v>1083</v>
      </c>
      <c r="U585" s="3" t="str" cm="1">
        <f t="array" ref="U585">_xlfn.TEXTJOIN(",",TRUE,_xlfn.XLOOKUP(_xlfn.FILTERXML("&lt;t&gt;&lt;s&gt;" &amp; SUBSTITUTE(T585,",","&lt;/s&gt;&lt;s&gt;") &amp; "&lt;/s&gt;&lt;/t&gt;", "//s"),Writers!$A$3:$A$999,Writers!$B$3:$B$999,""))</f>
        <v>Johnny Byrne</v>
      </c>
      <c r="V585" s="3"/>
      <c r="W585" s="3" t="str">
        <f>IF(V585="","",_xlfn.XLOOKUP(V585,Writers!$A$3:$A$999,Writers!$B$3:$B$999,""))</f>
        <v/>
      </c>
      <c r="X585" s="3">
        <v>7.2</v>
      </c>
      <c r="Y585" s="3"/>
      <c r="Z585" s="3"/>
      <c r="AA585" s="3">
        <f t="shared" si="27"/>
        <v>8.73</v>
      </c>
      <c r="AB585" s="3" t="str">
        <f t="shared" si="28"/>
        <v/>
      </c>
      <c r="AC585" s="3" t="str">
        <f t="shared" si="29"/>
        <v/>
      </c>
      <c r="AD585" s="3">
        <f>VLOOKUP(YEAR(Q585),Populations!$A$3:$B$999,2,0)</f>
        <v>56315700</v>
      </c>
      <c r="AE585" s="3">
        <f>(Calculations!B1/AD585)</f>
        <v>1.2128932429145001</v>
      </c>
      <c r="AF585" s="3"/>
      <c r="AG585" s="3">
        <v>1</v>
      </c>
      <c r="AH585" s="3" t="str">
        <f>VLOOKUP(AG585,WikiFormats!$A$3:$B$999,2,0)</f>
        <v>Story</v>
      </c>
      <c r="AI585" s="3" t="s">
        <v>708</v>
      </c>
    </row>
    <row r="586" spans="1:35" s="2" customFormat="1" x14ac:dyDescent="0.55000000000000004">
      <c r="A586">
        <v>584</v>
      </c>
      <c r="B586">
        <v>1</v>
      </c>
      <c r="C586" t="str">
        <f>VLOOKUP(B586,Eras!$A$3:$B$999,2,0)</f>
        <v>Classic</v>
      </c>
      <c r="D586">
        <v>1</v>
      </c>
      <c r="E586" t="str">
        <f>VLOOKUP(D586,EpisodeFormats!$A$3:$B$999,2,0)</f>
        <v>Series</v>
      </c>
      <c r="F586">
        <v>5</v>
      </c>
      <c r="G586" t="str">
        <f>VLOOKUP(F586,Doctors!$A$3:$B$999,2,0)</f>
        <v>Peter Davison</v>
      </c>
      <c r="H586">
        <v>20</v>
      </c>
      <c r="I586">
        <v>1</v>
      </c>
      <c r="J586" t="str">
        <f>VLOOKUP(I586,SeasonFormats!$A$3:$B$999,2,0)</f>
        <v>Season</v>
      </c>
      <c r="K586">
        <v>124</v>
      </c>
      <c r="L586">
        <v>2</v>
      </c>
      <c r="M586" t="s">
        <v>482</v>
      </c>
      <c r="N586">
        <v>1</v>
      </c>
      <c r="O586" t="s">
        <v>9</v>
      </c>
      <c r="P586">
        <v>5</v>
      </c>
      <c r="Q586" s="6" t="d">
        <v>1983-01-18</v>
      </c>
      <c r="R586">
        <v>24</v>
      </c>
      <c r="S586"/>
      <c r="T586" s="15" t="s">
        <v>1073</v>
      </c>
      <c r="U586" t="str" cm="1">
        <f t="array" ref="U586">_xlfn.TEXTJOIN(",",TRUE,_xlfn.XLOOKUP(_xlfn.FILTERXML("&lt;t&gt;&lt;s&gt;" &amp; SUBSTITUTE(T586,",","&lt;/s&gt;&lt;s&gt;") &amp; "&lt;/s&gt;&lt;/t&gt;", "//s"),Writers!$A$3:$A$999,Writers!$B$3:$B$999,""))</f>
        <v>Christopher Bailey</v>
      </c>
      <c r="V586"/>
      <c r="W586" t="str">
        <f>IF(V586="","",_xlfn.XLOOKUP(V586,Writers!$A$3:$A$999,Writers!$B$3:$B$999,""))</f>
        <v/>
      </c>
      <c r="X586">
        <v>6.7</v>
      </c>
      <c r="Y586"/>
      <c r="Z586"/>
      <c r="AA586">
        <f t="shared" si="27"/>
        <v>8.1300000000000008</v>
      </c>
      <c r="AB586" t="str">
        <f t="shared" si="28"/>
        <v/>
      </c>
      <c r="AC586" t="str">
        <f t="shared" si="29"/>
        <v/>
      </c>
      <c r="AD586">
        <f>VLOOKUP(YEAR(Q586),Populations!$A$3:$B$999,2,0)</f>
        <v>56315700</v>
      </c>
      <c r="AE586">
        <f>(Calculations!B1/AD586)</f>
        <v>1.2128932429145001</v>
      </c>
      <c r="AF586"/>
      <c r="AG586">
        <v>1</v>
      </c>
      <c r="AH586" t="str">
        <f>VLOOKUP(AG586,WikiFormats!$A$3:$B$999,2,0)</f>
        <v>Story</v>
      </c>
      <c r="AI586" t="s">
        <v>709</v>
      </c>
    </row>
    <row r="587" spans="1:35" s="2" customFormat="1" x14ac:dyDescent="0.55000000000000004">
      <c r="A587">
        <v>585</v>
      </c>
      <c r="B587">
        <v>1</v>
      </c>
      <c r="C587" t="str">
        <f>VLOOKUP(B587,Eras!$A$3:$B$999,2,0)</f>
        <v>Classic</v>
      </c>
      <c r="D587">
        <v>1</v>
      </c>
      <c r="E587" t="str">
        <f>VLOOKUP(D587,EpisodeFormats!$A$3:$B$999,2,0)</f>
        <v>Series</v>
      </c>
      <c r="F587">
        <v>5</v>
      </c>
      <c r="G587" t="str">
        <f>VLOOKUP(F587,Doctors!$A$3:$B$999,2,0)</f>
        <v>Peter Davison</v>
      </c>
      <c r="H587">
        <v>20</v>
      </c>
      <c r="I587">
        <v>1</v>
      </c>
      <c r="J587" t="str">
        <f>VLOOKUP(I587,SeasonFormats!$A$3:$B$999,2,0)</f>
        <v>Season</v>
      </c>
      <c r="K587">
        <v>124</v>
      </c>
      <c r="L587">
        <v>2</v>
      </c>
      <c r="M587" t="s">
        <v>482</v>
      </c>
      <c r="N587">
        <v>2</v>
      </c>
      <c r="O587" t="s">
        <v>10</v>
      </c>
      <c r="P587">
        <v>6</v>
      </c>
      <c r="Q587" s="6" t="d">
        <v>1983-01-19</v>
      </c>
      <c r="R587">
        <v>25</v>
      </c>
      <c r="S587"/>
      <c r="T587" s="15" t="s">
        <v>1073</v>
      </c>
      <c r="U587" t="str" cm="1">
        <f t="array" ref="U587">_xlfn.TEXTJOIN(",",TRUE,_xlfn.XLOOKUP(_xlfn.FILTERXML("&lt;t&gt;&lt;s&gt;" &amp; SUBSTITUTE(T587,",","&lt;/s&gt;&lt;s&gt;") &amp; "&lt;/s&gt;&lt;/t&gt;", "//s"),Writers!$A$3:$A$999,Writers!$B$3:$B$999,""))</f>
        <v>Christopher Bailey</v>
      </c>
      <c r="V587"/>
      <c r="W587" t="str">
        <f>IF(V587="","",_xlfn.XLOOKUP(V587,Writers!$A$3:$A$999,Writers!$B$3:$B$999,""))</f>
        <v/>
      </c>
      <c r="X587">
        <v>7.7</v>
      </c>
      <c r="Y587"/>
      <c r="Z587"/>
      <c r="AA587">
        <f t="shared" si="27"/>
        <v>9.34</v>
      </c>
      <c r="AB587" t="str">
        <f t="shared" si="28"/>
        <v/>
      </c>
      <c r="AC587" t="str">
        <f t="shared" si="29"/>
        <v/>
      </c>
      <c r="AD587">
        <f>VLOOKUP(YEAR(Q587),Populations!$A$3:$B$999,2,0)</f>
        <v>56315700</v>
      </c>
      <c r="AE587">
        <f>(Calculations!B1/AD587)</f>
        <v>1.2128932429145001</v>
      </c>
      <c r="AF587"/>
      <c r="AG587">
        <v>1</v>
      </c>
      <c r="AH587" t="str">
        <f>VLOOKUP(AG587,WikiFormats!$A$3:$B$999,2,0)</f>
        <v>Story</v>
      </c>
      <c r="AI587" t="s">
        <v>709</v>
      </c>
    </row>
    <row r="588" spans="1:35" s="2" customFormat="1" x14ac:dyDescent="0.55000000000000004">
      <c r="A588">
        <v>586</v>
      </c>
      <c r="B588">
        <v>1</v>
      </c>
      <c r="C588" t="str">
        <f>VLOOKUP(B588,Eras!$A$3:$B$999,2,0)</f>
        <v>Classic</v>
      </c>
      <c r="D588">
        <v>1</v>
      </c>
      <c r="E588" t="str">
        <f>VLOOKUP(D588,EpisodeFormats!$A$3:$B$999,2,0)</f>
        <v>Series</v>
      </c>
      <c r="F588">
        <v>5</v>
      </c>
      <c r="G588" t="str">
        <f>VLOOKUP(F588,Doctors!$A$3:$B$999,2,0)</f>
        <v>Peter Davison</v>
      </c>
      <c r="H588">
        <v>20</v>
      </c>
      <c r="I588">
        <v>1</v>
      </c>
      <c r="J588" t="str">
        <f>VLOOKUP(I588,SeasonFormats!$A$3:$B$999,2,0)</f>
        <v>Season</v>
      </c>
      <c r="K588">
        <v>124</v>
      </c>
      <c r="L588">
        <v>2</v>
      </c>
      <c r="M588" t="s">
        <v>482</v>
      </c>
      <c r="N588">
        <v>3</v>
      </c>
      <c r="O588" t="s">
        <v>11</v>
      </c>
      <c r="P588">
        <v>7</v>
      </c>
      <c r="Q588" s="6" t="d">
        <v>1983-01-25</v>
      </c>
      <c r="R588">
        <v>25</v>
      </c>
      <c r="S588"/>
      <c r="T588" s="15" t="s">
        <v>1073</v>
      </c>
      <c r="U588" t="str" cm="1">
        <f t="array" ref="U588">_xlfn.TEXTJOIN(",",TRUE,_xlfn.XLOOKUP(_xlfn.FILTERXML("&lt;t&gt;&lt;s&gt;" &amp; SUBSTITUTE(T588,",","&lt;/s&gt;&lt;s&gt;") &amp; "&lt;/s&gt;&lt;/t&gt;", "//s"),Writers!$A$3:$A$999,Writers!$B$3:$B$999,""))</f>
        <v>Christopher Bailey</v>
      </c>
      <c r="V588"/>
      <c r="W588" t="str">
        <f>IF(V588="","",_xlfn.XLOOKUP(V588,Writers!$A$3:$A$999,Writers!$B$3:$B$999,""))</f>
        <v/>
      </c>
      <c r="X588">
        <v>6.6</v>
      </c>
      <c r="Y588"/>
      <c r="Z588"/>
      <c r="AA588">
        <f t="shared" si="27"/>
        <v>8.01</v>
      </c>
      <c r="AB588" t="str">
        <f t="shared" si="28"/>
        <v/>
      </c>
      <c r="AC588" t="str">
        <f t="shared" si="29"/>
        <v/>
      </c>
      <c r="AD588">
        <f>VLOOKUP(YEAR(Q588),Populations!$A$3:$B$999,2,0)</f>
        <v>56315700</v>
      </c>
      <c r="AE588">
        <f>(Calculations!B1/AD588)</f>
        <v>1.2128932429145001</v>
      </c>
      <c r="AF588"/>
      <c r="AG588">
        <v>1</v>
      </c>
      <c r="AH588" t="str">
        <f>VLOOKUP(AG588,WikiFormats!$A$3:$B$999,2,0)</f>
        <v>Story</v>
      </c>
      <c r="AI588" t="s">
        <v>709</v>
      </c>
    </row>
    <row r="589" spans="1:35" s="2" customFormat="1" x14ac:dyDescent="0.55000000000000004">
      <c r="A589">
        <v>587</v>
      </c>
      <c r="B589">
        <v>1</v>
      </c>
      <c r="C589" t="str">
        <f>VLOOKUP(B589,Eras!$A$3:$B$999,2,0)</f>
        <v>Classic</v>
      </c>
      <c r="D589">
        <v>1</v>
      </c>
      <c r="E589" t="str">
        <f>VLOOKUP(D589,EpisodeFormats!$A$3:$B$999,2,0)</f>
        <v>Series</v>
      </c>
      <c r="F589">
        <v>5</v>
      </c>
      <c r="G589" t="str">
        <f>VLOOKUP(F589,Doctors!$A$3:$B$999,2,0)</f>
        <v>Peter Davison</v>
      </c>
      <c r="H589">
        <v>20</v>
      </c>
      <c r="I589">
        <v>1</v>
      </c>
      <c r="J589" t="str">
        <f>VLOOKUP(I589,SeasonFormats!$A$3:$B$999,2,0)</f>
        <v>Season</v>
      </c>
      <c r="K589">
        <v>124</v>
      </c>
      <c r="L589">
        <v>2</v>
      </c>
      <c r="M589" t="s">
        <v>482</v>
      </c>
      <c r="N589">
        <v>4</v>
      </c>
      <c r="O589" t="s">
        <v>12</v>
      </c>
      <c r="P589">
        <v>8</v>
      </c>
      <c r="Q589" s="6" t="d">
        <v>1983-01-26</v>
      </c>
      <c r="R589">
        <v>25</v>
      </c>
      <c r="S589"/>
      <c r="T589" s="15" t="s">
        <v>1073</v>
      </c>
      <c r="U589" t="str" cm="1">
        <f t="array" ref="U589">_xlfn.TEXTJOIN(",",TRUE,_xlfn.XLOOKUP(_xlfn.FILTERXML("&lt;t&gt;&lt;s&gt;" &amp; SUBSTITUTE(T589,",","&lt;/s&gt;&lt;s&gt;") &amp; "&lt;/s&gt;&lt;/t&gt;", "//s"),Writers!$A$3:$A$999,Writers!$B$3:$B$999,""))</f>
        <v>Christopher Bailey</v>
      </c>
      <c r="V589"/>
      <c r="W589" t="str">
        <f>IF(V589="","",_xlfn.XLOOKUP(V589,Writers!$A$3:$A$999,Writers!$B$3:$B$999,""))</f>
        <v/>
      </c>
      <c r="X589">
        <v>7.4</v>
      </c>
      <c r="Y589"/>
      <c r="Z589"/>
      <c r="AA589">
        <f t="shared" si="27"/>
        <v>8.98</v>
      </c>
      <c r="AB589" t="str">
        <f t="shared" si="28"/>
        <v/>
      </c>
      <c r="AC589" t="str">
        <f t="shared" si="29"/>
        <v/>
      </c>
      <c r="AD589">
        <f>VLOOKUP(YEAR(Q589),Populations!$A$3:$B$999,2,0)</f>
        <v>56315700</v>
      </c>
      <c r="AE589">
        <f>(Calculations!B1/AD589)</f>
        <v>1.2128932429145001</v>
      </c>
      <c r="AF589"/>
      <c r="AG589">
        <v>1</v>
      </c>
      <c r="AH589" t="str">
        <f>VLOOKUP(AG589,WikiFormats!$A$3:$B$999,2,0)</f>
        <v>Story</v>
      </c>
      <c r="AI589" t="s">
        <v>709</v>
      </c>
    </row>
    <row r="590" spans="1:35" s="8" customFormat="1" x14ac:dyDescent="0.55000000000000004">
      <c r="A590" s="3">
        <v>588</v>
      </c>
      <c r="B590" s="3">
        <v>1</v>
      </c>
      <c r="C590" s="3" t="str">
        <f>VLOOKUP(B590,Eras!$A$3:$B$999,2,0)</f>
        <v>Classic</v>
      </c>
      <c r="D590" s="3">
        <v>1</v>
      </c>
      <c r="E590" s="3" t="str">
        <f>VLOOKUP(D590,EpisodeFormats!$A$3:$B$999,2,0)</f>
        <v>Series</v>
      </c>
      <c r="F590" s="3">
        <v>5</v>
      </c>
      <c r="G590" s="3" t="str">
        <f>VLOOKUP(F590,Doctors!$A$3:$B$999,2,0)</f>
        <v>Peter Davison</v>
      </c>
      <c r="H590" s="3">
        <v>20</v>
      </c>
      <c r="I590" s="3">
        <v>1</v>
      </c>
      <c r="J590" s="3" t="str">
        <f>VLOOKUP(I590,SeasonFormats!$A$3:$B$999,2,0)</f>
        <v>Season</v>
      </c>
      <c r="K590" s="3">
        <v>125</v>
      </c>
      <c r="L590" s="3">
        <v>3</v>
      </c>
      <c r="M590" s="3" t="s">
        <v>483</v>
      </c>
      <c r="N590" s="3">
        <v>1</v>
      </c>
      <c r="O590" s="3" t="s">
        <v>9</v>
      </c>
      <c r="P590" s="3">
        <v>9</v>
      </c>
      <c r="Q590" s="7" t="d">
        <v>1983-02-01</v>
      </c>
      <c r="R590" s="3">
        <v>24</v>
      </c>
      <c r="S590" s="3"/>
      <c r="T590" s="4" t="s">
        <v>1113</v>
      </c>
      <c r="U590" s="3" t="str" cm="1">
        <f t="array" ref="U590">_xlfn.TEXTJOIN(",",TRUE,_xlfn.XLOOKUP(_xlfn.FILTERXML("&lt;t&gt;&lt;s&gt;" &amp; SUBSTITUTE(T590,",","&lt;/s&gt;&lt;s&gt;") &amp; "&lt;/s&gt;&lt;/t&gt;", "//s"),Writers!$A$3:$A$999,Writers!$B$3:$B$999,""))</f>
        <v>Peter Grimwade</v>
      </c>
      <c r="V590" s="3"/>
      <c r="W590" s="3" t="str">
        <f>IF(V590="","",_xlfn.XLOOKUP(V590,Writers!$A$3:$A$999,Writers!$B$3:$B$999,""))</f>
        <v/>
      </c>
      <c r="X590" s="3">
        <v>6.5</v>
      </c>
      <c r="Y590" s="3"/>
      <c r="Z590" s="3"/>
      <c r="AA590" s="3">
        <f t="shared" si="27"/>
        <v>7.88</v>
      </c>
      <c r="AB590" s="3" t="str">
        <f t="shared" si="28"/>
        <v/>
      </c>
      <c r="AC590" s="3" t="str">
        <f t="shared" si="29"/>
        <v/>
      </c>
      <c r="AD590" s="3">
        <f>VLOOKUP(YEAR(Q590),Populations!$A$3:$B$999,2,0)</f>
        <v>56315700</v>
      </c>
      <c r="AE590" s="3">
        <f>(Calculations!B1/AD590)</f>
        <v>1.2128932429145001</v>
      </c>
      <c r="AF590" s="3"/>
      <c r="AG590" s="3">
        <v>1</v>
      </c>
      <c r="AH590" s="3" t="str">
        <f>VLOOKUP(AG590,WikiFormats!$A$3:$B$999,2,0)</f>
        <v>Story</v>
      </c>
      <c r="AI590" s="3" t="s">
        <v>710</v>
      </c>
    </row>
    <row r="591" spans="1:35" s="8" customFormat="1" x14ac:dyDescent="0.55000000000000004">
      <c r="A591" s="3">
        <v>589</v>
      </c>
      <c r="B591" s="3">
        <v>1</v>
      </c>
      <c r="C591" s="3" t="str">
        <f>VLOOKUP(B591,Eras!$A$3:$B$999,2,0)</f>
        <v>Classic</v>
      </c>
      <c r="D591" s="3">
        <v>1</v>
      </c>
      <c r="E591" s="3" t="str">
        <f>VLOOKUP(D591,EpisodeFormats!$A$3:$B$999,2,0)</f>
        <v>Series</v>
      </c>
      <c r="F591" s="3">
        <v>5</v>
      </c>
      <c r="G591" s="3" t="str">
        <f>VLOOKUP(F591,Doctors!$A$3:$B$999,2,0)</f>
        <v>Peter Davison</v>
      </c>
      <c r="H591" s="3">
        <v>20</v>
      </c>
      <c r="I591" s="3">
        <v>1</v>
      </c>
      <c r="J591" s="3" t="str">
        <f>VLOOKUP(I591,SeasonFormats!$A$3:$B$999,2,0)</f>
        <v>Season</v>
      </c>
      <c r="K591" s="3">
        <v>125</v>
      </c>
      <c r="L591" s="3">
        <v>3</v>
      </c>
      <c r="M591" s="3" t="s">
        <v>483</v>
      </c>
      <c r="N591" s="3">
        <v>2</v>
      </c>
      <c r="O591" s="3" t="s">
        <v>10</v>
      </c>
      <c r="P591" s="3">
        <v>10</v>
      </c>
      <c r="Q591" s="7" t="d">
        <v>1983-02-02</v>
      </c>
      <c r="R591" s="3">
        <v>25</v>
      </c>
      <c r="S591" s="3"/>
      <c r="T591" s="4" t="s">
        <v>1113</v>
      </c>
      <c r="U591" s="3" t="str" cm="1">
        <f t="array" ref="U591">_xlfn.TEXTJOIN(",",TRUE,_xlfn.XLOOKUP(_xlfn.FILTERXML("&lt;t&gt;&lt;s&gt;" &amp; SUBSTITUTE(T591,",","&lt;/s&gt;&lt;s&gt;") &amp; "&lt;/s&gt;&lt;/t&gt;", "//s"),Writers!$A$3:$A$999,Writers!$B$3:$B$999,""))</f>
        <v>Peter Grimwade</v>
      </c>
      <c r="V591" s="3"/>
      <c r="W591" s="3" t="str">
        <f>IF(V591="","",_xlfn.XLOOKUP(V591,Writers!$A$3:$A$999,Writers!$B$3:$B$999,""))</f>
        <v/>
      </c>
      <c r="X591" s="3">
        <v>7.5</v>
      </c>
      <c r="Y591" s="3"/>
      <c r="Z591" s="3"/>
      <c r="AA591" s="3">
        <f t="shared" si="27"/>
        <v>9.1</v>
      </c>
      <c r="AB591" s="3" t="str">
        <f t="shared" si="28"/>
        <v/>
      </c>
      <c r="AC591" s="3" t="str">
        <f t="shared" si="29"/>
        <v/>
      </c>
      <c r="AD591" s="3">
        <f>VLOOKUP(YEAR(Q591),Populations!$A$3:$B$999,2,0)</f>
        <v>56315700</v>
      </c>
      <c r="AE591" s="3">
        <f>(Calculations!B1/AD591)</f>
        <v>1.2128932429145001</v>
      </c>
      <c r="AF591" s="3"/>
      <c r="AG591" s="3">
        <v>1</v>
      </c>
      <c r="AH591" s="3" t="str">
        <f>VLOOKUP(AG591,WikiFormats!$A$3:$B$999,2,0)</f>
        <v>Story</v>
      </c>
      <c r="AI591" s="3" t="s">
        <v>710</v>
      </c>
    </row>
    <row r="592" spans="1:35" s="8" customFormat="1" x14ac:dyDescent="0.55000000000000004">
      <c r="A592" s="3">
        <v>590</v>
      </c>
      <c r="B592" s="3">
        <v>1</v>
      </c>
      <c r="C592" s="3" t="str">
        <f>VLOOKUP(B592,Eras!$A$3:$B$999,2,0)</f>
        <v>Classic</v>
      </c>
      <c r="D592" s="3">
        <v>1</v>
      </c>
      <c r="E592" s="3" t="str">
        <f>VLOOKUP(D592,EpisodeFormats!$A$3:$B$999,2,0)</f>
        <v>Series</v>
      </c>
      <c r="F592" s="3">
        <v>5</v>
      </c>
      <c r="G592" s="3" t="str">
        <f>VLOOKUP(F592,Doctors!$A$3:$B$999,2,0)</f>
        <v>Peter Davison</v>
      </c>
      <c r="H592" s="3">
        <v>20</v>
      </c>
      <c r="I592" s="3">
        <v>1</v>
      </c>
      <c r="J592" s="3" t="str">
        <f>VLOOKUP(I592,SeasonFormats!$A$3:$B$999,2,0)</f>
        <v>Season</v>
      </c>
      <c r="K592" s="3">
        <v>125</v>
      </c>
      <c r="L592" s="3">
        <v>3</v>
      </c>
      <c r="M592" s="3" t="s">
        <v>483</v>
      </c>
      <c r="N592" s="3">
        <v>3</v>
      </c>
      <c r="O592" s="3" t="s">
        <v>11</v>
      </c>
      <c r="P592" s="3">
        <v>11</v>
      </c>
      <c r="Q592" s="7" t="d">
        <v>1983-02-08</v>
      </c>
      <c r="R592" s="3">
        <v>25</v>
      </c>
      <c r="S592" s="3"/>
      <c r="T592" s="4" t="s">
        <v>1113</v>
      </c>
      <c r="U592" s="3" t="str" cm="1">
        <f t="array" ref="U592">_xlfn.TEXTJOIN(",",TRUE,_xlfn.XLOOKUP(_xlfn.FILTERXML("&lt;t&gt;&lt;s&gt;" &amp; SUBSTITUTE(T592,",","&lt;/s&gt;&lt;s&gt;") &amp; "&lt;/s&gt;&lt;/t&gt;", "//s"),Writers!$A$3:$A$999,Writers!$B$3:$B$999,""))</f>
        <v>Peter Grimwade</v>
      </c>
      <c r="V592" s="3"/>
      <c r="W592" s="3" t="str">
        <f>IF(V592="","",_xlfn.XLOOKUP(V592,Writers!$A$3:$A$999,Writers!$B$3:$B$999,""))</f>
        <v/>
      </c>
      <c r="X592" s="3">
        <v>7.4</v>
      </c>
      <c r="Y592" s="3"/>
      <c r="Z592" s="3"/>
      <c r="AA592" s="3">
        <f t="shared" si="27"/>
        <v>8.98</v>
      </c>
      <c r="AB592" s="3" t="str">
        <f t="shared" si="28"/>
        <v/>
      </c>
      <c r="AC592" s="3" t="str">
        <f t="shared" si="29"/>
        <v/>
      </c>
      <c r="AD592" s="3">
        <f>VLOOKUP(YEAR(Q592),Populations!$A$3:$B$999,2,0)</f>
        <v>56315700</v>
      </c>
      <c r="AE592" s="3">
        <f>(Calculations!B1/AD592)</f>
        <v>1.2128932429145001</v>
      </c>
      <c r="AF592" s="3"/>
      <c r="AG592" s="3">
        <v>1</v>
      </c>
      <c r="AH592" s="3" t="str">
        <f>VLOOKUP(AG592,WikiFormats!$A$3:$B$999,2,0)</f>
        <v>Story</v>
      </c>
      <c r="AI592" s="3" t="s">
        <v>710</v>
      </c>
    </row>
    <row r="593" spans="1:35" s="8" customFormat="1" x14ac:dyDescent="0.55000000000000004">
      <c r="A593" s="3">
        <v>591</v>
      </c>
      <c r="B593" s="3">
        <v>1</v>
      </c>
      <c r="C593" s="3" t="str">
        <f>VLOOKUP(B593,Eras!$A$3:$B$999,2,0)</f>
        <v>Classic</v>
      </c>
      <c r="D593" s="3">
        <v>1</v>
      </c>
      <c r="E593" s="3" t="str">
        <f>VLOOKUP(D593,EpisodeFormats!$A$3:$B$999,2,0)</f>
        <v>Series</v>
      </c>
      <c r="F593" s="3">
        <v>5</v>
      </c>
      <c r="G593" s="3" t="str">
        <f>VLOOKUP(F593,Doctors!$A$3:$B$999,2,0)</f>
        <v>Peter Davison</v>
      </c>
      <c r="H593" s="3">
        <v>20</v>
      </c>
      <c r="I593" s="3">
        <v>1</v>
      </c>
      <c r="J593" s="3" t="str">
        <f>VLOOKUP(I593,SeasonFormats!$A$3:$B$999,2,0)</f>
        <v>Season</v>
      </c>
      <c r="K593" s="3">
        <v>125</v>
      </c>
      <c r="L593" s="3">
        <v>3</v>
      </c>
      <c r="M593" s="3" t="s">
        <v>483</v>
      </c>
      <c r="N593" s="3">
        <v>4</v>
      </c>
      <c r="O593" s="3" t="s">
        <v>12</v>
      </c>
      <c r="P593" s="3">
        <v>12</v>
      </c>
      <c r="Q593" s="7" t="d">
        <v>1983-02-09</v>
      </c>
      <c r="R593" s="3">
        <v>25</v>
      </c>
      <c r="S593" s="3"/>
      <c r="T593" s="4" t="s">
        <v>1113</v>
      </c>
      <c r="U593" s="3" t="str" cm="1">
        <f t="array" ref="U593">_xlfn.TEXTJOIN(",",TRUE,_xlfn.XLOOKUP(_xlfn.FILTERXML("&lt;t&gt;&lt;s&gt;" &amp; SUBSTITUTE(T593,",","&lt;/s&gt;&lt;s&gt;") &amp; "&lt;/s&gt;&lt;/t&gt;", "//s"),Writers!$A$3:$A$999,Writers!$B$3:$B$999,""))</f>
        <v>Peter Grimwade</v>
      </c>
      <c r="V593" s="3"/>
      <c r="W593" s="3" t="str">
        <f>IF(V593="","",_xlfn.XLOOKUP(V593,Writers!$A$3:$A$999,Writers!$B$3:$B$999,""))</f>
        <v/>
      </c>
      <c r="X593" s="3">
        <v>7.7</v>
      </c>
      <c r="Y593" s="3"/>
      <c r="Z593" s="3"/>
      <c r="AA593" s="3">
        <f t="shared" si="27"/>
        <v>9.34</v>
      </c>
      <c r="AB593" s="3" t="str">
        <f t="shared" si="28"/>
        <v/>
      </c>
      <c r="AC593" s="3" t="str">
        <f t="shared" si="29"/>
        <v/>
      </c>
      <c r="AD593" s="3">
        <f>VLOOKUP(YEAR(Q593),Populations!$A$3:$B$999,2,0)</f>
        <v>56315700</v>
      </c>
      <c r="AE593" s="3">
        <f>(Calculations!B1/AD593)</f>
        <v>1.2128932429145001</v>
      </c>
      <c r="AF593" s="3"/>
      <c r="AG593" s="3">
        <v>1</v>
      </c>
      <c r="AH593" s="3" t="str">
        <f>VLOOKUP(AG593,WikiFormats!$A$3:$B$999,2,0)</f>
        <v>Story</v>
      </c>
      <c r="AI593" s="3" t="s">
        <v>710</v>
      </c>
    </row>
    <row r="594" spans="1:35" s="2" customFormat="1" x14ac:dyDescent="0.55000000000000004">
      <c r="A594">
        <v>592</v>
      </c>
      <c r="B594">
        <v>1</v>
      </c>
      <c r="C594" t="str">
        <f>VLOOKUP(B594,Eras!$A$3:$B$999,2,0)</f>
        <v>Classic</v>
      </c>
      <c r="D594">
        <v>1</v>
      </c>
      <c r="E594" t="str">
        <f>VLOOKUP(D594,EpisodeFormats!$A$3:$B$999,2,0)</f>
        <v>Series</v>
      </c>
      <c r="F594">
        <v>5</v>
      </c>
      <c r="G594" t="str">
        <f>VLOOKUP(F594,Doctors!$A$3:$B$999,2,0)</f>
        <v>Peter Davison</v>
      </c>
      <c r="H594">
        <v>20</v>
      </c>
      <c r="I594">
        <v>1</v>
      </c>
      <c r="J594" t="str">
        <f>VLOOKUP(I594,SeasonFormats!$A$3:$B$999,2,0)</f>
        <v>Season</v>
      </c>
      <c r="K594">
        <v>126</v>
      </c>
      <c r="L594">
        <v>4</v>
      </c>
      <c r="M594" t="s">
        <v>484</v>
      </c>
      <c r="N594">
        <v>1</v>
      </c>
      <c r="O594" t="s">
        <v>9</v>
      </c>
      <c r="P594">
        <v>13</v>
      </c>
      <c r="Q594" s="6" t="d">
        <v>1983-02-15</v>
      </c>
      <c r="R594">
        <v>25</v>
      </c>
      <c r="S594"/>
      <c r="T594" s="15" t="s">
        <v>1115</v>
      </c>
      <c r="U594" t="str" cm="1">
        <f t="array" ref="U594">_xlfn.TEXTJOIN(",",TRUE,_xlfn.XLOOKUP(_xlfn.FILTERXML("&lt;t&gt;&lt;s&gt;" &amp; SUBSTITUTE(T594,",","&lt;/s&gt;&lt;s&gt;") &amp; "&lt;/s&gt;&lt;/t&gt;", "//s"),Writers!$A$3:$A$999,Writers!$B$3:$B$999,""))</f>
        <v>Stephen Gallagher</v>
      </c>
      <c r="V594"/>
      <c r="W594" t="str">
        <f>IF(V594="","",_xlfn.XLOOKUP(V594,Writers!$A$3:$A$999,Writers!$B$3:$B$999,""))</f>
        <v/>
      </c>
      <c r="X594">
        <v>6.8</v>
      </c>
      <c r="Y594"/>
      <c r="Z594"/>
      <c r="AA594">
        <f t="shared" si="27"/>
        <v>8.25</v>
      </c>
      <c r="AB594" t="str">
        <f t="shared" si="28"/>
        <v/>
      </c>
      <c r="AC594" t="str">
        <f t="shared" si="29"/>
        <v/>
      </c>
      <c r="AD594">
        <f>VLOOKUP(YEAR(Q594),Populations!$A$3:$B$999,2,0)</f>
        <v>56315700</v>
      </c>
      <c r="AE594">
        <f>(Calculations!B1/AD594)</f>
        <v>1.2128932429145001</v>
      </c>
      <c r="AF594"/>
      <c r="AG594">
        <v>1</v>
      </c>
      <c r="AH594" t="str">
        <f>VLOOKUP(AG594,WikiFormats!$A$3:$B$999,2,0)</f>
        <v>Story</v>
      </c>
      <c r="AI594" t="s">
        <v>711</v>
      </c>
    </row>
    <row r="595" spans="1:35" s="2" customFormat="1" x14ac:dyDescent="0.55000000000000004">
      <c r="A595">
        <v>593</v>
      </c>
      <c r="B595">
        <v>1</v>
      </c>
      <c r="C595" t="str">
        <f>VLOOKUP(B595,Eras!$A$3:$B$999,2,0)</f>
        <v>Classic</v>
      </c>
      <c r="D595">
        <v>1</v>
      </c>
      <c r="E595" t="str">
        <f>VLOOKUP(D595,EpisodeFormats!$A$3:$B$999,2,0)</f>
        <v>Series</v>
      </c>
      <c r="F595">
        <v>5</v>
      </c>
      <c r="G595" t="str">
        <f>VLOOKUP(F595,Doctors!$A$3:$B$999,2,0)</f>
        <v>Peter Davison</v>
      </c>
      <c r="H595">
        <v>20</v>
      </c>
      <c r="I595">
        <v>1</v>
      </c>
      <c r="J595" t="str">
        <f>VLOOKUP(I595,SeasonFormats!$A$3:$B$999,2,0)</f>
        <v>Season</v>
      </c>
      <c r="K595">
        <v>126</v>
      </c>
      <c r="L595">
        <v>4</v>
      </c>
      <c r="M595" t="s">
        <v>484</v>
      </c>
      <c r="N595">
        <v>2</v>
      </c>
      <c r="O595" t="s">
        <v>10</v>
      </c>
      <c r="P595">
        <v>14</v>
      </c>
      <c r="Q595" s="6" t="d">
        <v>1983-02-16</v>
      </c>
      <c r="R595">
        <v>25</v>
      </c>
      <c r="S595"/>
      <c r="T595" s="15" t="s">
        <v>1115</v>
      </c>
      <c r="U595" t="str" cm="1">
        <f t="array" ref="U595">_xlfn.TEXTJOIN(",",TRUE,_xlfn.XLOOKUP(_xlfn.FILTERXML("&lt;t&gt;&lt;s&gt;" &amp; SUBSTITUTE(T595,",","&lt;/s&gt;&lt;s&gt;") &amp; "&lt;/s&gt;&lt;/t&gt;", "//s"),Writers!$A$3:$A$999,Writers!$B$3:$B$999,""))</f>
        <v>Stephen Gallagher</v>
      </c>
      <c r="V595"/>
      <c r="W595" t="str">
        <f>IF(V595="","",_xlfn.XLOOKUP(V595,Writers!$A$3:$A$999,Writers!$B$3:$B$999,""))</f>
        <v/>
      </c>
      <c r="X595">
        <v>7.5</v>
      </c>
      <c r="Y595"/>
      <c r="Z595"/>
      <c r="AA595">
        <f t="shared" si="27"/>
        <v>9.1</v>
      </c>
      <c r="AB595" t="str">
        <f t="shared" si="28"/>
        <v/>
      </c>
      <c r="AC595" t="str">
        <f t="shared" si="29"/>
        <v/>
      </c>
      <c r="AD595">
        <f>VLOOKUP(YEAR(Q595),Populations!$A$3:$B$999,2,0)</f>
        <v>56315700</v>
      </c>
      <c r="AE595">
        <f>(Calculations!B1/AD595)</f>
        <v>1.2128932429145001</v>
      </c>
      <c r="AF595"/>
      <c r="AG595">
        <v>1</v>
      </c>
      <c r="AH595" t="str">
        <f>VLOOKUP(AG595,WikiFormats!$A$3:$B$999,2,0)</f>
        <v>Story</v>
      </c>
      <c r="AI595" t="s">
        <v>711</v>
      </c>
    </row>
    <row r="596" spans="1:35" s="2" customFormat="1" x14ac:dyDescent="0.55000000000000004">
      <c r="A596">
        <v>594</v>
      </c>
      <c r="B596">
        <v>1</v>
      </c>
      <c r="C596" t="str">
        <f>VLOOKUP(B596,Eras!$A$3:$B$999,2,0)</f>
        <v>Classic</v>
      </c>
      <c r="D596">
        <v>1</v>
      </c>
      <c r="E596" t="str">
        <f>VLOOKUP(D596,EpisodeFormats!$A$3:$B$999,2,0)</f>
        <v>Series</v>
      </c>
      <c r="F596">
        <v>5</v>
      </c>
      <c r="G596" t="str">
        <f>VLOOKUP(F596,Doctors!$A$3:$B$999,2,0)</f>
        <v>Peter Davison</v>
      </c>
      <c r="H596">
        <v>20</v>
      </c>
      <c r="I596">
        <v>1</v>
      </c>
      <c r="J596" t="str">
        <f>VLOOKUP(I596,SeasonFormats!$A$3:$B$999,2,0)</f>
        <v>Season</v>
      </c>
      <c r="K596">
        <v>126</v>
      </c>
      <c r="L596">
        <v>4</v>
      </c>
      <c r="M596" t="s">
        <v>484</v>
      </c>
      <c r="N596">
        <v>3</v>
      </c>
      <c r="O596" t="s">
        <v>11</v>
      </c>
      <c r="P596">
        <v>15</v>
      </c>
      <c r="Q596" s="6" t="d">
        <v>1983-02-22</v>
      </c>
      <c r="R596">
        <v>25</v>
      </c>
      <c r="S596"/>
      <c r="T596" s="15" t="s">
        <v>1115</v>
      </c>
      <c r="U596" t="str" cm="1">
        <f t="array" ref="U596">_xlfn.TEXTJOIN(",",TRUE,_xlfn.XLOOKUP(_xlfn.FILTERXML("&lt;t&gt;&lt;s&gt;" &amp; SUBSTITUTE(T596,",","&lt;/s&gt;&lt;s&gt;") &amp; "&lt;/s&gt;&lt;/t&gt;", "//s"),Writers!$A$3:$A$999,Writers!$B$3:$B$999,""))</f>
        <v>Stephen Gallagher</v>
      </c>
      <c r="V596"/>
      <c r="W596" t="str">
        <f>IF(V596="","",_xlfn.XLOOKUP(V596,Writers!$A$3:$A$999,Writers!$B$3:$B$999,""))</f>
        <v/>
      </c>
      <c r="X596">
        <v>6.5</v>
      </c>
      <c r="Y596"/>
      <c r="Z596"/>
      <c r="AA596">
        <f t="shared" si="27"/>
        <v>7.88</v>
      </c>
      <c r="AB596" t="str">
        <f t="shared" si="28"/>
        <v/>
      </c>
      <c r="AC596" t="str">
        <f t="shared" si="29"/>
        <v/>
      </c>
      <c r="AD596">
        <f>VLOOKUP(YEAR(Q596),Populations!$A$3:$B$999,2,0)</f>
        <v>56315700</v>
      </c>
      <c r="AE596">
        <f>(Calculations!B1/AD596)</f>
        <v>1.2128932429145001</v>
      </c>
      <c r="AF596"/>
      <c r="AG596">
        <v>1</v>
      </c>
      <c r="AH596" t="str">
        <f>VLOOKUP(AG596,WikiFormats!$A$3:$B$999,2,0)</f>
        <v>Story</v>
      </c>
      <c r="AI596" t="s">
        <v>711</v>
      </c>
    </row>
    <row r="597" spans="1:35" s="2" customFormat="1" x14ac:dyDescent="0.55000000000000004">
      <c r="A597">
        <v>595</v>
      </c>
      <c r="B597">
        <v>1</v>
      </c>
      <c r="C597" t="str">
        <f>VLOOKUP(B597,Eras!$A$3:$B$999,2,0)</f>
        <v>Classic</v>
      </c>
      <c r="D597">
        <v>1</v>
      </c>
      <c r="E597" t="str">
        <f>VLOOKUP(D597,EpisodeFormats!$A$3:$B$999,2,0)</f>
        <v>Series</v>
      </c>
      <c r="F597">
        <v>5</v>
      </c>
      <c r="G597" t="str">
        <f>VLOOKUP(F597,Doctors!$A$3:$B$999,2,0)</f>
        <v>Peter Davison</v>
      </c>
      <c r="H597">
        <v>20</v>
      </c>
      <c r="I597">
        <v>1</v>
      </c>
      <c r="J597" t="str">
        <f>VLOOKUP(I597,SeasonFormats!$A$3:$B$999,2,0)</f>
        <v>Season</v>
      </c>
      <c r="K597">
        <v>126</v>
      </c>
      <c r="L597">
        <v>4</v>
      </c>
      <c r="M597" t="s">
        <v>484</v>
      </c>
      <c r="N597">
        <v>4</v>
      </c>
      <c r="O597" t="s">
        <v>12</v>
      </c>
      <c r="P597">
        <v>16</v>
      </c>
      <c r="Q597" s="6" t="d">
        <v>1983-02-23</v>
      </c>
      <c r="R597">
        <v>25</v>
      </c>
      <c r="S597"/>
      <c r="T597" s="15" t="s">
        <v>1115</v>
      </c>
      <c r="U597" t="str" cm="1">
        <f t="array" ref="U597">_xlfn.TEXTJOIN(",",TRUE,_xlfn.XLOOKUP(_xlfn.FILTERXML("&lt;t&gt;&lt;s&gt;" &amp; SUBSTITUTE(T597,",","&lt;/s&gt;&lt;s&gt;") &amp; "&lt;/s&gt;&lt;/t&gt;", "//s"),Writers!$A$3:$A$999,Writers!$B$3:$B$999,""))</f>
        <v>Stephen Gallagher</v>
      </c>
      <c r="V597"/>
      <c r="W597" t="str">
        <f>IF(V597="","",_xlfn.XLOOKUP(V597,Writers!$A$3:$A$999,Writers!$B$3:$B$999,""))</f>
        <v/>
      </c>
      <c r="X597">
        <v>7.4</v>
      </c>
      <c r="Y597"/>
      <c r="Z597"/>
      <c r="AA597">
        <f t="shared" si="27"/>
        <v>8.98</v>
      </c>
      <c r="AB597" t="str">
        <f t="shared" si="28"/>
        <v/>
      </c>
      <c r="AC597" t="str">
        <f t="shared" si="29"/>
        <v/>
      </c>
      <c r="AD597">
        <f>VLOOKUP(YEAR(Q597),Populations!$A$3:$B$999,2,0)</f>
        <v>56315700</v>
      </c>
      <c r="AE597">
        <f>(Calculations!B1/AD597)</f>
        <v>1.2128932429145001</v>
      </c>
      <c r="AF597"/>
      <c r="AG597">
        <v>1</v>
      </c>
      <c r="AH597" t="str">
        <f>VLOOKUP(AG597,WikiFormats!$A$3:$B$999,2,0)</f>
        <v>Story</v>
      </c>
      <c r="AI597" t="s">
        <v>711</v>
      </c>
    </row>
    <row r="598" spans="1:35" s="8" customFormat="1" x14ac:dyDescent="0.55000000000000004">
      <c r="A598" s="3">
        <v>596</v>
      </c>
      <c r="B598" s="3">
        <v>1</v>
      </c>
      <c r="C598" s="3" t="str">
        <f>VLOOKUP(B598,Eras!$A$3:$B$999,2,0)</f>
        <v>Classic</v>
      </c>
      <c r="D598" s="3">
        <v>1</v>
      </c>
      <c r="E598" s="3" t="str">
        <f>VLOOKUP(D598,EpisodeFormats!$A$3:$B$999,2,0)</f>
        <v>Series</v>
      </c>
      <c r="F598" s="3">
        <v>5</v>
      </c>
      <c r="G598" s="3" t="str">
        <f>VLOOKUP(F598,Doctors!$A$3:$B$999,2,0)</f>
        <v>Peter Davison</v>
      </c>
      <c r="H598" s="3">
        <v>20</v>
      </c>
      <c r="I598" s="3">
        <v>1</v>
      </c>
      <c r="J598" s="3" t="str">
        <f>VLOOKUP(I598,SeasonFormats!$A$3:$B$999,2,0)</f>
        <v>Season</v>
      </c>
      <c r="K598" s="3">
        <v>127</v>
      </c>
      <c r="L598" s="3">
        <v>5</v>
      </c>
      <c r="M598" s="3" t="s">
        <v>485</v>
      </c>
      <c r="N598" s="3">
        <v>1</v>
      </c>
      <c r="O598" s="3" t="s">
        <v>9</v>
      </c>
      <c r="P598" s="3">
        <v>17</v>
      </c>
      <c r="Q598" s="7" t="d">
        <v>1983-03-01</v>
      </c>
      <c r="R598" s="3">
        <v>24</v>
      </c>
      <c r="S598" s="3"/>
      <c r="T598" s="4" t="s">
        <v>1090</v>
      </c>
      <c r="U598" s="3" t="str" cm="1">
        <f t="array" ref="U598">_xlfn.TEXTJOIN(",",TRUE,_xlfn.XLOOKUP(_xlfn.FILTERXML("&lt;t&gt;&lt;s&gt;" &amp; SUBSTITUTE(T598,",","&lt;/s&gt;&lt;s&gt;") &amp; "&lt;/s&gt;&lt;/t&gt;", "//s"),Writers!$A$3:$A$999,Writers!$B$3:$B$999,""))</f>
        <v>Barbara Clegg</v>
      </c>
      <c r="V598" s="3"/>
      <c r="W598" s="3" t="str">
        <f>IF(V598="","",_xlfn.XLOOKUP(V598,Writers!$A$3:$A$999,Writers!$B$3:$B$999,""))</f>
        <v/>
      </c>
      <c r="X598" s="3">
        <v>6.6</v>
      </c>
      <c r="Y598" s="3"/>
      <c r="Z598" s="3"/>
      <c r="AA598" s="3">
        <f t="shared" si="27"/>
        <v>8.01</v>
      </c>
      <c r="AB598" s="3" t="str">
        <f t="shared" si="28"/>
        <v/>
      </c>
      <c r="AC598" s="3" t="str">
        <f t="shared" si="29"/>
        <v/>
      </c>
      <c r="AD598" s="3">
        <f>VLOOKUP(YEAR(Q598),Populations!$A$3:$B$999,2,0)</f>
        <v>56315700</v>
      </c>
      <c r="AE598" s="3">
        <f>(Calculations!B1/AD598)</f>
        <v>1.2128932429145001</v>
      </c>
      <c r="AF598" s="3"/>
      <c r="AG598" s="3">
        <v>1</v>
      </c>
      <c r="AH598" s="3" t="str">
        <f>VLOOKUP(AG598,WikiFormats!$A$3:$B$999,2,0)</f>
        <v>Story</v>
      </c>
      <c r="AI598" s="3" t="s">
        <v>712</v>
      </c>
    </row>
    <row r="599" spans="1:35" s="8" customFormat="1" x14ac:dyDescent="0.55000000000000004">
      <c r="A599" s="3">
        <v>597</v>
      </c>
      <c r="B599" s="3">
        <v>1</v>
      </c>
      <c r="C599" s="3" t="str">
        <f>VLOOKUP(B599,Eras!$A$3:$B$999,2,0)</f>
        <v>Classic</v>
      </c>
      <c r="D599" s="3">
        <v>1</v>
      </c>
      <c r="E599" s="3" t="str">
        <f>VLOOKUP(D599,EpisodeFormats!$A$3:$B$999,2,0)</f>
        <v>Series</v>
      </c>
      <c r="F599" s="3">
        <v>5</v>
      </c>
      <c r="G599" s="3" t="str">
        <f>VLOOKUP(F599,Doctors!$A$3:$B$999,2,0)</f>
        <v>Peter Davison</v>
      </c>
      <c r="H599" s="3">
        <v>20</v>
      </c>
      <c r="I599" s="3">
        <v>1</v>
      </c>
      <c r="J599" s="3" t="str">
        <f>VLOOKUP(I599,SeasonFormats!$A$3:$B$999,2,0)</f>
        <v>Season</v>
      </c>
      <c r="K599" s="3">
        <v>127</v>
      </c>
      <c r="L599" s="3">
        <v>5</v>
      </c>
      <c r="M599" s="3" t="s">
        <v>485</v>
      </c>
      <c r="N599" s="3">
        <v>2</v>
      </c>
      <c r="O599" s="3" t="s">
        <v>10</v>
      </c>
      <c r="P599" s="3">
        <v>18</v>
      </c>
      <c r="Q599" s="7" t="d">
        <v>1983-03-02</v>
      </c>
      <c r="R599" s="3">
        <v>24</v>
      </c>
      <c r="S599" s="3"/>
      <c r="T599" s="4" t="s">
        <v>1090</v>
      </c>
      <c r="U599" s="3" t="str" cm="1">
        <f t="array" ref="U599">_xlfn.TEXTJOIN(",",TRUE,_xlfn.XLOOKUP(_xlfn.FILTERXML("&lt;t&gt;&lt;s&gt;" &amp; SUBSTITUTE(T599,",","&lt;/s&gt;&lt;s&gt;") &amp; "&lt;/s&gt;&lt;/t&gt;", "//s"),Writers!$A$3:$A$999,Writers!$B$3:$B$999,""))</f>
        <v>Barbara Clegg</v>
      </c>
      <c r="V599" s="3"/>
      <c r="W599" s="3" t="str">
        <f>IF(V599="","",_xlfn.XLOOKUP(V599,Writers!$A$3:$A$999,Writers!$B$3:$B$999,""))</f>
        <v/>
      </c>
      <c r="X599" s="3">
        <v>7.2</v>
      </c>
      <c r="Y599" s="3"/>
      <c r="Z599" s="3"/>
      <c r="AA599" s="3">
        <f t="shared" si="27"/>
        <v>8.73</v>
      </c>
      <c r="AB599" s="3" t="str">
        <f t="shared" si="28"/>
        <v/>
      </c>
      <c r="AC599" s="3" t="str">
        <f t="shared" si="29"/>
        <v/>
      </c>
      <c r="AD599" s="3">
        <f>VLOOKUP(YEAR(Q599),Populations!$A$3:$B$999,2,0)</f>
        <v>56315700</v>
      </c>
      <c r="AE599" s="3">
        <f>(Calculations!B1/AD599)</f>
        <v>1.2128932429145001</v>
      </c>
      <c r="AF599" s="3"/>
      <c r="AG599" s="3">
        <v>1</v>
      </c>
      <c r="AH599" s="3" t="str">
        <f>VLOOKUP(AG599,WikiFormats!$A$3:$B$999,2,0)</f>
        <v>Story</v>
      </c>
      <c r="AI599" s="3" t="s">
        <v>712</v>
      </c>
    </row>
    <row r="600" spans="1:35" s="8" customFormat="1" x14ac:dyDescent="0.55000000000000004">
      <c r="A600" s="3">
        <v>598</v>
      </c>
      <c r="B600" s="3">
        <v>1</v>
      </c>
      <c r="C600" s="3" t="str">
        <f>VLOOKUP(B600,Eras!$A$3:$B$999,2,0)</f>
        <v>Classic</v>
      </c>
      <c r="D600" s="3">
        <v>1</v>
      </c>
      <c r="E600" s="3" t="str">
        <f>VLOOKUP(D600,EpisodeFormats!$A$3:$B$999,2,0)</f>
        <v>Series</v>
      </c>
      <c r="F600" s="3">
        <v>5</v>
      </c>
      <c r="G600" s="3" t="str">
        <f>VLOOKUP(F600,Doctors!$A$3:$B$999,2,0)</f>
        <v>Peter Davison</v>
      </c>
      <c r="H600" s="3">
        <v>20</v>
      </c>
      <c r="I600" s="3">
        <v>1</v>
      </c>
      <c r="J600" s="3" t="str">
        <f>VLOOKUP(I600,SeasonFormats!$A$3:$B$999,2,0)</f>
        <v>Season</v>
      </c>
      <c r="K600" s="3">
        <v>127</v>
      </c>
      <c r="L600" s="3">
        <v>5</v>
      </c>
      <c r="M600" s="3" t="s">
        <v>485</v>
      </c>
      <c r="N600" s="3">
        <v>3</v>
      </c>
      <c r="O600" s="3" t="s">
        <v>11</v>
      </c>
      <c r="P600" s="3">
        <v>19</v>
      </c>
      <c r="Q600" s="7" t="d">
        <v>1983-03-08</v>
      </c>
      <c r="R600" s="3">
        <v>25</v>
      </c>
      <c r="S600" s="3"/>
      <c r="T600" s="4" t="s">
        <v>1090</v>
      </c>
      <c r="U600" s="3" t="str" cm="1">
        <f t="array" ref="U600">_xlfn.TEXTJOIN(",",TRUE,_xlfn.XLOOKUP(_xlfn.FILTERXML("&lt;t&gt;&lt;s&gt;" &amp; SUBSTITUTE(T600,",","&lt;/s&gt;&lt;s&gt;") &amp; "&lt;/s&gt;&lt;/t&gt;", "//s"),Writers!$A$3:$A$999,Writers!$B$3:$B$999,""))</f>
        <v>Barbara Clegg</v>
      </c>
      <c r="V600" s="3"/>
      <c r="W600" s="3" t="str">
        <f>IF(V600="","",_xlfn.XLOOKUP(V600,Writers!$A$3:$A$999,Writers!$B$3:$B$999,""))</f>
        <v/>
      </c>
      <c r="X600" s="3">
        <v>6.2</v>
      </c>
      <c r="Y600" s="3"/>
      <c r="Z600" s="3"/>
      <c r="AA600" s="3">
        <f t="shared" si="27"/>
        <v>7.52</v>
      </c>
      <c r="AB600" s="3" t="str">
        <f t="shared" si="28"/>
        <v/>
      </c>
      <c r="AC600" s="3" t="str">
        <f t="shared" si="29"/>
        <v/>
      </c>
      <c r="AD600" s="3">
        <f>VLOOKUP(YEAR(Q600),Populations!$A$3:$B$999,2,0)</f>
        <v>56315700</v>
      </c>
      <c r="AE600" s="3">
        <f>(Calculations!B1/AD600)</f>
        <v>1.2128932429145001</v>
      </c>
      <c r="AF600" s="3"/>
      <c r="AG600" s="3">
        <v>1</v>
      </c>
      <c r="AH600" s="3" t="str">
        <f>VLOOKUP(AG600,WikiFormats!$A$3:$B$999,2,0)</f>
        <v>Story</v>
      </c>
      <c r="AI600" s="3" t="s">
        <v>712</v>
      </c>
    </row>
    <row r="601" spans="1:35" s="8" customFormat="1" x14ac:dyDescent="0.55000000000000004">
      <c r="A601" s="3">
        <v>599</v>
      </c>
      <c r="B601" s="3">
        <v>1</v>
      </c>
      <c r="C601" s="3" t="str">
        <f>VLOOKUP(B601,Eras!$A$3:$B$999,2,0)</f>
        <v>Classic</v>
      </c>
      <c r="D601" s="3">
        <v>1</v>
      </c>
      <c r="E601" s="3" t="str">
        <f>VLOOKUP(D601,EpisodeFormats!$A$3:$B$999,2,0)</f>
        <v>Series</v>
      </c>
      <c r="F601" s="3">
        <v>5</v>
      </c>
      <c r="G601" s="3" t="str">
        <f>VLOOKUP(F601,Doctors!$A$3:$B$999,2,0)</f>
        <v>Peter Davison</v>
      </c>
      <c r="H601" s="3">
        <v>20</v>
      </c>
      <c r="I601" s="3">
        <v>1</v>
      </c>
      <c r="J601" s="3" t="str">
        <f>VLOOKUP(I601,SeasonFormats!$A$3:$B$999,2,0)</f>
        <v>Season</v>
      </c>
      <c r="K601" s="3">
        <v>127</v>
      </c>
      <c r="L601" s="3">
        <v>5</v>
      </c>
      <c r="M601" s="3" t="s">
        <v>485</v>
      </c>
      <c r="N601" s="3">
        <v>4</v>
      </c>
      <c r="O601" s="3" t="s">
        <v>12</v>
      </c>
      <c r="P601" s="3">
        <v>20</v>
      </c>
      <c r="Q601" s="7" t="d">
        <v>1983-03-09</v>
      </c>
      <c r="R601" s="3">
        <v>25</v>
      </c>
      <c r="S601" s="3"/>
      <c r="T601" s="4" t="s">
        <v>1090</v>
      </c>
      <c r="U601" s="3" t="str" cm="1">
        <f t="array" ref="U601">_xlfn.TEXTJOIN(",",TRUE,_xlfn.XLOOKUP(_xlfn.FILTERXML("&lt;t&gt;&lt;s&gt;" &amp; SUBSTITUTE(T601,",","&lt;/s&gt;&lt;s&gt;") &amp; "&lt;/s&gt;&lt;/t&gt;", "//s"),Writers!$A$3:$A$999,Writers!$B$3:$B$999,""))</f>
        <v>Barbara Clegg</v>
      </c>
      <c r="V601" s="3"/>
      <c r="W601" s="3" t="str">
        <f>IF(V601="","",_xlfn.XLOOKUP(V601,Writers!$A$3:$A$999,Writers!$B$3:$B$999,""))</f>
        <v/>
      </c>
      <c r="X601" s="3">
        <v>7.3</v>
      </c>
      <c r="Y601" s="3"/>
      <c r="Z601" s="3"/>
      <c r="AA601" s="3">
        <f t="shared" si="27"/>
        <v>8.85</v>
      </c>
      <c r="AB601" s="3" t="str">
        <f t="shared" si="28"/>
        <v/>
      </c>
      <c r="AC601" s="3" t="str">
        <f t="shared" si="29"/>
        <v/>
      </c>
      <c r="AD601" s="3">
        <f>VLOOKUP(YEAR(Q601),Populations!$A$3:$B$999,2,0)</f>
        <v>56315700</v>
      </c>
      <c r="AE601" s="3">
        <f>(Calculations!B1/AD601)</f>
        <v>1.2128932429145001</v>
      </c>
      <c r="AF601" s="3"/>
      <c r="AG601" s="3">
        <v>1</v>
      </c>
      <c r="AH601" s="3" t="str">
        <f>VLOOKUP(AG601,WikiFormats!$A$3:$B$999,2,0)</f>
        <v>Story</v>
      </c>
      <c r="AI601" s="3" t="s">
        <v>712</v>
      </c>
    </row>
    <row r="602" spans="1:35" s="2" customFormat="1" x14ac:dyDescent="0.55000000000000004">
      <c r="A602">
        <v>600</v>
      </c>
      <c r="B602">
        <v>1</v>
      </c>
      <c r="C602" t="str">
        <f>VLOOKUP(B602,Eras!$A$3:$B$999,2,0)</f>
        <v>Classic</v>
      </c>
      <c r="D602">
        <v>1</v>
      </c>
      <c r="E602" t="str">
        <f>VLOOKUP(D602,EpisodeFormats!$A$3:$B$999,2,0)</f>
        <v>Series</v>
      </c>
      <c r="F602">
        <v>5</v>
      </c>
      <c r="G602" t="str">
        <f>VLOOKUP(F602,Doctors!$A$3:$B$999,2,0)</f>
        <v>Peter Davison</v>
      </c>
      <c r="H602">
        <v>20</v>
      </c>
      <c r="I602">
        <v>1</v>
      </c>
      <c r="J602" t="str">
        <f>VLOOKUP(I602,SeasonFormats!$A$3:$B$999,2,0)</f>
        <v>Season</v>
      </c>
      <c r="K602">
        <v>128</v>
      </c>
      <c r="L602">
        <v>6</v>
      </c>
      <c r="M602" t="s">
        <v>486</v>
      </c>
      <c r="N602">
        <v>1</v>
      </c>
      <c r="O602" t="s">
        <v>9</v>
      </c>
      <c r="P602">
        <v>21</v>
      </c>
      <c r="Q602" s="6" t="d">
        <v>1983-03-15</v>
      </c>
      <c r="R602">
        <v>25</v>
      </c>
      <c r="S602"/>
      <c r="T602" s="15" t="s">
        <v>1107</v>
      </c>
      <c r="U602" t="str" cm="1">
        <f t="array" ref="U602">_xlfn.TEXTJOIN(",",TRUE,_xlfn.XLOOKUP(_xlfn.FILTERXML("&lt;t&gt;&lt;s&gt;" &amp; SUBSTITUTE(T602,",","&lt;/s&gt;&lt;s&gt;") &amp; "&lt;/s&gt;&lt;/t&gt;", "//s"),Writers!$A$3:$A$999,Writers!$B$3:$B$999,""))</f>
        <v>Terence Dudley</v>
      </c>
      <c r="V602"/>
      <c r="W602" t="str">
        <f>IF(V602="","",_xlfn.XLOOKUP(V602,Writers!$A$3:$A$999,Writers!$B$3:$B$999,""))</f>
        <v/>
      </c>
      <c r="X602">
        <v>5.8</v>
      </c>
      <c r="Y602"/>
      <c r="Z602"/>
      <c r="AA602">
        <f t="shared" si="27"/>
        <v>7.03</v>
      </c>
      <c r="AB602" t="str">
        <f t="shared" si="28"/>
        <v/>
      </c>
      <c r="AC602" t="str">
        <f t="shared" si="29"/>
        <v/>
      </c>
      <c r="AD602">
        <f>VLOOKUP(YEAR(Q602),Populations!$A$3:$B$999,2,0)</f>
        <v>56315700</v>
      </c>
      <c r="AE602">
        <f>(Calculations!B1/AD602)</f>
        <v>1.2128932429145001</v>
      </c>
      <c r="AF602"/>
      <c r="AG602">
        <v>1</v>
      </c>
      <c r="AH602" t="str">
        <f>VLOOKUP(AG602,WikiFormats!$A$3:$B$999,2,0)</f>
        <v>Story</v>
      </c>
      <c r="AI602" t="s">
        <v>713</v>
      </c>
    </row>
    <row r="603" spans="1:35" s="2" customFormat="1" x14ac:dyDescent="0.55000000000000004">
      <c r="A603">
        <v>601</v>
      </c>
      <c r="B603">
        <v>1</v>
      </c>
      <c r="C603" t="str">
        <f>VLOOKUP(B603,Eras!$A$3:$B$999,2,0)</f>
        <v>Classic</v>
      </c>
      <c r="D603">
        <v>1</v>
      </c>
      <c r="E603" t="str">
        <f>VLOOKUP(D603,EpisodeFormats!$A$3:$B$999,2,0)</f>
        <v>Series</v>
      </c>
      <c r="F603">
        <v>5</v>
      </c>
      <c r="G603" t="str">
        <f>VLOOKUP(F603,Doctors!$A$3:$B$999,2,0)</f>
        <v>Peter Davison</v>
      </c>
      <c r="H603">
        <v>20</v>
      </c>
      <c r="I603">
        <v>1</v>
      </c>
      <c r="J603" t="str">
        <f>VLOOKUP(I603,SeasonFormats!$A$3:$B$999,2,0)</f>
        <v>Season</v>
      </c>
      <c r="K603">
        <v>128</v>
      </c>
      <c r="L603">
        <v>6</v>
      </c>
      <c r="M603" t="s">
        <v>486</v>
      </c>
      <c r="N603">
        <v>2</v>
      </c>
      <c r="O603" t="s">
        <v>10</v>
      </c>
      <c r="P603">
        <v>22</v>
      </c>
      <c r="Q603" s="6" t="d">
        <v>1983-03-16</v>
      </c>
      <c r="R603">
        <v>25</v>
      </c>
      <c r="S603"/>
      <c r="T603" s="15" t="s">
        <v>1107</v>
      </c>
      <c r="U603" t="str" cm="1">
        <f t="array" ref="U603">_xlfn.TEXTJOIN(",",TRUE,_xlfn.XLOOKUP(_xlfn.FILTERXML("&lt;t&gt;&lt;s&gt;" &amp; SUBSTITUTE(T603,",","&lt;/s&gt;&lt;s&gt;") &amp; "&lt;/s&gt;&lt;/t&gt;", "//s"),Writers!$A$3:$A$999,Writers!$B$3:$B$999,""))</f>
        <v>Terence Dudley</v>
      </c>
      <c r="V603"/>
      <c r="W603" t="str">
        <f>IF(V603="","",_xlfn.XLOOKUP(V603,Writers!$A$3:$A$999,Writers!$B$3:$B$999,""))</f>
        <v/>
      </c>
      <c r="X603">
        <v>7.2</v>
      </c>
      <c r="Y603"/>
      <c r="Z603"/>
      <c r="AA603">
        <f t="shared" si="27"/>
        <v>8.73</v>
      </c>
      <c r="AB603" t="str">
        <f t="shared" si="28"/>
        <v/>
      </c>
      <c r="AC603" t="str">
        <f t="shared" si="29"/>
        <v/>
      </c>
      <c r="AD603">
        <f>VLOOKUP(YEAR(Q603),Populations!$A$3:$B$999,2,0)</f>
        <v>56315700</v>
      </c>
      <c r="AE603">
        <f>(Calculations!B1/AD603)</f>
        <v>1.2128932429145001</v>
      </c>
      <c r="AF603"/>
      <c r="AG603">
        <v>1</v>
      </c>
      <c r="AH603" t="str">
        <f>VLOOKUP(AG603,WikiFormats!$A$3:$B$999,2,0)</f>
        <v>Story</v>
      </c>
      <c r="AI603" t="s">
        <v>713</v>
      </c>
    </row>
    <row r="604" spans="1:35" s="8" customFormat="1" x14ac:dyDescent="0.55000000000000004">
      <c r="A604" s="3">
        <v>602</v>
      </c>
      <c r="B604" s="3">
        <v>1</v>
      </c>
      <c r="C604" s="3" t="str">
        <f>VLOOKUP(B604,Eras!$A$3:$B$999,2,0)</f>
        <v>Classic</v>
      </c>
      <c r="D604" s="3">
        <v>2</v>
      </c>
      <c r="E604" s="3" t="str">
        <f>VLOOKUP(D604,EpisodeFormats!$A$3:$B$999,2,0)</f>
        <v>Special</v>
      </c>
      <c r="F604" s="3">
        <v>5</v>
      </c>
      <c r="G604" s="3" t="str">
        <f>VLOOKUP(F604,Doctors!$A$3:$B$999,2,0)</f>
        <v>Peter Davison</v>
      </c>
      <c r="H604" s="3"/>
      <c r="I604" s="3">
        <v>4</v>
      </c>
      <c r="J604" s="3" t="str">
        <f>VLOOKUP(I604,SeasonFormats!$A$3:$B$999,2,0)</f>
        <v>Special</v>
      </c>
      <c r="K604" s="3">
        <v>129</v>
      </c>
      <c r="L604" s="3"/>
      <c r="M604" s="3" t="s">
        <v>487</v>
      </c>
      <c r="N604" s="3">
        <v>1</v>
      </c>
      <c r="O604" s="3"/>
      <c r="P604" s="3"/>
      <c r="Q604" s="7" t="d">
        <v>1983-11-25</v>
      </c>
      <c r="R604" s="3">
        <v>90</v>
      </c>
      <c r="S604" s="3"/>
      <c r="T604" s="4" t="s">
        <v>1105</v>
      </c>
      <c r="U604" s="3" t="str" cm="1">
        <f t="array" ref="U604">_xlfn.TEXTJOIN(",",TRUE,_xlfn.XLOOKUP(_xlfn.FILTERXML("&lt;t&gt;&lt;s&gt;" &amp; SUBSTITUTE(T604,",","&lt;/s&gt;&lt;s&gt;") &amp; "&lt;/s&gt;&lt;/t&gt;", "//s"),Writers!$A$3:$A$999,Writers!$B$3:$B$999,""))</f>
        <v>Terrance Dicks</v>
      </c>
      <c r="V604" s="3"/>
      <c r="W604" s="3" t="str">
        <f>IF(V604="","",_xlfn.XLOOKUP(V604,Writers!$A$3:$A$999,Writers!$B$3:$B$999,""))</f>
        <v/>
      </c>
      <c r="X604" s="3">
        <v>7.7</v>
      </c>
      <c r="Y604" s="3"/>
      <c r="Z604" s="3"/>
      <c r="AA604" s="3">
        <f t="shared" si="27"/>
        <v>9.34</v>
      </c>
      <c r="AB604" s="3" t="str">
        <f t="shared" si="28"/>
        <v/>
      </c>
      <c r="AC604" s="3" t="str">
        <f t="shared" si="29"/>
        <v/>
      </c>
      <c r="AD604" s="3">
        <f>VLOOKUP(YEAR(Q604),Populations!$A$3:$B$999,2,0)</f>
        <v>56315700</v>
      </c>
      <c r="AE604" s="3">
        <f>(Calculations!B1/AD604)</f>
        <v>1.2128932429145001</v>
      </c>
      <c r="AF604" s="3"/>
      <c r="AG604" s="3">
        <v>2</v>
      </c>
      <c r="AH604" s="3" t="str">
        <f>VLOOKUP(AG604,WikiFormats!$A$3:$B$999,2,0)</f>
        <v>Episode</v>
      </c>
      <c r="AI604" s="3" t="s">
        <v>714</v>
      </c>
    </row>
    <row r="605" spans="1:35" s="2" customFormat="1" x14ac:dyDescent="0.55000000000000004">
      <c r="A605">
        <v>603</v>
      </c>
      <c r="B605">
        <v>1</v>
      </c>
      <c r="C605" t="str">
        <f>VLOOKUP(B605,Eras!$A$3:$B$999,2,0)</f>
        <v>Classic</v>
      </c>
      <c r="D605">
        <v>1</v>
      </c>
      <c r="E605" t="str">
        <f>VLOOKUP(D605,EpisodeFormats!$A$3:$B$999,2,0)</f>
        <v>Series</v>
      </c>
      <c r="F605">
        <v>5</v>
      </c>
      <c r="G605" t="str">
        <f>VLOOKUP(F605,Doctors!$A$3:$B$999,2,0)</f>
        <v>Peter Davison</v>
      </c>
      <c r="H605">
        <v>21</v>
      </c>
      <c r="I605">
        <v>1</v>
      </c>
      <c r="J605" t="str">
        <f>VLOOKUP(I605,SeasonFormats!$A$3:$B$999,2,0)</f>
        <v>Season</v>
      </c>
      <c r="K605">
        <v>130</v>
      </c>
      <c r="L605">
        <v>1</v>
      </c>
      <c r="M605" t="s">
        <v>488</v>
      </c>
      <c r="N605">
        <v>1</v>
      </c>
      <c r="O605" t="s">
        <v>9</v>
      </c>
      <c r="P605">
        <v>1</v>
      </c>
      <c r="Q605" s="6" t="d">
        <v>1984-01-05</v>
      </c>
      <c r="R605">
        <v>25</v>
      </c>
      <c r="S605"/>
      <c r="T605" s="15" t="s">
        <v>1083</v>
      </c>
      <c r="U605" t="str" cm="1">
        <f t="array" ref="U605">_xlfn.TEXTJOIN(",",TRUE,_xlfn.XLOOKUP(_xlfn.FILTERXML("&lt;t&gt;&lt;s&gt;" &amp; SUBSTITUTE(T605,",","&lt;/s&gt;&lt;s&gt;") &amp; "&lt;/s&gt;&lt;/t&gt;", "//s"),Writers!$A$3:$A$999,Writers!$B$3:$B$999,""))</f>
        <v>Johnny Byrne</v>
      </c>
      <c r="V605"/>
      <c r="W605" t="str">
        <f>IF(V605="","",_xlfn.XLOOKUP(V605,Writers!$A$3:$A$999,Writers!$B$3:$B$999,""))</f>
        <v/>
      </c>
      <c r="X605">
        <v>7.6</v>
      </c>
      <c r="Y605"/>
      <c r="Z605"/>
      <c r="AA605">
        <f t="shared" si="27"/>
        <v>9.1999999999999993</v>
      </c>
      <c r="AB605" t="str">
        <f t="shared" si="28"/>
        <v/>
      </c>
      <c r="AC605" t="str">
        <f t="shared" si="29"/>
        <v/>
      </c>
      <c r="AD605">
        <f>VLOOKUP(YEAR(Q605),Populations!$A$3:$B$999,2,0)</f>
        <v>56409300</v>
      </c>
      <c r="AE605">
        <f>(Calculations!B1/AD605)</f>
        <v>1.2108806881134799</v>
      </c>
      <c r="AF605"/>
      <c r="AG605">
        <v>1</v>
      </c>
      <c r="AH605" t="str">
        <f>VLOOKUP(AG605,WikiFormats!$A$3:$B$999,2,0)</f>
        <v>Story</v>
      </c>
      <c r="AI605" t="s">
        <v>715</v>
      </c>
    </row>
    <row r="606" spans="1:35" s="2" customFormat="1" x14ac:dyDescent="0.55000000000000004">
      <c r="A606">
        <v>604</v>
      </c>
      <c r="B606">
        <v>1</v>
      </c>
      <c r="C606" t="str">
        <f>VLOOKUP(B606,Eras!$A$3:$B$999,2,0)</f>
        <v>Classic</v>
      </c>
      <c r="D606">
        <v>1</v>
      </c>
      <c r="E606" t="str">
        <f>VLOOKUP(D606,EpisodeFormats!$A$3:$B$999,2,0)</f>
        <v>Series</v>
      </c>
      <c r="F606">
        <v>5</v>
      </c>
      <c r="G606" t="str">
        <f>VLOOKUP(F606,Doctors!$A$3:$B$999,2,0)</f>
        <v>Peter Davison</v>
      </c>
      <c r="H606">
        <v>21</v>
      </c>
      <c r="I606">
        <v>1</v>
      </c>
      <c r="J606" t="str">
        <f>VLOOKUP(I606,SeasonFormats!$A$3:$B$999,2,0)</f>
        <v>Season</v>
      </c>
      <c r="K606">
        <v>130</v>
      </c>
      <c r="L606">
        <v>1</v>
      </c>
      <c r="M606" t="s">
        <v>488</v>
      </c>
      <c r="N606">
        <v>2</v>
      </c>
      <c r="O606" t="s">
        <v>10</v>
      </c>
      <c r="P606">
        <v>2</v>
      </c>
      <c r="Q606" s="6" t="d">
        <v>1984-01-06</v>
      </c>
      <c r="R606">
        <v>24</v>
      </c>
      <c r="S606"/>
      <c r="T606" s="15" t="s">
        <v>1083</v>
      </c>
      <c r="U606" t="str" cm="1">
        <f t="array" ref="U606">_xlfn.TEXTJOIN(",",TRUE,_xlfn.XLOOKUP(_xlfn.FILTERXML("&lt;t&gt;&lt;s&gt;" &amp; SUBSTITUTE(T606,",","&lt;/s&gt;&lt;s&gt;") &amp; "&lt;/s&gt;&lt;/t&gt;", "//s"),Writers!$A$3:$A$999,Writers!$B$3:$B$999,""))</f>
        <v>Johnny Byrne</v>
      </c>
      <c r="V606"/>
      <c r="W606" t="str">
        <f>IF(V606="","",_xlfn.XLOOKUP(V606,Writers!$A$3:$A$999,Writers!$B$3:$B$999,""))</f>
        <v/>
      </c>
      <c r="X606">
        <v>7.5</v>
      </c>
      <c r="Y606"/>
      <c r="Z606"/>
      <c r="AA606">
        <f t="shared" si="27"/>
        <v>9.08</v>
      </c>
      <c r="AB606" t="str">
        <f t="shared" si="28"/>
        <v/>
      </c>
      <c r="AC606" t="str">
        <f t="shared" si="29"/>
        <v/>
      </c>
      <c r="AD606">
        <f>VLOOKUP(YEAR(Q606),Populations!$A$3:$B$999,2,0)</f>
        <v>56409300</v>
      </c>
      <c r="AE606">
        <f>(Calculations!B1/AD606)</f>
        <v>1.2108806881134799</v>
      </c>
      <c r="AF606"/>
      <c r="AG606">
        <v>1</v>
      </c>
      <c r="AH606" t="str">
        <f>VLOOKUP(AG606,WikiFormats!$A$3:$B$999,2,0)</f>
        <v>Story</v>
      </c>
      <c r="AI606" t="s">
        <v>715</v>
      </c>
    </row>
    <row r="607" spans="1:35" s="2" customFormat="1" x14ac:dyDescent="0.55000000000000004">
      <c r="A607">
        <v>605</v>
      </c>
      <c r="B607">
        <v>1</v>
      </c>
      <c r="C607" t="str">
        <f>VLOOKUP(B607,Eras!$A$3:$B$999,2,0)</f>
        <v>Classic</v>
      </c>
      <c r="D607">
        <v>1</v>
      </c>
      <c r="E607" t="str">
        <f>VLOOKUP(D607,EpisodeFormats!$A$3:$B$999,2,0)</f>
        <v>Series</v>
      </c>
      <c r="F607">
        <v>5</v>
      </c>
      <c r="G607" t="str">
        <f>VLOOKUP(F607,Doctors!$A$3:$B$999,2,0)</f>
        <v>Peter Davison</v>
      </c>
      <c r="H607">
        <v>21</v>
      </c>
      <c r="I607">
        <v>1</v>
      </c>
      <c r="J607" t="str">
        <f>VLOOKUP(I607,SeasonFormats!$A$3:$B$999,2,0)</f>
        <v>Season</v>
      </c>
      <c r="K607">
        <v>130</v>
      </c>
      <c r="L607">
        <v>1</v>
      </c>
      <c r="M607" t="s">
        <v>488</v>
      </c>
      <c r="N607">
        <v>3</v>
      </c>
      <c r="O607" t="s">
        <v>11</v>
      </c>
      <c r="P607">
        <v>3</v>
      </c>
      <c r="Q607" s="6" t="d">
        <v>1984-01-12</v>
      </c>
      <c r="R607">
        <v>24</v>
      </c>
      <c r="S607"/>
      <c r="T607" s="15" t="s">
        <v>1083</v>
      </c>
      <c r="U607" t="str" cm="1">
        <f t="array" ref="U607">_xlfn.TEXTJOIN(",",TRUE,_xlfn.XLOOKUP(_xlfn.FILTERXML("&lt;t&gt;&lt;s&gt;" &amp; SUBSTITUTE(T607,",","&lt;/s&gt;&lt;s&gt;") &amp; "&lt;/s&gt;&lt;/t&gt;", "//s"),Writers!$A$3:$A$999,Writers!$B$3:$B$999,""))</f>
        <v>Johnny Byrne</v>
      </c>
      <c r="V607"/>
      <c r="W607" t="str">
        <f>IF(V607="","",_xlfn.XLOOKUP(V607,Writers!$A$3:$A$999,Writers!$B$3:$B$999,""))</f>
        <v/>
      </c>
      <c r="X607">
        <v>7.3</v>
      </c>
      <c r="Y607"/>
      <c r="Z607"/>
      <c r="AA607">
        <f t="shared" si="27"/>
        <v>8.84</v>
      </c>
      <c r="AB607" t="str">
        <f t="shared" si="28"/>
        <v/>
      </c>
      <c r="AC607" t="str">
        <f t="shared" si="29"/>
        <v/>
      </c>
      <c r="AD607">
        <f>VLOOKUP(YEAR(Q607),Populations!$A$3:$B$999,2,0)</f>
        <v>56409300</v>
      </c>
      <c r="AE607">
        <f>(Calculations!B1/AD607)</f>
        <v>1.2108806881134799</v>
      </c>
      <c r="AF607"/>
      <c r="AG607">
        <v>1</v>
      </c>
      <c r="AH607" t="str">
        <f>VLOOKUP(AG607,WikiFormats!$A$3:$B$999,2,0)</f>
        <v>Story</v>
      </c>
      <c r="AI607" t="s">
        <v>715</v>
      </c>
    </row>
    <row r="608" spans="1:35" s="2" customFormat="1" x14ac:dyDescent="0.55000000000000004">
      <c r="A608">
        <v>606</v>
      </c>
      <c r="B608">
        <v>1</v>
      </c>
      <c r="C608" t="str">
        <f>VLOOKUP(B608,Eras!$A$3:$B$999,2,0)</f>
        <v>Classic</v>
      </c>
      <c r="D608">
        <v>1</v>
      </c>
      <c r="E608" t="str">
        <f>VLOOKUP(D608,EpisodeFormats!$A$3:$B$999,2,0)</f>
        <v>Series</v>
      </c>
      <c r="F608">
        <v>5</v>
      </c>
      <c r="G608" t="str">
        <f>VLOOKUP(F608,Doctors!$A$3:$B$999,2,0)</f>
        <v>Peter Davison</v>
      </c>
      <c r="H608">
        <v>21</v>
      </c>
      <c r="I608">
        <v>1</v>
      </c>
      <c r="J608" t="str">
        <f>VLOOKUP(I608,SeasonFormats!$A$3:$B$999,2,0)</f>
        <v>Season</v>
      </c>
      <c r="K608">
        <v>130</v>
      </c>
      <c r="L608">
        <v>1</v>
      </c>
      <c r="M608" t="s">
        <v>488</v>
      </c>
      <c r="N608">
        <v>4</v>
      </c>
      <c r="O608" t="s">
        <v>12</v>
      </c>
      <c r="P608">
        <v>4</v>
      </c>
      <c r="Q608" s="6" t="d">
        <v>1984-01-13</v>
      </c>
      <c r="R608">
        <v>24</v>
      </c>
      <c r="S608"/>
      <c r="T608" s="15" t="s">
        <v>1083</v>
      </c>
      <c r="U608" t="str" cm="1">
        <f t="array" ref="U608">_xlfn.TEXTJOIN(",",TRUE,_xlfn.XLOOKUP(_xlfn.FILTERXML("&lt;t&gt;&lt;s&gt;" &amp; SUBSTITUTE(T608,",","&lt;/s&gt;&lt;s&gt;") &amp; "&lt;/s&gt;&lt;/t&gt;", "//s"),Writers!$A$3:$A$999,Writers!$B$3:$B$999,""))</f>
        <v>Johnny Byrne</v>
      </c>
      <c r="V608"/>
      <c r="W608" t="str">
        <f>IF(V608="","",_xlfn.XLOOKUP(V608,Writers!$A$3:$A$999,Writers!$B$3:$B$999,""))</f>
        <v/>
      </c>
      <c r="X608">
        <v>6.6</v>
      </c>
      <c r="Y608"/>
      <c r="Z608"/>
      <c r="AA608">
        <f t="shared" si="27"/>
        <v>7.99</v>
      </c>
      <c r="AB608" t="str">
        <f t="shared" si="28"/>
        <v/>
      </c>
      <c r="AC608" t="str">
        <f t="shared" si="29"/>
        <v/>
      </c>
      <c r="AD608">
        <f>VLOOKUP(YEAR(Q608),Populations!$A$3:$B$999,2,0)</f>
        <v>56409300</v>
      </c>
      <c r="AE608">
        <f>(Calculations!B1/AD608)</f>
        <v>1.2108806881134799</v>
      </c>
      <c r="AF608"/>
      <c r="AG608">
        <v>1</v>
      </c>
      <c r="AH608" t="str">
        <f>VLOOKUP(AG608,WikiFormats!$A$3:$B$999,2,0)</f>
        <v>Story</v>
      </c>
      <c r="AI608" t="s">
        <v>715</v>
      </c>
    </row>
    <row r="609" spans="1:35" s="8" customFormat="1" x14ac:dyDescent="0.55000000000000004">
      <c r="A609" s="3">
        <v>607</v>
      </c>
      <c r="B609" s="3">
        <v>1</v>
      </c>
      <c r="C609" s="3" t="str">
        <f>VLOOKUP(B609,Eras!$A$3:$B$999,2,0)</f>
        <v>Classic</v>
      </c>
      <c r="D609" s="3">
        <v>1</v>
      </c>
      <c r="E609" s="3" t="str">
        <f>VLOOKUP(D609,EpisodeFormats!$A$3:$B$999,2,0)</f>
        <v>Series</v>
      </c>
      <c r="F609" s="3">
        <v>5</v>
      </c>
      <c r="G609" s="3" t="str">
        <f>VLOOKUP(F609,Doctors!$A$3:$B$999,2,0)</f>
        <v>Peter Davison</v>
      </c>
      <c r="H609" s="3">
        <v>21</v>
      </c>
      <c r="I609" s="3">
        <v>1</v>
      </c>
      <c r="J609" s="3" t="str">
        <f>VLOOKUP(I609,SeasonFormats!$A$3:$B$999,2,0)</f>
        <v>Season</v>
      </c>
      <c r="K609" s="3">
        <v>131</v>
      </c>
      <c r="L609" s="3">
        <v>2</v>
      </c>
      <c r="M609" s="3" t="s">
        <v>489</v>
      </c>
      <c r="N609" s="3">
        <v>1</v>
      </c>
      <c r="O609" s="3" t="s">
        <v>9</v>
      </c>
      <c r="P609" s="3">
        <v>5</v>
      </c>
      <c r="Q609" s="7" t="d">
        <v>1984-01-19</v>
      </c>
      <c r="R609" s="3">
        <v>25</v>
      </c>
      <c r="S609" s="3"/>
      <c r="T609" s="4" t="s">
        <v>1146</v>
      </c>
      <c r="U609" s="3" t="str" cm="1">
        <f t="array" ref="U609">_xlfn.TEXTJOIN(",",TRUE,_xlfn.XLOOKUP(_xlfn.FILTERXML("&lt;t&gt;&lt;s&gt;" &amp; SUBSTITUTE(T609,",","&lt;/s&gt;&lt;s&gt;") &amp; "&lt;/s&gt;&lt;/t&gt;", "//s"),Writers!$A$3:$A$999,Writers!$B$3:$B$999,""))</f>
        <v>Eric Pringle</v>
      </c>
      <c r="V609" s="3"/>
      <c r="W609" s="3" t="str">
        <f>IF(V609="","",_xlfn.XLOOKUP(V609,Writers!$A$3:$A$999,Writers!$B$3:$B$999,""))</f>
        <v/>
      </c>
      <c r="X609" s="3">
        <v>7.9</v>
      </c>
      <c r="Y609" s="3"/>
      <c r="Z609" s="3"/>
      <c r="AA609" s="3">
        <f t="shared" si="27"/>
        <v>9.57</v>
      </c>
      <c r="AB609" s="3" t="str">
        <f t="shared" si="28"/>
        <v/>
      </c>
      <c r="AC609" s="3" t="str">
        <f t="shared" si="29"/>
        <v/>
      </c>
      <c r="AD609" s="3">
        <f>VLOOKUP(YEAR(Q609),Populations!$A$3:$B$999,2,0)</f>
        <v>56409300</v>
      </c>
      <c r="AE609" s="3">
        <f>(Calculations!B1/AD609)</f>
        <v>1.2108806881134799</v>
      </c>
      <c r="AF609" s="3"/>
      <c r="AG609" s="3">
        <v>1</v>
      </c>
      <c r="AH609" s="3" t="str">
        <f>VLOOKUP(AG609,WikiFormats!$A$3:$B$999,2,0)</f>
        <v>Story</v>
      </c>
      <c r="AI609" s="3" t="s">
        <v>716</v>
      </c>
    </row>
    <row r="610" spans="1:35" s="8" customFormat="1" x14ac:dyDescent="0.55000000000000004">
      <c r="A610" s="3">
        <v>608</v>
      </c>
      <c r="B610" s="3">
        <v>1</v>
      </c>
      <c r="C610" s="3" t="str">
        <f>VLOOKUP(B610,Eras!$A$3:$B$999,2,0)</f>
        <v>Classic</v>
      </c>
      <c r="D610" s="3">
        <v>1</v>
      </c>
      <c r="E610" s="3" t="str">
        <f>VLOOKUP(D610,EpisodeFormats!$A$3:$B$999,2,0)</f>
        <v>Series</v>
      </c>
      <c r="F610" s="3">
        <v>5</v>
      </c>
      <c r="G610" s="3" t="str">
        <f>VLOOKUP(F610,Doctors!$A$3:$B$999,2,0)</f>
        <v>Peter Davison</v>
      </c>
      <c r="H610" s="3">
        <v>21</v>
      </c>
      <c r="I610" s="3">
        <v>1</v>
      </c>
      <c r="J610" s="3" t="str">
        <f>VLOOKUP(I610,SeasonFormats!$A$3:$B$999,2,0)</f>
        <v>Season</v>
      </c>
      <c r="K610" s="3">
        <v>131</v>
      </c>
      <c r="L610" s="3">
        <v>2</v>
      </c>
      <c r="M610" s="3" t="s">
        <v>489</v>
      </c>
      <c r="N610" s="3">
        <v>2</v>
      </c>
      <c r="O610" s="3" t="s">
        <v>10</v>
      </c>
      <c r="P610" s="3">
        <v>6</v>
      </c>
      <c r="Q610" s="7" t="d">
        <v>1984-01-20</v>
      </c>
      <c r="R610" s="3">
        <v>25</v>
      </c>
      <c r="S610" s="3"/>
      <c r="T610" s="4" t="s">
        <v>1146</v>
      </c>
      <c r="U610" s="3" t="str" cm="1">
        <f t="array" ref="U610">_xlfn.TEXTJOIN(",",TRUE,_xlfn.XLOOKUP(_xlfn.FILTERXML("&lt;t&gt;&lt;s&gt;" &amp; SUBSTITUTE(T610,",","&lt;/s&gt;&lt;s&gt;") &amp; "&lt;/s&gt;&lt;/t&gt;", "//s"),Writers!$A$3:$A$999,Writers!$B$3:$B$999,""))</f>
        <v>Eric Pringle</v>
      </c>
      <c r="V610" s="3"/>
      <c r="W610" s="3" t="str">
        <f>IF(V610="","",_xlfn.XLOOKUP(V610,Writers!$A$3:$A$999,Writers!$B$3:$B$999,""))</f>
        <v/>
      </c>
      <c r="X610" s="3">
        <v>6.6</v>
      </c>
      <c r="Y610" s="3"/>
      <c r="Z610" s="3"/>
      <c r="AA610" s="3">
        <f t="shared" si="27"/>
        <v>7.99</v>
      </c>
      <c r="AB610" s="3" t="str">
        <f t="shared" si="28"/>
        <v/>
      </c>
      <c r="AC610" s="3" t="str">
        <f t="shared" si="29"/>
        <v/>
      </c>
      <c r="AD610" s="3">
        <f>VLOOKUP(YEAR(Q610),Populations!$A$3:$B$999,2,0)</f>
        <v>56409300</v>
      </c>
      <c r="AE610" s="3">
        <f>(Calculations!B1/AD610)</f>
        <v>1.2108806881134799</v>
      </c>
      <c r="AF610" s="3"/>
      <c r="AG610" s="3">
        <v>1</v>
      </c>
      <c r="AH610" s="3" t="str">
        <f>VLOOKUP(AG610,WikiFormats!$A$3:$B$999,2,0)</f>
        <v>Story</v>
      </c>
      <c r="AI610" s="3" t="s">
        <v>716</v>
      </c>
    </row>
    <row r="611" spans="1:35" s="2" customFormat="1" x14ac:dyDescent="0.55000000000000004">
      <c r="A611">
        <v>609</v>
      </c>
      <c r="B611">
        <v>1</v>
      </c>
      <c r="C611" t="str">
        <f>VLOOKUP(B611,Eras!$A$3:$B$999,2,0)</f>
        <v>Classic</v>
      </c>
      <c r="D611">
        <v>1</v>
      </c>
      <c r="E611" t="str">
        <f>VLOOKUP(D611,EpisodeFormats!$A$3:$B$999,2,0)</f>
        <v>Series</v>
      </c>
      <c r="F611">
        <v>5</v>
      </c>
      <c r="G611" t="str">
        <f>VLOOKUP(F611,Doctors!$A$3:$B$999,2,0)</f>
        <v>Peter Davison</v>
      </c>
      <c r="H611">
        <v>21</v>
      </c>
      <c r="I611">
        <v>1</v>
      </c>
      <c r="J611" t="str">
        <f>VLOOKUP(I611,SeasonFormats!$A$3:$B$999,2,0)</f>
        <v>Season</v>
      </c>
      <c r="K611">
        <v>132</v>
      </c>
      <c r="L611">
        <v>3</v>
      </c>
      <c r="M611" t="s">
        <v>490</v>
      </c>
      <c r="N611">
        <v>1</v>
      </c>
      <c r="O611" t="s">
        <v>9</v>
      </c>
      <c r="P611">
        <v>7</v>
      </c>
      <c r="Q611" s="6" t="d">
        <v>1984-01-26</v>
      </c>
      <c r="R611">
        <v>25</v>
      </c>
      <c r="S611"/>
      <c r="T611" s="15" t="s">
        <v>1078</v>
      </c>
      <c r="U611" t="str" cm="1">
        <f t="array" ref="U611">_xlfn.TEXTJOIN(",",TRUE,_xlfn.XLOOKUP(_xlfn.FILTERXML("&lt;t&gt;&lt;s&gt;" &amp; SUBSTITUTE(T611,",","&lt;/s&gt;&lt;s&gt;") &amp; "&lt;/s&gt;&lt;/t&gt;", "//s"),Writers!$A$3:$A$999,Writers!$B$3:$B$999,""))</f>
        <v>Christopher H. Bidmead</v>
      </c>
      <c r="V611"/>
      <c r="W611" t="str">
        <f>IF(V611="","",_xlfn.XLOOKUP(V611,Writers!$A$3:$A$999,Writers!$B$3:$B$999,""))</f>
        <v/>
      </c>
      <c r="X611">
        <v>8</v>
      </c>
      <c r="Y611"/>
      <c r="Z611"/>
      <c r="AA611">
        <f t="shared" si="27"/>
        <v>9.69</v>
      </c>
      <c r="AB611" t="str">
        <f t="shared" si="28"/>
        <v/>
      </c>
      <c r="AC611" t="str">
        <f t="shared" si="29"/>
        <v/>
      </c>
      <c r="AD611">
        <f>VLOOKUP(YEAR(Q611),Populations!$A$3:$B$999,2,0)</f>
        <v>56409300</v>
      </c>
      <c r="AE611">
        <f>(Calculations!B1/AD611)</f>
        <v>1.2108806881134799</v>
      </c>
      <c r="AF611"/>
      <c r="AG611">
        <v>1</v>
      </c>
      <c r="AH611" t="str">
        <f>VLOOKUP(AG611,WikiFormats!$A$3:$B$999,2,0)</f>
        <v>Story</v>
      </c>
      <c r="AI611" t="s">
        <v>717</v>
      </c>
    </row>
    <row r="612" spans="1:35" s="2" customFormat="1" x14ac:dyDescent="0.55000000000000004">
      <c r="A612">
        <v>610</v>
      </c>
      <c r="B612">
        <v>1</v>
      </c>
      <c r="C612" t="str">
        <f>VLOOKUP(B612,Eras!$A$3:$B$999,2,0)</f>
        <v>Classic</v>
      </c>
      <c r="D612">
        <v>1</v>
      </c>
      <c r="E612" t="str">
        <f>VLOOKUP(D612,EpisodeFormats!$A$3:$B$999,2,0)</f>
        <v>Series</v>
      </c>
      <c r="F612">
        <v>5</v>
      </c>
      <c r="G612" t="str">
        <f>VLOOKUP(F612,Doctors!$A$3:$B$999,2,0)</f>
        <v>Peter Davison</v>
      </c>
      <c r="H612">
        <v>21</v>
      </c>
      <c r="I612">
        <v>1</v>
      </c>
      <c r="J612" t="str">
        <f>VLOOKUP(I612,SeasonFormats!$A$3:$B$999,2,0)</f>
        <v>Season</v>
      </c>
      <c r="K612">
        <v>132</v>
      </c>
      <c r="L612">
        <v>3</v>
      </c>
      <c r="M612" t="s">
        <v>490</v>
      </c>
      <c r="N612">
        <v>2</v>
      </c>
      <c r="O612" t="s">
        <v>10</v>
      </c>
      <c r="P612">
        <v>8</v>
      </c>
      <c r="Q612" s="6" t="d">
        <v>1984-01-27</v>
      </c>
      <c r="R612">
        <v>25</v>
      </c>
      <c r="S612"/>
      <c r="T612" s="15" t="s">
        <v>1078</v>
      </c>
      <c r="U612" t="str" cm="1">
        <f t="array" ref="U612">_xlfn.TEXTJOIN(",",TRUE,_xlfn.XLOOKUP(_xlfn.FILTERXML("&lt;t&gt;&lt;s&gt;" &amp; SUBSTITUTE(T612,",","&lt;/s&gt;&lt;s&gt;") &amp; "&lt;/s&gt;&lt;/t&gt;", "//s"),Writers!$A$3:$A$999,Writers!$B$3:$B$999,""))</f>
        <v>Christopher H. Bidmead</v>
      </c>
      <c r="V612"/>
      <c r="W612" t="str">
        <f>IF(V612="","",_xlfn.XLOOKUP(V612,Writers!$A$3:$A$999,Writers!$B$3:$B$999,""))</f>
        <v/>
      </c>
      <c r="X612">
        <v>5.8</v>
      </c>
      <c r="Y612"/>
      <c r="Z612"/>
      <c r="AA612">
        <f t="shared" si="27"/>
        <v>7.02</v>
      </c>
      <c r="AB612" t="str">
        <f t="shared" si="28"/>
        <v/>
      </c>
      <c r="AC612" t="str">
        <f t="shared" si="29"/>
        <v/>
      </c>
      <c r="AD612">
        <f>VLOOKUP(YEAR(Q612),Populations!$A$3:$B$999,2,0)</f>
        <v>56409300</v>
      </c>
      <c r="AE612">
        <f>(Calculations!B1/AD612)</f>
        <v>1.2108806881134799</v>
      </c>
      <c r="AF612"/>
      <c r="AG612">
        <v>1</v>
      </c>
      <c r="AH612" t="str">
        <f>VLOOKUP(AG612,WikiFormats!$A$3:$B$999,2,0)</f>
        <v>Story</v>
      </c>
      <c r="AI612" t="s">
        <v>717</v>
      </c>
    </row>
    <row r="613" spans="1:35" s="2" customFormat="1" x14ac:dyDescent="0.55000000000000004">
      <c r="A613">
        <v>611</v>
      </c>
      <c r="B613">
        <v>1</v>
      </c>
      <c r="C613" t="str">
        <f>VLOOKUP(B613,Eras!$A$3:$B$999,2,0)</f>
        <v>Classic</v>
      </c>
      <c r="D613">
        <v>1</v>
      </c>
      <c r="E613" t="str">
        <f>VLOOKUP(D613,EpisodeFormats!$A$3:$B$999,2,0)</f>
        <v>Series</v>
      </c>
      <c r="F613">
        <v>5</v>
      </c>
      <c r="G613" t="str">
        <f>VLOOKUP(F613,Doctors!$A$3:$B$999,2,0)</f>
        <v>Peter Davison</v>
      </c>
      <c r="H613">
        <v>21</v>
      </c>
      <c r="I613">
        <v>1</v>
      </c>
      <c r="J613" t="str">
        <f>VLOOKUP(I613,SeasonFormats!$A$3:$B$999,2,0)</f>
        <v>Season</v>
      </c>
      <c r="K613">
        <v>132</v>
      </c>
      <c r="L613">
        <v>3</v>
      </c>
      <c r="M613" t="s">
        <v>490</v>
      </c>
      <c r="N613">
        <v>3</v>
      </c>
      <c r="O613" t="s">
        <v>11</v>
      </c>
      <c r="P613">
        <v>9</v>
      </c>
      <c r="Q613" s="6" t="d">
        <v>1984-02-02</v>
      </c>
      <c r="R613">
        <v>25</v>
      </c>
      <c r="S613"/>
      <c r="T613" s="15" t="s">
        <v>1078</v>
      </c>
      <c r="U613" t="str" cm="1">
        <f t="array" ref="U613">_xlfn.TEXTJOIN(",",TRUE,_xlfn.XLOOKUP(_xlfn.FILTERXML("&lt;t&gt;&lt;s&gt;" &amp; SUBSTITUTE(T613,",","&lt;/s&gt;&lt;s&gt;") &amp; "&lt;/s&gt;&lt;/t&gt;", "//s"),Writers!$A$3:$A$999,Writers!$B$3:$B$999,""))</f>
        <v>Christopher H. Bidmead</v>
      </c>
      <c r="V613"/>
      <c r="W613" t="str">
        <f>IF(V613="","",_xlfn.XLOOKUP(V613,Writers!$A$3:$A$999,Writers!$B$3:$B$999,""))</f>
        <v/>
      </c>
      <c r="X613">
        <v>7.8</v>
      </c>
      <c r="Y613"/>
      <c r="Z613"/>
      <c r="AA613">
        <f t="shared" si="27"/>
        <v>9.44</v>
      </c>
      <c r="AB613" t="str">
        <f t="shared" si="28"/>
        <v/>
      </c>
      <c r="AC613" t="str">
        <f t="shared" si="29"/>
        <v/>
      </c>
      <c r="AD613">
        <f>VLOOKUP(YEAR(Q613),Populations!$A$3:$B$999,2,0)</f>
        <v>56409300</v>
      </c>
      <c r="AE613">
        <f>(Calculations!B1/AD613)</f>
        <v>1.2108806881134799</v>
      </c>
      <c r="AF613"/>
      <c r="AG613">
        <v>1</v>
      </c>
      <c r="AH613" t="str">
        <f>VLOOKUP(AG613,WikiFormats!$A$3:$B$999,2,0)</f>
        <v>Story</v>
      </c>
      <c r="AI613" t="s">
        <v>717</v>
      </c>
    </row>
    <row r="614" spans="1:35" s="2" customFormat="1" x14ac:dyDescent="0.55000000000000004">
      <c r="A614">
        <v>612</v>
      </c>
      <c r="B614">
        <v>1</v>
      </c>
      <c r="C614" t="str">
        <f>VLOOKUP(B614,Eras!$A$3:$B$999,2,0)</f>
        <v>Classic</v>
      </c>
      <c r="D614">
        <v>1</v>
      </c>
      <c r="E614" t="str">
        <f>VLOOKUP(D614,EpisodeFormats!$A$3:$B$999,2,0)</f>
        <v>Series</v>
      </c>
      <c r="F614">
        <v>5</v>
      </c>
      <c r="G614" t="str">
        <f>VLOOKUP(F614,Doctors!$A$3:$B$999,2,0)</f>
        <v>Peter Davison</v>
      </c>
      <c r="H614">
        <v>21</v>
      </c>
      <c r="I614">
        <v>1</v>
      </c>
      <c r="J614" t="str">
        <f>VLOOKUP(I614,SeasonFormats!$A$3:$B$999,2,0)</f>
        <v>Season</v>
      </c>
      <c r="K614">
        <v>132</v>
      </c>
      <c r="L614">
        <v>3</v>
      </c>
      <c r="M614" t="s">
        <v>490</v>
      </c>
      <c r="N614">
        <v>4</v>
      </c>
      <c r="O614" t="s">
        <v>12</v>
      </c>
      <c r="P614">
        <v>10</v>
      </c>
      <c r="Q614" s="6" t="d">
        <v>1984-02-03</v>
      </c>
      <c r="R614">
        <v>24</v>
      </c>
      <c r="S614"/>
      <c r="T614" s="15" t="s">
        <v>1078</v>
      </c>
      <c r="U614" t="str" cm="1">
        <f t="array" ref="U614">_xlfn.TEXTJOIN(",",TRUE,_xlfn.XLOOKUP(_xlfn.FILTERXML("&lt;t&gt;&lt;s&gt;" &amp; SUBSTITUTE(T614,",","&lt;/s&gt;&lt;s&gt;") &amp; "&lt;/s&gt;&lt;/t&gt;", "//s"),Writers!$A$3:$A$999,Writers!$B$3:$B$999,""))</f>
        <v>Christopher H. Bidmead</v>
      </c>
      <c r="V614"/>
      <c r="W614" t="str">
        <f>IF(V614="","",_xlfn.XLOOKUP(V614,Writers!$A$3:$A$999,Writers!$B$3:$B$999,""))</f>
        <v/>
      </c>
      <c r="X614">
        <v>5.6</v>
      </c>
      <c r="Y614"/>
      <c r="Z614"/>
      <c r="AA614">
        <f t="shared" si="27"/>
        <v>6.78</v>
      </c>
      <c r="AB614" t="str">
        <f t="shared" si="28"/>
        <v/>
      </c>
      <c r="AC614" t="str">
        <f t="shared" si="29"/>
        <v/>
      </c>
      <c r="AD614">
        <f>VLOOKUP(YEAR(Q614),Populations!$A$3:$B$999,2,0)</f>
        <v>56409300</v>
      </c>
      <c r="AE614">
        <f>(Calculations!B1/AD614)</f>
        <v>1.2108806881134799</v>
      </c>
      <c r="AF614"/>
      <c r="AG614">
        <v>1</v>
      </c>
      <c r="AH614" t="str">
        <f>VLOOKUP(AG614,WikiFormats!$A$3:$B$999,2,0)</f>
        <v>Story</v>
      </c>
      <c r="AI614" t="s">
        <v>717</v>
      </c>
    </row>
    <row r="615" spans="1:35" s="8" customFormat="1" x14ac:dyDescent="0.55000000000000004">
      <c r="A615" s="3">
        <v>613</v>
      </c>
      <c r="B615" s="3">
        <v>1</v>
      </c>
      <c r="C615" s="3" t="str">
        <f>VLOOKUP(B615,Eras!$A$3:$B$999,2,0)</f>
        <v>Classic</v>
      </c>
      <c r="D615" s="3">
        <v>1</v>
      </c>
      <c r="E615" s="3" t="str">
        <f>VLOOKUP(D615,EpisodeFormats!$A$3:$B$999,2,0)</f>
        <v>Series</v>
      </c>
      <c r="F615" s="3">
        <v>5</v>
      </c>
      <c r="G615" s="3" t="str">
        <f>VLOOKUP(F615,Doctors!$A$3:$B$999,2,0)</f>
        <v>Peter Davison</v>
      </c>
      <c r="H615" s="3">
        <v>21</v>
      </c>
      <c r="I615" s="3">
        <v>1</v>
      </c>
      <c r="J615" s="3" t="str">
        <f>VLOOKUP(I615,SeasonFormats!$A$3:$B$999,2,0)</f>
        <v>Season</v>
      </c>
      <c r="K615" s="3">
        <v>133</v>
      </c>
      <c r="L615" s="3">
        <v>4</v>
      </c>
      <c r="M615" s="3" t="s">
        <v>491</v>
      </c>
      <c r="N615" s="3">
        <v>1</v>
      </c>
      <c r="O615" s="3" t="s">
        <v>9</v>
      </c>
      <c r="P615" s="3">
        <v>11</v>
      </c>
      <c r="Q615" s="7" t="d">
        <v>1984-02-08</v>
      </c>
      <c r="R615" s="3">
        <v>46</v>
      </c>
      <c r="S615" s="3"/>
      <c r="T615" s="4" t="s">
        <v>1149</v>
      </c>
      <c r="U615" s="3" t="str" cm="1">
        <f t="array" ref="U615">_xlfn.TEXTJOIN(",",TRUE,_xlfn.XLOOKUP(_xlfn.FILTERXML("&lt;t&gt;&lt;s&gt;" &amp; SUBSTITUTE(T615,",","&lt;/s&gt;&lt;s&gt;") &amp; "&lt;/s&gt;&lt;/t&gt;", "//s"),Writers!$A$3:$A$999,Writers!$B$3:$B$999,""))</f>
        <v>Eric Saward</v>
      </c>
      <c r="V615" s="3"/>
      <c r="W615" s="3" t="str">
        <f>IF(V615="","",_xlfn.XLOOKUP(V615,Writers!$A$3:$A$999,Writers!$B$3:$B$999,""))</f>
        <v/>
      </c>
      <c r="X615" s="3">
        <v>7.3</v>
      </c>
      <c r="Y615" s="3"/>
      <c r="Z615" s="3"/>
      <c r="AA615" s="3">
        <f t="shared" si="27"/>
        <v>8.84</v>
      </c>
      <c r="AB615" s="3" t="str">
        <f t="shared" si="28"/>
        <v/>
      </c>
      <c r="AC615" s="3" t="str">
        <f t="shared" si="29"/>
        <v/>
      </c>
      <c r="AD615" s="3">
        <f>VLOOKUP(YEAR(Q615),Populations!$A$3:$B$999,2,0)</f>
        <v>56409300</v>
      </c>
      <c r="AE615" s="3">
        <f>(Calculations!B1/AD615)</f>
        <v>1.2108806881134799</v>
      </c>
      <c r="AF615" s="3"/>
      <c r="AG615" s="3">
        <v>1</v>
      </c>
      <c r="AH615" s="3" t="str">
        <f>VLOOKUP(AG615,WikiFormats!$A$3:$B$999,2,0)</f>
        <v>Story</v>
      </c>
      <c r="AI615" s="3" t="s">
        <v>718</v>
      </c>
    </row>
    <row r="616" spans="1:35" s="8" customFormat="1" x14ac:dyDescent="0.55000000000000004">
      <c r="A616" s="3">
        <v>614</v>
      </c>
      <c r="B616" s="3">
        <v>1</v>
      </c>
      <c r="C616" s="3" t="str">
        <f>VLOOKUP(B616,Eras!$A$3:$B$999,2,0)</f>
        <v>Classic</v>
      </c>
      <c r="D616" s="3">
        <v>1</v>
      </c>
      <c r="E616" s="3" t="str">
        <f>VLOOKUP(D616,EpisodeFormats!$A$3:$B$999,2,0)</f>
        <v>Series</v>
      </c>
      <c r="F616" s="3">
        <v>5</v>
      </c>
      <c r="G616" s="3" t="str">
        <f>VLOOKUP(F616,Doctors!$A$3:$B$999,2,0)</f>
        <v>Peter Davison</v>
      </c>
      <c r="H616" s="3">
        <v>21</v>
      </c>
      <c r="I616" s="3">
        <v>1</v>
      </c>
      <c r="J616" s="3" t="str">
        <f>VLOOKUP(I616,SeasonFormats!$A$3:$B$999,2,0)</f>
        <v>Season</v>
      </c>
      <c r="K616" s="3">
        <v>133</v>
      </c>
      <c r="L616" s="3">
        <v>4</v>
      </c>
      <c r="M616" s="3" t="s">
        <v>491</v>
      </c>
      <c r="N616" s="3">
        <v>2</v>
      </c>
      <c r="O616" s="3" t="s">
        <v>10</v>
      </c>
      <c r="P616" s="3">
        <v>12</v>
      </c>
      <c r="Q616" s="7" t="d">
        <v>1984-02-15</v>
      </c>
      <c r="R616" s="3">
        <v>47</v>
      </c>
      <c r="S616" s="3"/>
      <c r="T616" s="4" t="s">
        <v>1149</v>
      </c>
      <c r="U616" s="3" t="str" cm="1">
        <f t="array" ref="U616">_xlfn.TEXTJOIN(",",TRUE,_xlfn.XLOOKUP(_xlfn.FILTERXML("&lt;t&gt;&lt;s&gt;" &amp; SUBSTITUTE(T616,",","&lt;/s&gt;&lt;s&gt;") &amp; "&lt;/s&gt;&lt;/t&gt;", "//s"),Writers!$A$3:$A$999,Writers!$B$3:$B$999,""))</f>
        <v>Eric Saward</v>
      </c>
      <c r="V616" s="3"/>
      <c r="W616" s="3" t="str">
        <f>IF(V616="","",_xlfn.XLOOKUP(V616,Writers!$A$3:$A$999,Writers!$B$3:$B$999,""))</f>
        <v/>
      </c>
      <c r="X616" s="3">
        <v>8</v>
      </c>
      <c r="Y616" s="3"/>
      <c r="Z616" s="3"/>
      <c r="AA616" s="3">
        <f t="shared" si="27"/>
        <v>9.69</v>
      </c>
      <c r="AB616" s="3" t="str">
        <f t="shared" si="28"/>
        <v/>
      </c>
      <c r="AC616" s="3" t="str">
        <f t="shared" si="29"/>
        <v/>
      </c>
      <c r="AD616" s="3">
        <f>VLOOKUP(YEAR(Q616),Populations!$A$3:$B$999,2,0)</f>
        <v>56409300</v>
      </c>
      <c r="AE616" s="3">
        <f>(Calculations!B1/AD616)</f>
        <v>1.2108806881134799</v>
      </c>
      <c r="AF616" s="3"/>
      <c r="AG616" s="3">
        <v>1</v>
      </c>
      <c r="AH616" s="3" t="str">
        <f>VLOOKUP(AG616,WikiFormats!$A$3:$B$999,2,0)</f>
        <v>Story</v>
      </c>
      <c r="AI616" s="3" t="s">
        <v>718</v>
      </c>
    </row>
    <row r="617" spans="1:35" s="2" customFormat="1" x14ac:dyDescent="0.55000000000000004">
      <c r="A617">
        <v>615</v>
      </c>
      <c r="B617">
        <v>1</v>
      </c>
      <c r="C617" t="str">
        <f>VLOOKUP(B617,Eras!$A$3:$B$999,2,0)</f>
        <v>Classic</v>
      </c>
      <c r="D617">
        <v>1</v>
      </c>
      <c r="E617" t="str">
        <f>VLOOKUP(D617,EpisodeFormats!$A$3:$B$999,2,0)</f>
        <v>Series</v>
      </c>
      <c r="F617">
        <v>5</v>
      </c>
      <c r="G617" t="str">
        <f>VLOOKUP(F617,Doctors!$A$3:$B$999,2,0)</f>
        <v>Peter Davison</v>
      </c>
      <c r="H617">
        <v>21</v>
      </c>
      <c r="I617">
        <v>1</v>
      </c>
      <c r="J617" t="str">
        <f>VLOOKUP(I617,SeasonFormats!$A$3:$B$999,2,0)</f>
        <v>Season</v>
      </c>
      <c r="K617">
        <v>134</v>
      </c>
      <c r="L617">
        <v>5</v>
      </c>
      <c r="M617" t="s">
        <v>492</v>
      </c>
      <c r="N617">
        <v>1</v>
      </c>
      <c r="O617" t="s">
        <v>9</v>
      </c>
      <c r="P617">
        <v>13</v>
      </c>
      <c r="Q617" s="6" t="d">
        <v>1984-02-23</v>
      </c>
      <c r="R617">
        <v>24</v>
      </c>
      <c r="S617"/>
      <c r="T617" s="15" t="s">
        <v>1113</v>
      </c>
      <c r="U617" t="str" cm="1">
        <f t="array" ref="U617">_xlfn.TEXTJOIN(",",TRUE,_xlfn.XLOOKUP(_xlfn.FILTERXML("&lt;t&gt;&lt;s&gt;" &amp; SUBSTITUTE(T617,",","&lt;/s&gt;&lt;s&gt;") &amp; "&lt;/s&gt;&lt;/t&gt;", "//s"),Writers!$A$3:$A$999,Writers!$B$3:$B$999,""))</f>
        <v>Peter Grimwade</v>
      </c>
      <c r="V617"/>
      <c r="W617" t="str">
        <f>IF(V617="","",_xlfn.XLOOKUP(V617,Writers!$A$3:$A$999,Writers!$B$3:$B$999,""))</f>
        <v/>
      </c>
      <c r="X617">
        <v>7.4</v>
      </c>
      <c r="Y617"/>
      <c r="Z617"/>
      <c r="AA617">
        <f t="shared" si="27"/>
        <v>8.9600000000000009</v>
      </c>
      <c r="AB617" t="str">
        <f t="shared" si="28"/>
        <v/>
      </c>
      <c r="AC617" t="str">
        <f t="shared" si="29"/>
        <v/>
      </c>
      <c r="AD617">
        <f>VLOOKUP(YEAR(Q617),Populations!$A$3:$B$999,2,0)</f>
        <v>56409300</v>
      </c>
      <c r="AE617">
        <f>(Calculations!B1/AD617)</f>
        <v>1.2108806881134799</v>
      </c>
      <c r="AF617"/>
      <c r="AG617">
        <v>1</v>
      </c>
      <c r="AH617" t="str">
        <f>VLOOKUP(AG617,WikiFormats!$A$3:$B$999,2,0)</f>
        <v>Story</v>
      </c>
      <c r="AI617" t="s">
        <v>719</v>
      </c>
    </row>
    <row r="618" spans="1:35" s="2" customFormat="1" x14ac:dyDescent="0.55000000000000004">
      <c r="A618">
        <v>616</v>
      </c>
      <c r="B618">
        <v>1</v>
      </c>
      <c r="C618" t="str">
        <f>VLOOKUP(B618,Eras!$A$3:$B$999,2,0)</f>
        <v>Classic</v>
      </c>
      <c r="D618">
        <v>1</v>
      </c>
      <c r="E618" t="str">
        <f>VLOOKUP(D618,EpisodeFormats!$A$3:$B$999,2,0)</f>
        <v>Series</v>
      </c>
      <c r="F618">
        <v>5</v>
      </c>
      <c r="G618" t="str">
        <f>VLOOKUP(F618,Doctors!$A$3:$B$999,2,0)</f>
        <v>Peter Davison</v>
      </c>
      <c r="H618">
        <v>21</v>
      </c>
      <c r="I618">
        <v>1</v>
      </c>
      <c r="J618" t="str">
        <f>VLOOKUP(I618,SeasonFormats!$A$3:$B$999,2,0)</f>
        <v>Season</v>
      </c>
      <c r="K618">
        <v>134</v>
      </c>
      <c r="L618">
        <v>5</v>
      </c>
      <c r="M618" t="s">
        <v>492</v>
      </c>
      <c r="N618">
        <v>2</v>
      </c>
      <c r="O618" t="s">
        <v>10</v>
      </c>
      <c r="P618">
        <v>14</v>
      </c>
      <c r="Q618" s="6" t="d">
        <v>1984-02-24</v>
      </c>
      <c r="R618">
        <v>24</v>
      </c>
      <c r="S618"/>
      <c r="T618" s="15" t="s">
        <v>1113</v>
      </c>
      <c r="U618" t="str" cm="1">
        <f t="array" ref="U618">_xlfn.TEXTJOIN(",",TRUE,_xlfn.XLOOKUP(_xlfn.FILTERXML("&lt;t&gt;&lt;s&gt;" &amp; SUBSTITUTE(T618,",","&lt;/s&gt;&lt;s&gt;") &amp; "&lt;/s&gt;&lt;/t&gt;", "//s"),Writers!$A$3:$A$999,Writers!$B$3:$B$999,""))</f>
        <v>Peter Grimwade</v>
      </c>
      <c r="V618"/>
      <c r="W618" t="str">
        <f>IF(V618="","",_xlfn.XLOOKUP(V618,Writers!$A$3:$A$999,Writers!$B$3:$B$999,""))</f>
        <v/>
      </c>
      <c r="X618">
        <v>6.1</v>
      </c>
      <c r="Y618"/>
      <c r="Z618"/>
      <c r="AA618">
        <f t="shared" si="27"/>
        <v>7.39</v>
      </c>
      <c r="AB618" t="str">
        <f t="shared" si="28"/>
        <v/>
      </c>
      <c r="AC618" t="str">
        <f t="shared" si="29"/>
        <v/>
      </c>
      <c r="AD618">
        <f>VLOOKUP(YEAR(Q618),Populations!$A$3:$B$999,2,0)</f>
        <v>56409300</v>
      </c>
      <c r="AE618">
        <f>(Calculations!B1/AD618)</f>
        <v>1.2108806881134799</v>
      </c>
      <c r="AF618"/>
      <c r="AG618">
        <v>1</v>
      </c>
      <c r="AH618" t="str">
        <f>VLOOKUP(AG618,WikiFormats!$A$3:$B$999,2,0)</f>
        <v>Story</v>
      </c>
      <c r="AI618" t="s">
        <v>719</v>
      </c>
    </row>
    <row r="619" spans="1:35" s="2" customFormat="1" x14ac:dyDescent="0.55000000000000004">
      <c r="A619">
        <v>617</v>
      </c>
      <c r="B619">
        <v>1</v>
      </c>
      <c r="C619" t="str">
        <f>VLOOKUP(B619,Eras!$A$3:$B$999,2,0)</f>
        <v>Classic</v>
      </c>
      <c r="D619">
        <v>1</v>
      </c>
      <c r="E619" t="str">
        <f>VLOOKUP(D619,EpisodeFormats!$A$3:$B$999,2,0)</f>
        <v>Series</v>
      </c>
      <c r="F619">
        <v>5</v>
      </c>
      <c r="G619" t="str">
        <f>VLOOKUP(F619,Doctors!$A$3:$B$999,2,0)</f>
        <v>Peter Davison</v>
      </c>
      <c r="H619">
        <v>21</v>
      </c>
      <c r="I619">
        <v>1</v>
      </c>
      <c r="J619" t="str">
        <f>VLOOKUP(I619,SeasonFormats!$A$3:$B$999,2,0)</f>
        <v>Season</v>
      </c>
      <c r="K619">
        <v>134</v>
      </c>
      <c r="L619">
        <v>5</v>
      </c>
      <c r="M619" t="s">
        <v>492</v>
      </c>
      <c r="N619">
        <v>3</v>
      </c>
      <c r="O619" t="s">
        <v>11</v>
      </c>
      <c r="P619">
        <v>15</v>
      </c>
      <c r="Q619" s="6" t="d">
        <v>1984-03-01</v>
      </c>
      <c r="R619">
        <v>24</v>
      </c>
      <c r="S619"/>
      <c r="T619" s="15" t="s">
        <v>1113</v>
      </c>
      <c r="U619" t="str" cm="1">
        <f t="array" ref="U619">_xlfn.TEXTJOIN(",",TRUE,_xlfn.XLOOKUP(_xlfn.FILTERXML("&lt;t&gt;&lt;s&gt;" &amp; SUBSTITUTE(T619,",","&lt;/s&gt;&lt;s&gt;") &amp; "&lt;/s&gt;&lt;/t&gt;", "//s"),Writers!$A$3:$A$999,Writers!$B$3:$B$999,""))</f>
        <v>Peter Grimwade</v>
      </c>
      <c r="V619"/>
      <c r="W619" t="str">
        <f>IF(V619="","",_xlfn.XLOOKUP(V619,Writers!$A$3:$A$999,Writers!$B$3:$B$999,""))</f>
        <v/>
      </c>
      <c r="X619">
        <v>7.4</v>
      </c>
      <c r="Y619"/>
      <c r="Z619"/>
      <c r="AA619">
        <f t="shared" si="27"/>
        <v>8.9600000000000009</v>
      </c>
      <c r="AB619" t="str">
        <f t="shared" si="28"/>
        <v/>
      </c>
      <c r="AC619" t="str">
        <f t="shared" si="29"/>
        <v/>
      </c>
      <c r="AD619">
        <f>VLOOKUP(YEAR(Q619),Populations!$A$3:$B$999,2,0)</f>
        <v>56409300</v>
      </c>
      <c r="AE619">
        <f>(Calculations!B1/AD619)</f>
        <v>1.2108806881134799</v>
      </c>
      <c r="AF619"/>
      <c r="AG619">
        <v>1</v>
      </c>
      <c r="AH619" t="str">
        <f>VLOOKUP(AG619,WikiFormats!$A$3:$B$999,2,0)</f>
        <v>Story</v>
      </c>
      <c r="AI619" t="s">
        <v>719</v>
      </c>
    </row>
    <row r="620" spans="1:35" s="2" customFormat="1" x14ac:dyDescent="0.55000000000000004">
      <c r="A620">
        <v>618</v>
      </c>
      <c r="B620">
        <v>1</v>
      </c>
      <c r="C620" t="str">
        <f>VLOOKUP(B620,Eras!$A$3:$B$999,2,0)</f>
        <v>Classic</v>
      </c>
      <c r="D620">
        <v>1</v>
      </c>
      <c r="E620" t="str">
        <f>VLOOKUP(D620,EpisodeFormats!$A$3:$B$999,2,0)</f>
        <v>Series</v>
      </c>
      <c r="F620">
        <v>5</v>
      </c>
      <c r="G620" t="str">
        <f>VLOOKUP(F620,Doctors!$A$3:$B$999,2,0)</f>
        <v>Peter Davison</v>
      </c>
      <c r="H620">
        <v>21</v>
      </c>
      <c r="I620">
        <v>1</v>
      </c>
      <c r="J620" t="str">
        <f>VLOOKUP(I620,SeasonFormats!$A$3:$B$999,2,0)</f>
        <v>Season</v>
      </c>
      <c r="K620">
        <v>134</v>
      </c>
      <c r="L620">
        <v>5</v>
      </c>
      <c r="M620" t="s">
        <v>492</v>
      </c>
      <c r="N620">
        <v>4</v>
      </c>
      <c r="O620" t="s">
        <v>12</v>
      </c>
      <c r="P620">
        <v>16</v>
      </c>
      <c r="Q620" s="6" t="d">
        <v>1984-03-02</v>
      </c>
      <c r="R620">
        <v>25</v>
      </c>
      <c r="S620"/>
      <c r="T620" s="15" t="s">
        <v>1113</v>
      </c>
      <c r="U620" t="str" cm="1">
        <f t="array" ref="U620">_xlfn.TEXTJOIN(",",TRUE,_xlfn.XLOOKUP(_xlfn.FILTERXML("&lt;t&gt;&lt;s&gt;" &amp; SUBSTITUTE(T620,",","&lt;/s&gt;&lt;s&gt;") &amp; "&lt;/s&gt;&lt;/t&gt;", "//s"),Writers!$A$3:$A$999,Writers!$B$3:$B$999,""))</f>
        <v>Peter Grimwade</v>
      </c>
      <c r="V620"/>
      <c r="W620" t="str">
        <f>IF(V620="","",_xlfn.XLOOKUP(V620,Writers!$A$3:$A$999,Writers!$B$3:$B$999,""))</f>
        <v/>
      </c>
      <c r="X620">
        <v>7</v>
      </c>
      <c r="Y620"/>
      <c r="Z620"/>
      <c r="AA620">
        <f t="shared" si="27"/>
        <v>8.48</v>
      </c>
      <c r="AB620" t="str">
        <f t="shared" si="28"/>
        <v/>
      </c>
      <c r="AC620" t="str">
        <f t="shared" si="29"/>
        <v/>
      </c>
      <c r="AD620">
        <f>VLOOKUP(YEAR(Q620),Populations!$A$3:$B$999,2,0)</f>
        <v>56409300</v>
      </c>
      <c r="AE620">
        <f>(Calculations!B1/AD620)</f>
        <v>1.2108806881134799</v>
      </c>
      <c r="AF620"/>
      <c r="AG620">
        <v>1</v>
      </c>
      <c r="AH620" t="str">
        <f>VLOOKUP(AG620,WikiFormats!$A$3:$B$999,2,0)</f>
        <v>Story</v>
      </c>
      <c r="AI620" t="s">
        <v>719</v>
      </c>
    </row>
    <row r="621" spans="1:35" s="8" customFormat="1" x14ac:dyDescent="0.55000000000000004">
      <c r="A621" s="3">
        <v>619</v>
      </c>
      <c r="B621" s="3">
        <v>1</v>
      </c>
      <c r="C621" s="3" t="str">
        <f>VLOOKUP(B621,Eras!$A$3:$B$999,2,0)</f>
        <v>Classic</v>
      </c>
      <c r="D621" s="3">
        <v>1</v>
      </c>
      <c r="E621" s="3" t="str">
        <f>VLOOKUP(D621,EpisodeFormats!$A$3:$B$999,2,0)</f>
        <v>Series</v>
      </c>
      <c r="F621" s="3">
        <v>5</v>
      </c>
      <c r="G621" s="3" t="str">
        <f>VLOOKUP(F621,Doctors!$A$3:$B$999,2,0)</f>
        <v>Peter Davison</v>
      </c>
      <c r="H621" s="3">
        <v>21</v>
      </c>
      <c r="I621" s="3">
        <v>1</v>
      </c>
      <c r="J621" s="3" t="str">
        <f>VLOOKUP(I621,SeasonFormats!$A$3:$B$999,2,0)</f>
        <v>Season</v>
      </c>
      <c r="K621" s="3">
        <v>135</v>
      </c>
      <c r="L621" s="3">
        <v>6</v>
      </c>
      <c r="M621" s="3" t="s">
        <v>493</v>
      </c>
      <c r="N621" s="3">
        <v>1</v>
      </c>
      <c r="O621" s="3" t="s">
        <v>9</v>
      </c>
      <c r="P621" s="3">
        <v>17</v>
      </c>
      <c r="Q621" s="7" t="d">
        <v>1984-03-08</v>
      </c>
      <c r="R621" s="3">
        <v>25</v>
      </c>
      <c r="S621" s="3"/>
      <c r="T621" s="4" t="s">
        <v>1122</v>
      </c>
      <c r="U621" s="3" t="str" cm="1">
        <f t="array" ref="U621">_xlfn.TEXTJOIN(",",TRUE,_xlfn.XLOOKUP(_xlfn.FILTERXML("&lt;t&gt;&lt;s&gt;" &amp; SUBSTITUTE(T621,",","&lt;/s&gt;&lt;s&gt;") &amp; "&lt;/s&gt;&lt;/t&gt;", "//s"),Writers!$A$3:$A$999,Writers!$B$3:$B$999,""))</f>
        <v>Robert Holmes</v>
      </c>
      <c r="V621" s="3"/>
      <c r="W621" s="3" t="str">
        <f>IF(V621="","",_xlfn.XLOOKUP(V621,Writers!$A$3:$A$999,Writers!$B$3:$B$999,""))</f>
        <v/>
      </c>
      <c r="X621" s="3">
        <v>6.9</v>
      </c>
      <c r="Y621" s="3"/>
      <c r="Z621" s="3"/>
      <c r="AA621" s="3">
        <f t="shared" si="27"/>
        <v>8.36</v>
      </c>
      <c r="AB621" s="3" t="str">
        <f t="shared" si="28"/>
        <v/>
      </c>
      <c r="AC621" s="3" t="str">
        <f t="shared" si="29"/>
        <v/>
      </c>
      <c r="AD621" s="3">
        <f>VLOOKUP(YEAR(Q621),Populations!$A$3:$B$999,2,0)</f>
        <v>56409300</v>
      </c>
      <c r="AE621" s="3">
        <f>(Calculations!B1/AD621)</f>
        <v>1.2108806881134799</v>
      </c>
      <c r="AF621" s="3"/>
      <c r="AG621" s="3">
        <v>1</v>
      </c>
      <c r="AH621" s="3" t="str">
        <f>VLOOKUP(AG621,WikiFormats!$A$3:$B$999,2,0)</f>
        <v>Story</v>
      </c>
      <c r="AI621" s="3" t="s">
        <v>720</v>
      </c>
    </row>
    <row r="622" spans="1:35" s="8" customFormat="1" x14ac:dyDescent="0.55000000000000004">
      <c r="A622" s="3">
        <v>620</v>
      </c>
      <c r="B622" s="3">
        <v>1</v>
      </c>
      <c r="C622" s="3" t="str">
        <f>VLOOKUP(B622,Eras!$A$3:$B$999,2,0)</f>
        <v>Classic</v>
      </c>
      <c r="D622" s="3">
        <v>1</v>
      </c>
      <c r="E622" s="3" t="str">
        <f>VLOOKUP(D622,EpisodeFormats!$A$3:$B$999,2,0)</f>
        <v>Series</v>
      </c>
      <c r="F622" s="3">
        <v>5</v>
      </c>
      <c r="G622" s="3" t="str">
        <f>VLOOKUP(F622,Doctors!$A$3:$B$999,2,0)</f>
        <v>Peter Davison</v>
      </c>
      <c r="H622" s="3">
        <v>21</v>
      </c>
      <c r="I622" s="3">
        <v>1</v>
      </c>
      <c r="J622" s="3" t="str">
        <f>VLOOKUP(I622,SeasonFormats!$A$3:$B$999,2,0)</f>
        <v>Season</v>
      </c>
      <c r="K622" s="3">
        <v>135</v>
      </c>
      <c r="L622" s="3">
        <v>6</v>
      </c>
      <c r="M622" s="3" t="s">
        <v>493</v>
      </c>
      <c r="N622" s="3">
        <v>2</v>
      </c>
      <c r="O622" s="3" t="s">
        <v>10</v>
      </c>
      <c r="P622" s="3">
        <v>18</v>
      </c>
      <c r="Q622" s="7" t="d">
        <v>1984-03-09</v>
      </c>
      <c r="R622" s="3">
        <v>25</v>
      </c>
      <c r="S622" s="3"/>
      <c r="T622" s="4" t="s">
        <v>1122</v>
      </c>
      <c r="U622" s="3" t="str" cm="1">
        <f t="array" ref="U622">_xlfn.TEXTJOIN(",",TRUE,_xlfn.XLOOKUP(_xlfn.FILTERXML("&lt;t&gt;&lt;s&gt;" &amp; SUBSTITUTE(T622,",","&lt;/s&gt;&lt;s&gt;") &amp; "&lt;/s&gt;&lt;/t&gt;", "//s"),Writers!$A$3:$A$999,Writers!$B$3:$B$999,""))</f>
        <v>Robert Holmes</v>
      </c>
      <c r="V622" s="3"/>
      <c r="W622" s="3" t="str">
        <f>IF(V622="","",_xlfn.XLOOKUP(V622,Writers!$A$3:$A$999,Writers!$B$3:$B$999,""))</f>
        <v/>
      </c>
      <c r="X622" s="3">
        <v>6.6</v>
      </c>
      <c r="Y622" s="3"/>
      <c r="Z622" s="3"/>
      <c r="AA622" s="3">
        <f t="shared" si="27"/>
        <v>7.99</v>
      </c>
      <c r="AB622" s="3" t="str">
        <f t="shared" si="28"/>
        <v/>
      </c>
      <c r="AC622" s="3" t="str">
        <f t="shared" si="29"/>
        <v/>
      </c>
      <c r="AD622" s="3">
        <f>VLOOKUP(YEAR(Q622),Populations!$A$3:$B$999,2,0)</f>
        <v>56409300</v>
      </c>
      <c r="AE622" s="3">
        <f>(Calculations!B1/AD622)</f>
        <v>1.2108806881134799</v>
      </c>
      <c r="AF622" s="3"/>
      <c r="AG622" s="3">
        <v>1</v>
      </c>
      <c r="AH622" s="3" t="str">
        <f>VLOOKUP(AG622,WikiFormats!$A$3:$B$999,2,0)</f>
        <v>Story</v>
      </c>
      <c r="AI622" s="3" t="s">
        <v>720</v>
      </c>
    </row>
    <row r="623" spans="1:35" s="8" customFormat="1" x14ac:dyDescent="0.55000000000000004">
      <c r="A623" s="3">
        <v>621</v>
      </c>
      <c r="B623" s="3">
        <v>1</v>
      </c>
      <c r="C623" s="3" t="str">
        <f>VLOOKUP(B623,Eras!$A$3:$B$999,2,0)</f>
        <v>Classic</v>
      </c>
      <c r="D623" s="3">
        <v>1</v>
      </c>
      <c r="E623" s="3" t="str">
        <f>VLOOKUP(D623,EpisodeFormats!$A$3:$B$999,2,0)</f>
        <v>Series</v>
      </c>
      <c r="F623" s="3">
        <v>5</v>
      </c>
      <c r="G623" s="3" t="str">
        <f>VLOOKUP(F623,Doctors!$A$3:$B$999,2,0)</f>
        <v>Peter Davison</v>
      </c>
      <c r="H623" s="3">
        <v>21</v>
      </c>
      <c r="I623" s="3">
        <v>1</v>
      </c>
      <c r="J623" s="3" t="str">
        <f>VLOOKUP(I623,SeasonFormats!$A$3:$B$999,2,0)</f>
        <v>Season</v>
      </c>
      <c r="K623" s="3">
        <v>135</v>
      </c>
      <c r="L623" s="3">
        <v>6</v>
      </c>
      <c r="M623" s="3" t="s">
        <v>493</v>
      </c>
      <c r="N623" s="3">
        <v>3</v>
      </c>
      <c r="O623" s="3" t="s">
        <v>11</v>
      </c>
      <c r="P623" s="3">
        <v>19</v>
      </c>
      <c r="Q623" s="7" t="d">
        <v>1984-03-15</v>
      </c>
      <c r="R623" s="3">
        <v>25</v>
      </c>
      <c r="S623" s="3"/>
      <c r="T623" s="4" t="s">
        <v>1122</v>
      </c>
      <c r="U623" s="3" t="str" cm="1">
        <f t="array" ref="U623">_xlfn.TEXTJOIN(",",TRUE,_xlfn.XLOOKUP(_xlfn.FILTERXML("&lt;t&gt;&lt;s&gt;" &amp; SUBSTITUTE(T623,",","&lt;/s&gt;&lt;s&gt;") &amp; "&lt;/s&gt;&lt;/t&gt;", "//s"),Writers!$A$3:$A$999,Writers!$B$3:$B$999,""))</f>
        <v>Robert Holmes</v>
      </c>
      <c r="V623" s="3"/>
      <c r="W623" s="3" t="str">
        <f>IF(V623="","",_xlfn.XLOOKUP(V623,Writers!$A$3:$A$999,Writers!$B$3:$B$999,""))</f>
        <v/>
      </c>
      <c r="X623" s="3">
        <v>7.8</v>
      </c>
      <c r="Y623" s="3"/>
      <c r="Z623" s="3"/>
      <c r="AA623" s="3">
        <f t="shared" si="27"/>
        <v>9.44</v>
      </c>
      <c r="AB623" s="3" t="str">
        <f t="shared" si="28"/>
        <v/>
      </c>
      <c r="AC623" s="3" t="str">
        <f t="shared" si="29"/>
        <v/>
      </c>
      <c r="AD623" s="3">
        <f>VLOOKUP(YEAR(Q623),Populations!$A$3:$B$999,2,0)</f>
        <v>56409300</v>
      </c>
      <c r="AE623" s="3">
        <f>(Calculations!B1/AD623)</f>
        <v>1.2108806881134799</v>
      </c>
      <c r="AF623" s="3"/>
      <c r="AG623" s="3">
        <v>1</v>
      </c>
      <c r="AH623" s="3" t="str">
        <f>VLOOKUP(AG623,WikiFormats!$A$3:$B$999,2,0)</f>
        <v>Story</v>
      </c>
      <c r="AI623" s="3" t="s">
        <v>720</v>
      </c>
    </row>
    <row r="624" spans="1:35" s="8" customFormat="1" x14ac:dyDescent="0.55000000000000004">
      <c r="A624" s="3">
        <v>622</v>
      </c>
      <c r="B624" s="3">
        <v>1</v>
      </c>
      <c r="C624" s="3" t="str">
        <f>VLOOKUP(B624,Eras!$A$3:$B$999,2,0)</f>
        <v>Classic</v>
      </c>
      <c r="D624" s="3">
        <v>1</v>
      </c>
      <c r="E624" s="3" t="str">
        <f>VLOOKUP(D624,EpisodeFormats!$A$3:$B$999,2,0)</f>
        <v>Series</v>
      </c>
      <c r="F624" s="3">
        <v>5</v>
      </c>
      <c r="G624" s="3" t="str">
        <f>VLOOKUP(F624,Doctors!$A$3:$B$999,2,0)</f>
        <v>Peter Davison</v>
      </c>
      <c r="H624" s="3">
        <v>21</v>
      </c>
      <c r="I624" s="3">
        <v>1</v>
      </c>
      <c r="J624" s="3" t="str">
        <f>VLOOKUP(I624,SeasonFormats!$A$3:$B$999,2,0)</f>
        <v>Season</v>
      </c>
      <c r="K624" s="3">
        <v>135</v>
      </c>
      <c r="L624" s="3">
        <v>6</v>
      </c>
      <c r="M624" s="3" t="s">
        <v>493</v>
      </c>
      <c r="N624" s="3">
        <v>4</v>
      </c>
      <c r="O624" s="3" t="s">
        <v>12</v>
      </c>
      <c r="P624" s="3">
        <v>20</v>
      </c>
      <c r="Q624" s="7" t="d">
        <v>1984-03-16</v>
      </c>
      <c r="R624" s="3">
        <v>26</v>
      </c>
      <c r="S624" s="3"/>
      <c r="T624" s="4" t="s">
        <v>1122</v>
      </c>
      <c r="U624" s="3" t="str" cm="1">
        <f t="array" ref="U624">_xlfn.TEXTJOIN(",",TRUE,_xlfn.XLOOKUP(_xlfn.FILTERXML("&lt;t&gt;&lt;s&gt;" &amp; SUBSTITUTE(T624,",","&lt;/s&gt;&lt;s&gt;") &amp; "&lt;/s&gt;&lt;/t&gt;", "//s"),Writers!$A$3:$A$999,Writers!$B$3:$B$999,""))</f>
        <v>Robert Holmes</v>
      </c>
      <c r="V624" s="3"/>
      <c r="W624" s="3" t="str">
        <f>IF(V624="","",_xlfn.XLOOKUP(V624,Writers!$A$3:$A$999,Writers!$B$3:$B$999,""))</f>
        <v/>
      </c>
      <c r="X624" s="3">
        <v>7.8</v>
      </c>
      <c r="Y624" s="3"/>
      <c r="Z624" s="3"/>
      <c r="AA624" s="3">
        <f t="shared" si="27"/>
        <v>9.44</v>
      </c>
      <c r="AB624" s="3" t="str">
        <f t="shared" si="28"/>
        <v/>
      </c>
      <c r="AC624" s="3" t="str">
        <f t="shared" si="29"/>
        <v/>
      </c>
      <c r="AD624" s="3">
        <f>VLOOKUP(YEAR(Q624),Populations!$A$3:$B$999,2,0)</f>
        <v>56409300</v>
      </c>
      <c r="AE624" s="3">
        <f>(Calculations!B1/AD624)</f>
        <v>1.2108806881134799</v>
      </c>
      <c r="AF624" s="3"/>
      <c r="AG624" s="3">
        <v>1</v>
      </c>
      <c r="AH624" s="3" t="str">
        <f>VLOOKUP(AG624,WikiFormats!$A$3:$B$999,2,0)</f>
        <v>Story</v>
      </c>
      <c r="AI624" s="3" t="s">
        <v>720</v>
      </c>
    </row>
    <row r="625" spans="1:35" s="2" customFormat="1" x14ac:dyDescent="0.55000000000000004">
      <c r="A625">
        <v>623</v>
      </c>
      <c r="B625">
        <v>1</v>
      </c>
      <c r="C625" t="str">
        <f>VLOOKUP(B625,Eras!$A$3:$B$999,2,0)</f>
        <v>Classic</v>
      </c>
      <c r="D625">
        <v>1</v>
      </c>
      <c r="E625" t="str">
        <f>VLOOKUP(D625,EpisodeFormats!$A$3:$B$999,2,0)</f>
        <v>Series</v>
      </c>
      <c r="F625">
        <v>6</v>
      </c>
      <c r="G625" t="str">
        <f>VLOOKUP(F625,Doctors!$A$3:$B$999,2,0)</f>
        <v>Colin Baker</v>
      </c>
      <c r="H625">
        <v>21</v>
      </c>
      <c r="I625">
        <v>1</v>
      </c>
      <c r="J625" t="str">
        <f>VLOOKUP(I625,SeasonFormats!$A$3:$B$999,2,0)</f>
        <v>Season</v>
      </c>
      <c r="K625">
        <v>136</v>
      </c>
      <c r="L625">
        <v>7</v>
      </c>
      <c r="M625" t="s">
        <v>494</v>
      </c>
      <c r="N625">
        <v>1</v>
      </c>
      <c r="O625" t="s">
        <v>9</v>
      </c>
      <c r="P625">
        <v>21</v>
      </c>
      <c r="Q625" s="6" t="d">
        <v>1984-03-22</v>
      </c>
      <c r="R625">
        <v>25</v>
      </c>
      <c r="S625"/>
      <c r="T625" s="15" t="s">
        <v>1170</v>
      </c>
      <c r="U625" t="str" cm="1">
        <f t="array" ref="U625">_xlfn.TEXTJOIN(",",TRUE,_xlfn.XLOOKUP(_xlfn.FILTERXML("&lt;t&gt;&lt;s&gt;" &amp; SUBSTITUTE(T625,",","&lt;/s&gt;&lt;s&gt;") &amp; "&lt;/s&gt;&lt;/t&gt;", "//s"),Writers!$A$3:$A$999,Writers!$B$3:$B$999,""))</f>
        <v>Anthony Steven</v>
      </c>
      <c r="V625"/>
      <c r="W625" t="str">
        <f>IF(V625="","",_xlfn.XLOOKUP(V625,Writers!$A$3:$A$999,Writers!$B$3:$B$999,""))</f>
        <v/>
      </c>
      <c r="X625">
        <v>7.6</v>
      </c>
      <c r="Y625"/>
      <c r="Z625"/>
      <c r="AA625">
        <f t="shared" si="27"/>
        <v>9.1999999999999993</v>
      </c>
      <c r="AB625" t="str">
        <f t="shared" si="28"/>
        <v/>
      </c>
      <c r="AC625" t="str">
        <f t="shared" si="29"/>
        <v/>
      </c>
      <c r="AD625">
        <f>VLOOKUP(YEAR(Q625),Populations!$A$3:$B$999,2,0)</f>
        <v>56409300</v>
      </c>
      <c r="AE625">
        <f>(Calculations!B1/AD625)</f>
        <v>1.2108806881134799</v>
      </c>
      <c r="AF625"/>
      <c r="AG625">
        <v>1</v>
      </c>
      <c r="AH625" t="str">
        <f>VLOOKUP(AG625,WikiFormats!$A$3:$B$999,2,0)</f>
        <v>Story</v>
      </c>
      <c r="AI625" t="s">
        <v>721</v>
      </c>
    </row>
    <row r="626" spans="1:35" s="2" customFormat="1" x14ac:dyDescent="0.55000000000000004">
      <c r="A626">
        <v>624</v>
      </c>
      <c r="B626">
        <v>1</v>
      </c>
      <c r="C626" t="str">
        <f>VLOOKUP(B626,Eras!$A$3:$B$999,2,0)</f>
        <v>Classic</v>
      </c>
      <c r="D626">
        <v>1</v>
      </c>
      <c r="E626" t="str">
        <f>VLOOKUP(D626,EpisodeFormats!$A$3:$B$999,2,0)</f>
        <v>Series</v>
      </c>
      <c r="F626">
        <v>6</v>
      </c>
      <c r="G626" t="str">
        <f>VLOOKUP(F626,Doctors!$A$3:$B$999,2,0)</f>
        <v>Colin Baker</v>
      </c>
      <c r="H626">
        <v>21</v>
      </c>
      <c r="I626">
        <v>1</v>
      </c>
      <c r="J626" t="str">
        <f>VLOOKUP(I626,SeasonFormats!$A$3:$B$999,2,0)</f>
        <v>Season</v>
      </c>
      <c r="K626">
        <v>136</v>
      </c>
      <c r="L626">
        <v>7</v>
      </c>
      <c r="M626" t="s">
        <v>494</v>
      </c>
      <c r="N626">
        <v>2</v>
      </c>
      <c r="O626" t="s">
        <v>10</v>
      </c>
      <c r="P626">
        <v>22</v>
      </c>
      <c r="Q626" s="6" t="d">
        <v>1984-03-23</v>
      </c>
      <c r="R626">
        <v>25</v>
      </c>
      <c r="S626"/>
      <c r="T626" s="15" t="s">
        <v>1170</v>
      </c>
      <c r="U626" t="str" cm="1">
        <f t="array" ref="U626">_xlfn.TEXTJOIN(",",TRUE,_xlfn.XLOOKUP(_xlfn.FILTERXML("&lt;t&gt;&lt;s&gt;" &amp; SUBSTITUTE(T626,",","&lt;/s&gt;&lt;s&gt;") &amp; "&lt;/s&gt;&lt;/t&gt;", "//s"),Writers!$A$3:$A$999,Writers!$B$3:$B$999,""))</f>
        <v>Anthony Steven</v>
      </c>
      <c r="V626"/>
      <c r="W626" t="str">
        <f>IF(V626="","",_xlfn.XLOOKUP(V626,Writers!$A$3:$A$999,Writers!$B$3:$B$999,""))</f>
        <v/>
      </c>
      <c r="X626">
        <v>7.4</v>
      </c>
      <c r="Y626"/>
      <c r="Z626"/>
      <c r="AA626">
        <f t="shared" si="27"/>
        <v>8.9600000000000009</v>
      </c>
      <c r="AB626" t="str">
        <f t="shared" si="28"/>
        <v/>
      </c>
      <c r="AC626" t="str">
        <f t="shared" si="29"/>
        <v/>
      </c>
      <c r="AD626">
        <f>VLOOKUP(YEAR(Q626),Populations!$A$3:$B$999,2,0)</f>
        <v>56409300</v>
      </c>
      <c r="AE626">
        <f>(Calculations!B1/AD626)</f>
        <v>1.2108806881134799</v>
      </c>
      <c r="AF626"/>
      <c r="AG626">
        <v>1</v>
      </c>
      <c r="AH626" t="str">
        <f>VLOOKUP(AG626,WikiFormats!$A$3:$B$999,2,0)</f>
        <v>Story</v>
      </c>
      <c r="AI626" t="s">
        <v>721</v>
      </c>
    </row>
    <row r="627" spans="1:35" s="2" customFormat="1" x14ac:dyDescent="0.55000000000000004">
      <c r="A627">
        <v>625</v>
      </c>
      <c r="B627">
        <v>1</v>
      </c>
      <c r="C627" t="str">
        <f>VLOOKUP(B627,Eras!$A$3:$B$999,2,0)</f>
        <v>Classic</v>
      </c>
      <c r="D627">
        <v>1</v>
      </c>
      <c r="E627" t="str">
        <f>VLOOKUP(D627,EpisodeFormats!$A$3:$B$999,2,0)</f>
        <v>Series</v>
      </c>
      <c r="F627">
        <v>6</v>
      </c>
      <c r="G627" t="str">
        <f>VLOOKUP(F627,Doctors!$A$3:$B$999,2,0)</f>
        <v>Colin Baker</v>
      </c>
      <c r="H627">
        <v>21</v>
      </c>
      <c r="I627">
        <v>1</v>
      </c>
      <c r="J627" t="str">
        <f>VLOOKUP(I627,SeasonFormats!$A$3:$B$999,2,0)</f>
        <v>Season</v>
      </c>
      <c r="K627">
        <v>136</v>
      </c>
      <c r="L627">
        <v>7</v>
      </c>
      <c r="M627" t="s">
        <v>494</v>
      </c>
      <c r="N627">
        <v>3</v>
      </c>
      <c r="O627" t="s">
        <v>11</v>
      </c>
      <c r="P627">
        <v>23</v>
      </c>
      <c r="Q627" s="6" t="d">
        <v>1984-03-29</v>
      </c>
      <c r="R627">
        <v>25</v>
      </c>
      <c r="S627"/>
      <c r="T627" s="15" t="s">
        <v>1170</v>
      </c>
      <c r="U627" t="str" cm="1">
        <f t="array" ref="U627">_xlfn.TEXTJOIN(",",TRUE,_xlfn.XLOOKUP(_xlfn.FILTERXML("&lt;t&gt;&lt;s&gt;" &amp; SUBSTITUTE(T627,",","&lt;/s&gt;&lt;s&gt;") &amp; "&lt;/s&gt;&lt;/t&gt;", "//s"),Writers!$A$3:$A$999,Writers!$B$3:$B$999,""))</f>
        <v>Anthony Steven</v>
      </c>
      <c r="V627"/>
      <c r="W627" t="str">
        <f>IF(V627="","",_xlfn.XLOOKUP(V627,Writers!$A$3:$A$999,Writers!$B$3:$B$999,""))</f>
        <v/>
      </c>
      <c r="X627">
        <v>7</v>
      </c>
      <c r="Y627"/>
      <c r="Z627"/>
      <c r="AA627">
        <f t="shared" si="27"/>
        <v>8.48</v>
      </c>
      <c r="AB627" t="str">
        <f t="shared" si="28"/>
        <v/>
      </c>
      <c r="AC627" t="str">
        <f t="shared" si="29"/>
        <v/>
      </c>
      <c r="AD627">
        <f>VLOOKUP(YEAR(Q627),Populations!$A$3:$B$999,2,0)</f>
        <v>56409300</v>
      </c>
      <c r="AE627">
        <f>(Calculations!B1/AD627)</f>
        <v>1.2108806881134799</v>
      </c>
      <c r="AF627"/>
      <c r="AG627">
        <v>1</v>
      </c>
      <c r="AH627" t="str">
        <f>VLOOKUP(AG627,WikiFormats!$A$3:$B$999,2,0)</f>
        <v>Story</v>
      </c>
      <c r="AI627" t="s">
        <v>721</v>
      </c>
    </row>
    <row r="628" spans="1:35" s="2" customFormat="1" x14ac:dyDescent="0.55000000000000004">
      <c r="A628">
        <v>626</v>
      </c>
      <c r="B628">
        <v>1</v>
      </c>
      <c r="C628" t="str">
        <f>VLOOKUP(B628,Eras!$A$3:$B$999,2,0)</f>
        <v>Classic</v>
      </c>
      <c r="D628">
        <v>1</v>
      </c>
      <c r="E628" t="str">
        <f>VLOOKUP(D628,EpisodeFormats!$A$3:$B$999,2,0)</f>
        <v>Series</v>
      </c>
      <c r="F628">
        <v>6</v>
      </c>
      <c r="G628" t="str">
        <f>VLOOKUP(F628,Doctors!$A$3:$B$999,2,0)</f>
        <v>Colin Baker</v>
      </c>
      <c r="H628">
        <v>21</v>
      </c>
      <c r="I628">
        <v>1</v>
      </c>
      <c r="J628" t="str">
        <f>VLOOKUP(I628,SeasonFormats!$A$3:$B$999,2,0)</f>
        <v>Season</v>
      </c>
      <c r="K628">
        <v>136</v>
      </c>
      <c r="L628">
        <v>7</v>
      </c>
      <c r="M628" t="s">
        <v>494</v>
      </c>
      <c r="N628">
        <v>4</v>
      </c>
      <c r="O628" t="s">
        <v>12</v>
      </c>
      <c r="P628">
        <v>24</v>
      </c>
      <c r="Q628" s="6" t="d">
        <v>1984-03-30</v>
      </c>
      <c r="R628">
        <v>25</v>
      </c>
      <c r="S628"/>
      <c r="T628" s="15" t="s">
        <v>1170</v>
      </c>
      <c r="U628" t="str" cm="1">
        <f t="array" ref="U628">_xlfn.TEXTJOIN(",",TRUE,_xlfn.XLOOKUP(_xlfn.FILTERXML("&lt;t&gt;&lt;s&gt;" &amp; SUBSTITUTE(T628,",","&lt;/s&gt;&lt;s&gt;") &amp; "&lt;/s&gt;&lt;/t&gt;", "//s"),Writers!$A$3:$A$999,Writers!$B$3:$B$999,""))</f>
        <v>Anthony Steven</v>
      </c>
      <c r="V628"/>
      <c r="W628" t="str">
        <f>IF(V628="","",_xlfn.XLOOKUP(V628,Writers!$A$3:$A$999,Writers!$B$3:$B$999,""))</f>
        <v/>
      </c>
      <c r="X628">
        <v>6.3</v>
      </c>
      <c r="Y628"/>
      <c r="Z628"/>
      <c r="AA628">
        <f t="shared" si="27"/>
        <v>7.63</v>
      </c>
      <c r="AB628" t="str">
        <f t="shared" si="28"/>
        <v/>
      </c>
      <c r="AC628" t="str">
        <f t="shared" si="29"/>
        <v/>
      </c>
      <c r="AD628">
        <f>VLOOKUP(YEAR(Q628),Populations!$A$3:$B$999,2,0)</f>
        <v>56409300</v>
      </c>
      <c r="AE628">
        <f>(Calculations!B1/AD628)</f>
        <v>1.2108806881134799</v>
      </c>
      <c r="AF628"/>
      <c r="AG628">
        <v>1</v>
      </c>
      <c r="AH628" t="str">
        <f>VLOOKUP(AG628,WikiFormats!$A$3:$B$999,2,0)</f>
        <v>Story</v>
      </c>
      <c r="AI628" t="s">
        <v>721</v>
      </c>
    </row>
    <row r="629" spans="1:35" s="8" customFormat="1" x14ac:dyDescent="0.55000000000000004">
      <c r="A629" s="3">
        <v>627</v>
      </c>
      <c r="B629" s="3">
        <v>1</v>
      </c>
      <c r="C629" s="3" t="str">
        <f>VLOOKUP(B629,Eras!$A$3:$B$999,2,0)</f>
        <v>Classic</v>
      </c>
      <c r="D629" s="3">
        <v>1</v>
      </c>
      <c r="E629" s="3" t="str">
        <f>VLOOKUP(D629,EpisodeFormats!$A$3:$B$999,2,0)</f>
        <v>Series</v>
      </c>
      <c r="F629" s="3">
        <v>6</v>
      </c>
      <c r="G629" s="3" t="str">
        <f>VLOOKUP(F629,Doctors!$A$3:$B$999,2,0)</f>
        <v>Colin Baker</v>
      </c>
      <c r="H629" s="3">
        <v>22</v>
      </c>
      <c r="I629" s="3">
        <v>1</v>
      </c>
      <c r="J629" s="3" t="str">
        <f>VLOOKUP(I629,SeasonFormats!$A$3:$B$999,2,0)</f>
        <v>Season</v>
      </c>
      <c r="K629" s="3">
        <v>137</v>
      </c>
      <c r="L629" s="3">
        <v>1</v>
      </c>
      <c r="M629" s="3" t="s">
        <v>495</v>
      </c>
      <c r="N629" s="3">
        <v>1</v>
      </c>
      <c r="O629" s="3" t="s">
        <v>9</v>
      </c>
      <c r="P629" s="3">
        <v>1</v>
      </c>
      <c r="Q629" s="7" t="d">
        <v>1985-01-05</v>
      </c>
      <c r="R629" s="3">
        <v>44</v>
      </c>
      <c r="S629" s="3"/>
      <c r="T629" s="4" t="s">
        <v>1156</v>
      </c>
      <c r="U629" s="3" t="str" cm="1">
        <f t="array" ref="U629">_xlfn.TEXTJOIN(",",TRUE,_xlfn.XLOOKUP(_xlfn.FILTERXML("&lt;t&gt;&lt;s&gt;" &amp; SUBSTITUTE(T629,",","&lt;/s&gt;&lt;s&gt;") &amp; "&lt;/s&gt;&lt;/t&gt;", "//s"),Writers!$A$3:$A$999,Writers!$B$3:$B$999,""))</f>
        <v>Paula Moore</v>
      </c>
      <c r="V629" s="3"/>
      <c r="W629" s="3" t="str">
        <f>IF(V629="","",_xlfn.XLOOKUP(V629,Writers!$A$3:$A$999,Writers!$B$3:$B$999,""))</f>
        <v/>
      </c>
      <c r="X629" s="3">
        <v>8.9</v>
      </c>
      <c r="Y629" s="3"/>
      <c r="Z629" s="3"/>
      <c r="AA629" s="3">
        <f t="shared" si="27"/>
        <v>10.75</v>
      </c>
      <c r="AB629" s="3" t="str">
        <f t="shared" si="28"/>
        <v/>
      </c>
      <c r="AC629" s="3" t="str">
        <f t="shared" si="29"/>
        <v/>
      </c>
      <c r="AD629" s="3">
        <f>VLOOKUP(YEAR(Q629),Populations!$A$3:$B$999,2,0)</f>
        <v>56554000</v>
      </c>
      <c r="AE629" s="3">
        <f>(Calculations!B1/AD629)</f>
        <v>1.2077825087527001</v>
      </c>
      <c r="AF629" s="3"/>
      <c r="AG629" s="3">
        <v>1</v>
      </c>
      <c r="AH629" s="3" t="str">
        <f>VLOOKUP(AG629,WikiFormats!$A$3:$B$999,2,0)</f>
        <v>Story</v>
      </c>
      <c r="AI629" s="3" t="s">
        <v>722</v>
      </c>
    </row>
    <row r="630" spans="1:35" s="8" customFormat="1" x14ac:dyDescent="0.55000000000000004">
      <c r="A630" s="3">
        <v>628</v>
      </c>
      <c r="B630" s="3">
        <v>1</v>
      </c>
      <c r="C630" s="3" t="str">
        <f>VLOOKUP(B630,Eras!$A$3:$B$999,2,0)</f>
        <v>Classic</v>
      </c>
      <c r="D630" s="3">
        <v>1</v>
      </c>
      <c r="E630" s="3" t="str">
        <f>VLOOKUP(D630,EpisodeFormats!$A$3:$B$999,2,0)</f>
        <v>Series</v>
      </c>
      <c r="F630" s="3">
        <v>6</v>
      </c>
      <c r="G630" s="3" t="str">
        <f>VLOOKUP(F630,Doctors!$A$3:$B$999,2,0)</f>
        <v>Colin Baker</v>
      </c>
      <c r="H630" s="3">
        <v>22</v>
      </c>
      <c r="I630" s="3">
        <v>1</v>
      </c>
      <c r="J630" s="3" t="str">
        <f>VLOOKUP(I630,SeasonFormats!$A$3:$B$999,2,0)</f>
        <v>Season</v>
      </c>
      <c r="K630" s="3">
        <v>137</v>
      </c>
      <c r="L630" s="3">
        <v>1</v>
      </c>
      <c r="M630" s="3" t="s">
        <v>495</v>
      </c>
      <c r="N630" s="3">
        <v>2</v>
      </c>
      <c r="O630" s="3" t="s">
        <v>10</v>
      </c>
      <c r="P630" s="3">
        <v>2</v>
      </c>
      <c r="Q630" s="7" t="d">
        <v>1985-01-12</v>
      </c>
      <c r="R630" s="3">
        <v>45</v>
      </c>
      <c r="S630" s="3"/>
      <c r="T630" s="4" t="s">
        <v>1156</v>
      </c>
      <c r="U630" s="3" t="str" cm="1">
        <f t="array" ref="U630">_xlfn.TEXTJOIN(",",TRUE,_xlfn.XLOOKUP(_xlfn.FILTERXML("&lt;t&gt;&lt;s&gt;" &amp; SUBSTITUTE(T630,",","&lt;/s&gt;&lt;s&gt;") &amp; "&lt;/s&gt;&lt;/t&gt;", "//s"),Writers!$A$3:$A$999,Writers!$B$3:$B$999,""))</f>
        <v>Paula Moore</v>
      </c>
      <c r="V630" s="3"/>
      <c r="W630" s="3" t="str">
        <f>IF(V630="","",_xlfn.XLOOKUP(V630,Writers!$A$3:$A$999,Writers!$B$3:$B$999,""))</f>
        <v/>
      </c>
      <c r="X630" s="3">
        <v>7.2</v>
      </c>
      <c r="Y630" s="3"/>
      <c r="Z630" s="3"/>
      <c r="AA630" s="3">
        <f t="shared" si="27"/>
        <v>8.6999999999999993</v>
      </c>
      <c r="AB630" s="3" t="str">
        <f t="shared" si="28"/>
        <v/>
      </c>
      <c r="AC630" s="3" t="str">
        <f t="shared" si="29"/>
        <v/>
      </c>
      <c r="AD630" s="3">
        <f>VLOOKUP(YEAR(Q630),Populations!$A$3:$B$999,2,0)</f>
        <v>56554000</v>
      </c>
      <c r="AE630" s="3">
        <f>(Calculations!B1/AD630)</f>
        <v>1.2077825087527001</v>
      </c>
      <c r="AF630" s="3"/>
      <c r="AG630" s="3">
        <v>1</v>
      </c>
      <c r="AH630" s="3" t="str">
        <f>VLOOKUP(AG630,WikiFormats!$A$3:$B$999,2,0)</f>
        <v>Story</v>
      </c>
      <c r="AI630" s="3" t="s">
        <v>722</v>
      </c>
    </row>
    <row r="631" spans="1:35" s="2" customFormat="1" x14ac:dyDescent="0.55000000000000004">
      <c r="A631">
        <v>629</v>
      </c>
      <c r="B631">
        <v>1</v>
      </c>
      <c r="C631" t="str">
        <f>VLOOKUP(B631,Eras!$A$3:$B$999,2,0)</f>
        <v>Classic</v>
      </c>
      <c r="D631">
        <v>1</v>
      </c>
      <c r="E631" t="str">
        <f>VLOOKUP(D631,EpisodeFormats!$A$3:$B$999,2,0)</f>
        <v>Series</v>
      </c>
      <c r="F631">
        <v>6</v>
      </c>
      <c r="G631" t="str">
        <f>VLOOKUP(F631,Doctors!$A$3:$B$999,2,0)</f>
        <v>Colin Baker</v>
      </c>
      <c r="H631">
        <v>22</v>
      </c>
      <c r="I631">
        <v>1</v>
      </c>
      <c r="J631" t="str">
        <f>VLOOKUP(I631,SeasonFormats!$A$3:$B$999,2,0)</f>
        <v>Season</v>
      </c>
      <c r="K631">
        <v>138</v>
      </c>
      <c r="L631">
        <v>2</v>
      </c>
      <c r="M631" t="s">
        <v>496</v>
      </c>
      <c r="N631">
        <v>1</v>
      </c>
      <c r="O631" t="s">
        <v>9</v>
      </c>
      <c r="P631">
        <v>3</v>
      </c>
      <c r="Q631" s="6" t="d">
        <v>1985-01-19</v>
      </c>
      <c r="R631">
        <v>45</v>
      </c>
      <c r="S631"/>
      <c r="T631" s="15" t="s">
        <v>1140</v>
      </c>
      <c r="U631" t="str" cm="1">
        <f t="array" ref="U631">_xlfn.TEXTJOIN(",",TRUE,_xlfn.XLOOKUP(_xlfn.FILTERXML("&lt;t&gt;&lt;s&gt;" &amp; SUBSTITUTE(T631,",","&lt;/s&gt;&lt;s&gt;") &amp; "&lt;/s&gt;&lt;/t&gt;", "//s"),Writers!$A$3:$A$999,Writers!$B$3:$B$999,""))</f>
        <v>Philip Martin</v>
      </c>
      <c r="V631"/>
      <c r="W631" t="str">
        <f>IF(V631="","",_xlfn.XLOOKUP(V631,Writers!$A$3:$A$999,Writers!$B$3:$B$999,""))</f>
        <v/>
      </c>
      <c r="X631">
        <v>7.2</v>
      </c>
      <c r="Y631"/>
      <c r="Z631"/>
      <c r="AA631">
        <f t="shared" si="27"/>
        <v>8.6999999999999993</v>
      </c>
      <c r="AB631" t="str">
        <f t="shared" si="28"/>
        <v/>
      </c>
      <c r="AC631" t="str">
        <f t="shared" si="29"/>
        <v/>
      </c>
      <c r="AD631">
        <f>VLOOKUP(YEAR(Q631),Populations!$A$3:$B$999,2,0)</f>
        <v>56554000</v>
      </c>
      <c r="AE631">
        <f>(Calculations!B1/AD631)</f>
        <v>1.2077825087527001</v>
      </c>
      <c r="AF631"/>
      <c r="AG631">
        <v>1</v>
      </c>
      <c r="AH631" t="str">
        <f>VLOOKUP(AG631,WikiFormats!$A$3:$B$999,2,0)</f>
        <v>Story</v>
      </c>
      <c r="AI631" t="s">
        <v>723</v>
      </c>
    </row>
    <row r="632" spans="1:35" s="2" customFormat="1" x14ac:dyDescent="0.55000000000000004">
      <c r="A632">
        <v>630</v>
      </c>
      <c r="B632">
        <v>1</v>
      </c>
      <c r="C632" t="str">
        <f>VLOOKUP(B632,Eras!$A$3:$B$999,2,0)</f>
        <v>Classic</v>
      </c>
      <c r="D632">
        <v>1</v>
      </c>
      <c r="E632" t="str">
        <f>VLOOKUP(D632,EpisodeFormats!$A$3:$B$999,2,0)</f>
        <v>Series</v>
      </c>
      <c r="F632">
        <v>6</v>
      </c>
      <c r="G632" t="str">
        <f>VLOOKUP(F632,Doctors!$A$3:$B$999,2,0)</f>
        <v>Colin Baker</v>
      </c>
      <c r="H632">
        <v>22</v>
      </c>
      <c r="I632">
        <v>1</v>
      </c>
      <c r="J632" t="str">
        <f>VLOOKUP(I632,SeasonFormats!$A$3:$B$999,2,0)</f>
        <v>Season</v>
      </c>
      <c r="K632">
        <v>138</v>
      </c>
      <c r="L632">
        <v>2</v>
      </c>
      <c r="M632" t="s">
        <v>496</v>
      </c>
      <c r="N632">
        <v>2</v>
      </c>
      <c r="O632" t="s">
        <v>10</v>
      </c>
      <c r="P632">
        <v>4</v>
      </c>
      <c r="Q632" s="6" t="d">
        <v>1985-01-26</v>
      </c>
      <c r="R632">
        <v>45</v>
      </c>
      <c r="S632"/>
      <c r="T632" s="15" t="s">
        <v>1140</v>
      </c>
      <c r="U632" t="str" cm="1">
        <f t="array" ref="U632">_xlfn.TEXTJOIN(",",TRUE,_xlfn.XLOOKUP(_xlfn.FILTERXML("&lt;t&gt;&lt;s&gt;" &amp; SUBSTITUTE(T632,",","&lt;/s&gt;&lt;s&gt;") &amp; "&lt;/s&gt;&lt;/t&gt;", "//s"),Writers!$A$3:$A$999,Writers!$B$3:$B$999,""))</f>
        <v>Philip Martin</v>
      </c>
      <c r="V632"/>
      <c r="W632" t="str">
        <f>IF(V632="","",_xlfn.XLOOKUP(V632,Writers!$A$3:$A$999,Writers!$B$3:$B$999,""))</f>
        <v/>
      </c>
      <c r="X632">
        <v>7</v>
      </c>
      <c r="Y632"/>
      <c r="Z632"/>
      <c r="AA632">
        <f t="shared" si="27"/>
        <v>8.4499999999999993</v>
      </c>
      <c r="AB632" t="str">
        <f t="shared" si="28"/>
        <v/>
      </c>
      <c r="AC632" t="str">
        <f t="shared" si="29"/>
        <v/>
      </c>
      <c r="AD632">
        <f>VLOOKUP(YEAR(Q632),Populations!$A$3:$B$999,2,0)</f>
        <v>56554000</v>
      </c>
      <c r="AE632">
        <f>(Calculations!B1/AD632)</f>
        <v>1.2077825087527001</v>
      </c>
      <c r="AF632"/>
      <c r="AG632">
        <v>1</v>
      </c>
      <c r="AH632" t="str">
        <f>VLOOKUP(AG632,WikiFormats!$A$3:$B$999,2,0)</f>
        <v>Story</v>
      </c>
      <c r="AI632" t="s">
        <v>723</v>
      </c>
    </row>
    <row r="633" spans="1:35" s="8" customFormat="1" x14ac:dyDescent="0.55000000000000004">
      <c r="A633" s="3">
        <v>631</v>
      </c>
      <c r="B633" s="3">
        <v>1</v>
      </c>
      <c r="C633" s="3" t="str">
        <f>VLOOKUP(B633,Eras!$A$3:$B$999,2,0)</f>
        <v>Classic</v>
      </c>
      <c r="D633" s="3">
        <v>1</v>
      </c>
      <c r="E633" s="3" t="str">
        <f>VLOOKUP(D633,EpisodeFormats!$A$3:$B$999,2,0)</f>
        <v>Series</v>
      </c>
      <c r="F633" s="3">
        <v>6</v>
      </c>
      <c r="G633" s="3" t="str">
        <f>VLOOKUP(F633,Doctors!$A$3:$B$999,2,0)</f>
        <v>Colin Baker</v>
      </c>
      <c r="H633" s="3">
        <v>22</v>
      </c>
      <c r="I633" s="3">
        <v>1</v>
      </c>
      <c r="J633" s="3" t="str">
        <f>VLOOKUP(I633,SeasonFormats!$A$3:$B$999,2,0)</f>
        <v>Season</v>
      </c>
      <c r="K633" s="3">
        <v>139</v>
      </c>
      <c r="L633" s="3">
        <v>3</v>
      </c>
      <c r="M633" s="3" t="s">
        <v>497</v>
      </c>
      <c r="N633" s="3">
        <v>1</v>
      </c>
      <c r="O633" s="3" t="s">
        <v>9</v>
      </c>
      <c r="P633" s="3">
        <v>5</v>
      </c>
      <c r="Q633" s="7" t="d">
        <v>1985-02-02</v>
      </c>
      <c r="R633" s="3">
        <v>45</v>
      </c>
      <c r="S633" s="3"/>
      <c r="T633" s="4" t="s">
        <v>1075</v>
      </c>
      <c r="U633" s="3" t="str" cm="1">
        <f t="array" ref="U633">_xlfn.TEXTJOIN(",",TRUE,_xlfn.XLOOKUP(_xlfn.FILTERXML("&lt;t&gt;&lt;s&gt;" &amp; SUBSTITUTE(T633,",","&lt;/s&gt;&lt;s&gt;") &amp; "&lt;/s&gt;&lt;/t&gt;", "//s"),Writers!$A$3:$A$999,Writers!$B$3:$B$999,""))</f>
        <v>Pip and Jane Baker</v>
      </c>
      <c r="V633" s="3"/>
      <c r="W633" s="3" t="str">
        <f>IF(V633="","",_xlfn.XLOOKUP(V633,Writers!$A$3:$A$999,Writers!$B$3:$B$999,""))</f>
        <v/>
      </c>
      <c r="X633" s="3">
        <v>6.3</v>
      </c>
      <c r="Y633" s="3"/>
      <c r="Z633" s="3"/>
      <c r="AA633" s="3">
        <f t="shared" si="27"/>
        <v>7.61</v>
      </c>
      <c r="AB633" s="3" t="str">
        <f t="shared" si="28"/>
        <v/>
      </c>
      <c r="AC633" s="3" t="str">
        <f t="shared" si="29"/>
        <v/>
      </c>
      <c r="AD633" s="3">
        <f>VLOOKUP(YEAR(Q633),Populations!$A$3:$B$999,2,0)</f>
        <v>56554000</v>
      </c>
      <c r="AE633" s="3">
        <f>(Calculations!B1/AD633)</f>
        <v>1.2077825087527001</v>
      </c>
      <c r="AF633" s="3"/>
      <c r="AG633" s="3">
        <v>1</v>
      </c>
      <c r="AH633" s="3" t="str">
        <f>VLOOKUP(AG633,WikiFormats!$A$3:$B$999,2,0)</f>
        <v>Story</v>
      </c>
      <c r="AI633" s="3" t="s">
        <v>724</v>
      </c>
    </row>
    <row r="634" spans="1:35" s="8" customFormat="1" x14ac:dyDescent="0.55000000000000004">
      <c r="A634" s="3">
        <v>632</v>
      </c>
      <c r="B634" s="3">
        <v>1</v>
      </c>
      <c r="C634" s="3" t="str">
        <f>VLOOKUP(B634,Eras!$A$3:$B$999,2,0)</f>
        <v>Classic</v>
      </c>
      <c r="D634" s="3">
        <v>1</v>
      </c>
      <c r="E634" s="3" t="str">
        <f>VLOOKUP(D634,EpisodeFormats!$A$3:$B$999,2,0)</f>
        <v>Series</v>
      </c>
      <c r="F634" s="3">
        <v>6</v>
      </c>
      <c r="G634" s="3" t="str">
        <f>VLOOKUP(F634,Doctors!$A$3:$B$999,2,0)</f>
        <v>Colin Baker</v>
      </c>
      <c r="H634" s="3">
        <v>22</v>
      </c>
      <c r="I634" s="3">
        <v>1</v>
      </c>
      <c r="J634" s="3" t="str">
        <f>VLOOKUP(I634,SeasonFormats!$A$3:$B$999,2,0)</f>
        <v>Season</v>
      </c>
      <c r="K634" s="3">
        <v>139</v>
      </c>
      <c r="L634" s="3">
        <v>3</v>
      </c>
      <c r="M634" s="3" t="s">
        <v>497</v>
      </c>
      <c r="N634" s="3">
        <v>2</v>
      </c>
      <c r="O634" s="3" t="s">
        <v>10</v>
      </c>
      <c r="P634" s="3">
        <v>6</v>
      </c>
      <c r="Q634" s="7" t="d">
        <v>1985-02-09</v>
      </c>
      <c r="R634" s="3">
        <v>45</v>
      </c>
      <c r="S634" s="3"/>
      <c r="T634" s="4" t="s">
        <v>1075</v>
      </c>
      <c r="U634" s="3" t="str" cm="1">
        <f t="array" ref="U634">_xlfn.TEXTJOIN(",",TRUE,_xlfn.XLOOKUP(_xlfn.FILTERXML("&lt;t&gt;&lt;s&gt;" &amp; SUBSTITUTE(T634,",","&lt;/s&gt;&lt;s&gt;") &amp; "&lt;/s&gt;&lt;/t&gt;", "//s"),Writers!$A$3:$A$999,Writers!$B$3:$B$999,""))</f>
        <v>Pip and Jane Baker</v>
      </c>
      <c r="V634" s="3"/>
      <c r="W634" s="3" t="str">
        <f>IF(V634="","",_xlfn.XLOOKUP(V634,Writers!$A$3:$A$999,Writers!$B$3:$B$999,""))</f>
        <v/>
      </c>
      <c r="X634" s="3">
        <v>7.3</v>
      </c>
      <c r="Y634" s="3"/>
      <c r="Z634" s="3"/>
      <c r="AA634" s="3">
        <f t="shared" si="27"/>
        <v>8.82</v>
      </c>
      <c r="AB634" s="3" t="str">
        <f t="shared" si="28"/>
        <v/>
      </c>
      <c r="AC634" s="3" t="str">
        <f t="shared" si="29"/>
        <v/>
      </c>
      <c r="AD634" s="3">
        <f>VLOOKUP(YEAR(Q634),Populations!$A$3:$B$999,2,0)</f>
        <v>56554000</v>
      </c>
      <c r="AE634" s="3">
        <f>(Calculations!B1/AD634)</f>
        <v>1.2077825087527001</v>
      </c>
      <c r="AF634" s="3"/>
      <c r="AG634" s="3">
        <v>1</v>
      </c>
      <c r="AH634" s="3" t="str">
        <f>VLOOKUP(AG634,WikiFormats!$A$3:$B$999,2,0)</f>
        <v>Story</v>
      </c>
      <c r="AI634" s="3" t="s">
        <v>724</v>
      </c>
    </row>
    <row r="635" spans="1:35" s="2" customFormat="1" x14ac:dyDescent="0.55000000000000004">
      <c r="A635">
        <v>633</v>
      </c>
      <c r="B635">
        <v>1</v>
      </c>
      <c r="C635" t="str">
        <f>VLOOKUP(B635,Eras!$A$3:$B$999,2,0)</f>
        <v>Classic</v>
      </c>
      <c r="D635">
        <v>1</v>
      </c>
      <c r="E635" t="str">
        <f>VLOOKUP(D635,EpisodeFormats!$A$3:$B$999,2,0)</f>
        <v>Series</v>
      </c>
      <c r="F635">
        <v>6</v>
      </c>
      <c r="G635" t="str">
        <f>VLOOKUP(F635,Doctors!$A$3:$B$999,2,0)</f>
        <v>Colin Baker</v>
      </c>
      <c r="H635">
        <v>22</v>
      </c>
      <c r="I635">
        <v>1</v>
      </c>
      <c r="J635" t="str">
        <f>VLOOKUP(I635,SeasonFormats!$A$3:$B$999,2,0)</f>
        <v>Season</v>
      </c>
      <c r="K635">
        <v>140</v>
      </c>
      <c r="L635">
        <v>4</v>
      </c>
      <c r="M635" t="s">
        <v>498</v>
      </c>
      <c r="N635">
        <v>1</v>
      </c>
      <c r="O635" t="s">
        <v>9</v>
      </c>
      <c r="P635">
        <v>7</v>
      </c>
      <c r="Q635" s="6" t="d">
        <v>1985-02-16</v>
      </c>
      <c r="R635">
        <v>44</v>
      </c>
      <c r="S635"/>
      <c r="T635" s="15" t="s">
        <v>1122</v>
      </c>
      <c r="U635" t="str" cm="1">
        <f t="array" ref="U635">_xlfn.TEXTJOIN(",",TRUE,_xlfn.XLOOKUP(_xlfn.FILTERXML("&lt;t&gt;&lt;s&gt;" &amp; SUBSTITUTE(T635,",","&lt;/s&gt;&lt;s&gt;") &amp; "&lt;/s&gt;&lt;/t&gt;", "//s"),Writers!$A$3:$A$999,Writers!$B$3:$B$999,""))</f>
        <v>Robert Holmes</v>
      </c>
      <c r="V635"/>
      <c r="W635" t="str">
        <f>IF(V635="","",_xlfn.XLOOKUP(V635,Writers!$A$3:$A$999,Writers!$B$3:$B$999,""))</f>
        <v/>
      </c>
      <c r="X635">
        <v>6.6</v>
      </c>
      <c r="Y635"/>
      <c r="Z635"/>
      <c r="AA635">
        <f t="shared" si="27"/>
        <v>7.97</v>
      </c>
      <c r="AB635" t="str">
        <f t="shared" si="28"/>
        <v/>
      </c>
      <c r="AC635" t="str">
        <f t="shared" si="29"/>
        <v/>
      </c>
      <c r="AD635">
        <f>VLOOKUP(YEAR(Q635),Populations!$A$3:$B$999,2,0)</f>
        <v>56554000</v>
      </c>
      <c r="AE635">
        <f>(Calculations!B1/AD635)</f>
        <v>1.2077825087527001</v>
      </c>
      <c r="AF635"/>
      <c r="AG635">
        <v>1</v>
      </c>
      <c r="AH635" t="str">
        <f>VLOOKUP(AG635,WikiFormats!$A$3:$B$999,2,0)</f>
        <v>Story</v>
      </c>
      <c r="AI635" t="s">
        <v>725</v>
      </c>
    </row>
    <row r="636" spans="1:35" s="2" customFormat="1" x14ac:dyDescent="0.55000000000000004">
      <c r="A636">
        <v>634</v>
      </c>
      <c r="B636">
        <v>1</v>
      </c>
      <c r="C636" t="str">
        <f>VLOOKUP(B636,Eras!$A$3:$B$999,2,0)</f>
        <v>Classic</v>
      </c>
      <c r="D636">
        <v>1</v>
      </c>
      <c r="E636" t="str">
        <f>VLOOKUP(D636,EpisodeFormats!$A$3:$B$999,2,0)</f>
        <v>Series</v>
      </c>
      <c r="F636">
        <v>6</v>
      </c>
      <c r="G636" t="str">
        <f>VLOOKUP(F636,Doctors!$A$3:$B$999,2,0)</f>
        <v>Colin Baker</v>
      </c>
      <c r="H636">
        <v>22</v>
      </c>
      <c r="I636">
        <v>1</v>
      </c>
      <c r="J636" t="str">
        <f>VLOOKUP(I636,SeasonFormats!$A$3:$B$999,2,0)</f>
        <v>Season</v>
      </c>
      <c r="K636">
        <v>140</v>
      </c>
      <c r="L636">
        <v>4</v>
      </c>
      <c r="M636" t="s">
        <v>498</v>
      </c>
      <c r="N636">
        <v>2</v>
      </c>
      <c r="O636" t="s">
        <v>10</v>
      </c>
      <c r="P636">
        <v>8</v>
      </c>
      <c r="Q636" s="6" t="d">
        <v>1985-02-23</v>
      </c>
      <c r="R636">
        <v>45</v>
      </c>
      <c r="S636"/>
      <c r="T636" s="15" t="s">
        <v>1122</v>
      </c>
      <c r="U636" t="str" cm="1">
        <f t="array" ref="U636">_xlfn.TEXTJOIN(",",TRUE,_xlfn.XLOOKUP(_xlfn.FILTERXML("&lt;t&gt;&lt;s&gt;" &amp; SUBSTITUTE(T636,",","&lt;/s&gt;&lt;s&gt;") &amp; "&lt;/s&gt;&lt;/t&gt;", "//s"),Writers!$A$3:$A$999,Writers!$B$3:$B$999,""))</f>
        <v>Robert Holmes</v>
      </c>
      <c r="V636"/>
      <c r="W636" t="str">
        <f>IF(V636="","",_xlfn.XLOOKUP(V636,Writers!$A$3:$A$999,Writers!$B$3:$B$999,""))</f>
        <v/>
      </c>
      <c r="X636">
        <v>6</v>
      </c>
      <c r="Y636"/>
      <c r="Z636"/>
      <c r="AA636">
        <f t="shared" si="27"/>
        <v>7.25</v>
      </c>
      <c r="AB636" t="str">
        <f t="shared" si="28"/>
        <v/>
      </c>
      <c r="AC636" t="str">
        <f t="shared" si="29"/>
        <v/>
      </c>
      <c r="AD636">
        <f>VLOOKUP(YEAR(Q636),Populations!$A$3:$B$999,2,0)</f>
        <v>56554000</v>
      </c>
      <c r="AE636">
        <f>(Calculations!B1/AD636)</f>
        <v>1.2077825087527001</v>
      </c>
      <c r="AF636"/>
      <c r="AG636">
        <v>1</v>
      </c>
      <c r="AH636" t="str">
        <f>VLOOKUP(AG636,WikiFormats!$A$3:$B$999,2,0)</f>
        <v>Story</v>
      </c>
      <c r="AI636" t="s">
        <v>725</v>
      </c>
    </row>
    <row r="637" spans="1:35" s="2" customFormat="1" x14ac:dyDescent="0.55000000000000004">
      <c r="A637">
        <v>635</v>
      </c>
      <c r="B637">
        <v>1</v>
      </c>
      <c r="C637" t="str">
        <f>VLOOKUP(B637,Eras!$A$3:$B$999,2,0)</f>
        <v>Classic</v>
      </c>
      <c r="D637">
        <v>1</v>
      </c>
      <c r="E637" t="str">
        <f>VLOOKUP(D637,EpisodeFormats!$A$3:$B$999,2,0)</f>
        <v>Series</v>
      </c>
      <c r="F637">
        <v>6</v>
      </c>
      <c r="G637" t="str">
        <f>VLOOKUP(F637,Doctors!$A$3:$B$999,2,0)</f>
        <v>Colin Baker</v>
      </c>
      <c r="H637">
        <v>22</v>
      </c>
      <c r="I637">
        <v>1</v>
      </c>
      <c r="J637" t="str">
        <f>VLOOKUP(I637,SeasonFormats!$A$3:$B$999,2,0)</f>
        <v>Season</v>
      </c>
      <c r="K637">
        <v>140</v>
      </c>
      <c r="L637">
        <v>4</v>
      </c>
      <c r="M637" t="s">
        <v>498</v>
      </c>
      <c r="N637">
        <v>3</v>
      </c>
      <c r="O637" t="s">
        <v>11</v>
      </c>
      <c r="P637">
        <v>9</v>
      </c>
      <c r="Q637" s="6" t="d">
        <v>1985-03-02</v>
      </c>
      <c r="R637">
        <v>45</v>
      </c>
      <c r="S637"/>
      <c r="T637" s="15" t="s">
        <v>1122</v>
      </c>
      <c r="U637" t="str" cm="1">
        <f t="array" ref="U637">_xlfn.TEXTJOIN(",",TRUE,_xlfn.XLOOKUP(_xlfn.FILTERXML("&lt;t&gt;&lt;s&gt;" &amp; SUBSTITUTE(T637,",","&lt;/s&gt;&lt;s&gt;") &amp; "&lt;/s&gt;&lt;/t&gt;", "//s"),Writers!$A$3:$A$999,Writers!$B$3:$B$999,""))</f>
        <v>Robert Holmes</v>
      </c>
      <c r="V637"/>
      <c r="W637" t="str">
        <f>IF(V637="","",_xlfn.XLOOKUP(V637,Writers!$A$3:$A$999,Writers!$B$3:$B$999,""))</f>
        <v/>
      </c>
      <c r="X637">
        <v>6.9</v>
      </c>
      <c r="Y637"/>
      <c r="Z637"/>
      <c r="AA637">
        <f t="shared" si="27"/>
        <v>8.33</v>
      </c>
      <c r="AB637" t="str">
        <f t="shared" si="28"/>
        <v/>
      </c>
      <c r="AC637" t="str">
        <f t="shared" si="29"/>
        <v/>
      </c>
      <c r="AD637">
        <f>VLOOKUP(YEAR(Q637),Populations!$A$3:$B$999,2,0)</f>
        <v>56554000</v>
      </c>
      <c r="AE637">
        <f>(Calculations!B1/AD637)</f>
        <v>1.2077825087527001</v>
      </c>
      <c r="AF637"/>
      <c r="AG637">
        <v>1</v>
      </c>
      <c r="AH637" t="str">
        <f>VLOOKUP(AG637,WikiFormats!$A$3:$B$999,2,0)</f>
        <v>Story</v>
      </c>
      <c r="AI637" t="s">
        <v>725</v>
      </c>
    </row>
    <row r="638" spans="1:35" s="8" customFormat="1" x14ac:dyDescent="0.55000000000000004">
      <c r="A638" s="3">
        <v>636</v>
      </c>
      <c r="B638" s="3">
        <v>1</v>
      </c>
      <c r="C638" s="3" t="str">
        <f>VLOOKUP(B638,Eras!$A$3:$B$999,2,0)</f>
        <v>Classic</v>
      </c>
      <c r="D638" s="3">
        <v>1</v>
      </c>
      <c r="E638" s="3" t="str">
        <f>VLOOKUP(D638,EpisodeFormats!$A$3:$B$999,2,0)</f>
        <v>Series</v>
      </c>
      <c r="F638" s="3">
        <v>6</v>
      </c>
      <c r="G638" s="3" t="str">
        <f>VLOOKUP(F638,Doctors!$A$3:$B$999,2,0)</f>
        <v>Colin Baker</v>
      </c>
      <c r="H638" s="3">
        <v>22</v>
      </c>
      <c r="I638" s="3">
        <v>1</v>
      </c>
      <c r="J638" s="3" t="str">
        <f>VLOOKUP(I638,SeasonFormats!$A$3:$B$999,2,0)</f>
        <v>Season</v>
      </c>
      <c r="K638" s="3">
        <v>141</v>
      </c>
      <c r="L638" s="3">
        <v>5</v>
      </c>
      <c r="M638" s="3" t="s">
        <v>499</v>
      </c>
      <c r="N638" s="3">
        <v>1</v>
      </c>
      <c r="O638" s="3" t="s">
        <v>9</v>
      </c>
      <c r="P638" s="3">
        <v>10</v>
      </c>
      <c r="Q638" s="7" t="d">
        <v>1985-03-09</v>
      </c>
      <c r="R638" s="3">
        <v>45</v>
      </c>
      <c r="S638" s="3"/>
      <c r="T638" s="4" t="s">
        <v>1142</v>
      </c>
      <c r="U638" s="3" t="str" cm="1">
        <f t="array" ref="U638">_xlfn.TEXTJOIN(",",TRUE,_xlfn.XLOOKUP(_xlfn.FILTERXML("&lt;t&gt;&lt;s&gt;" &amp; SUBSTITUTE(T638,",","&lt;/s&gt;&lt;s&gt;") &amp; "&lt;/s&gt;&lt;/t&gt;", "//s"),Writers!$A$3:$A$999,Writers!$B$3:$B$999,""))</f>
        <v>Glen McCoy</v>
      </c>
      <c r="V638" s="3"/>
      <c r="W638" s="3" t="str">
        <f>IF(V638="","",_xlfn.XLOOKUP(V638,Writers!$A$3:$A$999,Writers!$B$3:$B$999,""))</f>
        <v/>
      </c>
      <c r="X638" s="3">
        <v>6.7</v>
      </c>
      <c r="Y638" s="3"/>
      <c r="Z638" s="3"/>
      <c r="AA638" s="3">
        <f t="shared" si="27"/>
        <v>8.09</v>
      </c>
      <c r="AB638" s="3" t="str">
        <f t="shared" si="28"/>
        <v/>
      </c>
      <c r="AC638" s="3" t="str">
        <f t="shared" si="29"/>
        <v/>
      </c>
      <c r="AD638" s="3">
        <f>VLOOKUP(YEAR(Q638),Populations!$A$3:$B$999,2,0)</f>
        <v>56554000</v>
      </c>
      <c r="AE638" s="3">
        <f>(Calculations!B1/AD638)</f>
        <v>1.2077825087527001</v>
      </c>
      <c r="AF638" s="3"/>
      <c r="AG638" s="3">
        <v>1</v>
      </c>
      <c r="AH638" s="3" t="str">
        <f>VLOOKUP(AG638,WikiFormats!$A$3:$B$999,2,0)</f>
        <v>Story</v>
      </c>
      <c r="AI638" s="3" t="s">
        <v>726</v>
      </c>
    </row>
    <row r="639" spans="1:35" s="8" customFormat="1" x14ac:dyDescent="0.55000000000000004">
      <c r="A639" s="3">
        <v>637</v>
      </c>
      <c r="B639" s="3">
        <v>1</v>
      </c>
      <c r="C639" s="3" t="str">
        <f>VLOOKUP(B639,Eras!$A$3:$B$999,2,0)</f>
        <v>Classic</v>
      </c>
      <c r="D639" s="3">
        <v>1</v>
      </c>
      <c r="E639" s="3" t="str">
        <f>VLOOKUP(D639,EpisodeFormats!$A$3:$B$999,2,0)</f>
        <v>Series</v>
      </c>
      <c r="F639" s="3">
        <v>6</v>
      </c>
      <c r="G639" s="3" t="str">
        <f>VLOOKUP(F639,Doctors!$A$3:$B$999,2,0)</f>
        <v>Colin Baker</v>
      </c>
      <c r="H639" s="3">
        <v>22</v>
      </c>
      <c r="I639" s="3">
        <v>1</v>
      </c>
      <c r="J639" s="3" t="str">
        <f>VLOOKUP(I639,SeasonFormats!$A$3:$B$999,2,0)</f>
        <v>Season</v>
      </c>
      <c r="K639" s="3">
        <v>141</v>
      </c>
      <c r="L639" s="3">
        <v>5</v>
      </c>
      <c r="M639" s="3" t="s">
        <v>499</v>
      </c>
      <c r="N639" s="3">
        <v>2</v>
      </c>
      <c r="O639" s="3" t="s">
        <v>10</v>
      </c>
      <c r="P639" s="3">
        <v>11</v>
      </c>
      <c r="Q639" s="7" t="d">
        <v>1985-03-16</v>
      </c>
      <c r="R639" s="3">
        <v>45</v>
      </c>
      <c r="S639" s="3"/>
      <c r="T639" s="4" t="s">
        <v>1142</v>
      </c>
      <c r="U639" s="3" t="str" cm="1">
        <f t="array" ref="U639">_xlfn.TEXTJOIN(",",TRUE,_xlfn.XLOOKUP(_xlfn.FILTERXML("&lt;t&gt;&lt;s&gt;" &amp; SUBSTITUTE(T639,",","&lt;/s&gt;&lt;s&gt;") &amp; "&lt;/s&gt;&lt;/t&gt;", "//s"),Writers!$A$3:$A$999,Writers!$B$3:$B$999,""))</f>
        <v>Glen McCoy</v>
      </c>
      <c r="V639" s="3"/>
      <c r="W639" s="3" t="str">
        <f>IF(V639="","",_xlfn.XLOOKUP(V639,Writers!$A$3:$A$999,Writers!$B$3:$B$999,""))</f>
        <v/>
      </c>
      <c r="X639" s="3">
        <v>7.4</v>
      </c>
      <c r="Y639" s="3"/>
      <c r="Z639" s="3"/>
      <c r="AA639" s="3">
        <f t="shared" si="27"/>
        <v>8.94</v>
      </c>
      <c r="AB639" s="3" t="str">
        <f t="shared" si="28"/>
        <v/>
      </c>
      <c r="AC639" s="3" t="str">
        <f t="shared" si="29"/>
        <v/>
      </c>
      <c r="AD639" s="3">
        <f>VLOOKUP(YEAR(Q639),Populations!$A$3:$B$999,2,0)</f>
        <v>56554000</v>
      </c>
      <c r="AE639" s="3">
        <f>(Calculations!B1/AD639)</f>
        <v>1.2077825087527001</v>
      </c>
      <c r="AF639" s="3"/>
      <c r="AG639" s="3">
        <v>1</v>
      </c>
      <c r="AH639" s="3" t="str">
        <f>VLOOKUP(AG639,WikiFormats!$A$3:$B$999,2,0)</f>
        <v>Story</v>
      </c>
      <c r="AI639" s="3" t="s">
        <v>726</v>
      </c>
    </row>
    <row r="640" spans="1:35" s="2" customFormat="1" x14ac:dyDescent="0.55000000000000004">
      <c r="A640">
        <v>638</v>
      </c>
      <c r="B640">
        <v>1</v>
      </c>
      <c r="C640" t="str">
        <f>VLOOKUP(B640,Eras!$A$3:$B$999,2,0)</f>
        <v>Classic</v>
      </c>
      <c r="D640">
        <v>1</v>
      </c>
      <c r="E640" t="str">
        <f>VLOOKUP(D640,EpisodeFormats!$A$3:$B$999,2,0)</f>
        <v>Series</v>
      </c>
      <c r="F640">
        <v>6</v>
      </c>
      <c r="G640" t="str">
        <f>VLOOKUP(F640,Doctors!$A$3:$B$999,2,0)</f>
        <v>Colin Baker</v>
      </c>
      <c r="H640">
        <v>22</v>
      </c>
      <c r="I640">
        <v>1</v>
      </c>
      <c r="J640" t="str">
        <f>VLOOKUP(I640,SeasonFormats!$A$3:$B$999,2,0)</f>
        <v>Season</v>
      </c>
      <c r="K640">
        <v>142</v>
      </c>
      <c r="L640">
        <v>6</v>
      </c>
      <c r="M640" t="s">
        <v>500</v>
      </c>
      <c r="N640">
        <v>1</v>
      </c>
      <c r="O640" t="s">
        <v>9</v>
      </c>
      <c r="P640">
        <v>12</v>
      </c>
      <c r="Q640" s="6" t="d">
        <v>1985-03-23</v>
      </c>
      <c r="R640">
        <v>45</v>
      </c>
      <c r="S640"/>
      <c r="T640" s="15" t="s">
        <v>1149</v>
      </c>
      <c r="U640" t="str" cm="1">
        <f t="array" ref="U640">_xlfn.TEXTJOIN(",",TRUE,_xlfn.XLOOKUP(_xlfn.FILTERXML("&lt;t&gt;&lt;s&gt;" &amp; SUBSTITUTE(T640,",","&lt;/s&gt;&lt;s&gt;") &amp; "&lt;/s&gt;&lt;/t&gt;", "//s"),Writers!$A$3:$A$999,Writers!$B$3:$B$999,""))</f>
        <v>Eric Saward</v>
      </c>
      <c r="V640"/>
      <c r="W640" t="str">
        <f>IF(V640="","",_xlfn.XLOOKUP(V640,Writers!$A$3:$A$999,Writers!$B$3:$B$999,""))</f>
        <v/>
      </c>
      <c r="X640">
        <v>7.4</v>
      </c>
      <c r="Y640"/>
      <c r="Z640"/>
      <c r="AA640">
        <f t="shared" si="27"/>
        <v>8.94</v>
      </c>
      <c r="AB640" t="str">
        <f t="shared" si="28"/>
        <v/>
      </c>
      <c r="AC640" t="str">
        <f t="shared" si="29"/>
        <v/>
      </c>
      <c r="AD640">
        <f>VLOOKUP(YEAR(Q640),Populations!$A$3:$B$999,2,0)</f>
        <v>56554000</v>
      </c>
      <c r="AE640">
        <f>(Calculations!B1/AD640)</f>
        <v>1.2077825087527001</v>
      </c>
      <c r="AF640"/>
      <c r="AG640">
        <v>1</v>
      </c>
      <c r="AH640" t="str">
        <f>VLOOKUP(AG640,WikiFormats!$A$3:$B$999,2,0)</f>
        <v>Story</v>
      </c>
      <c r="AI640" t="s">
        <v>727</v>
      </c>
    </row>
    <row r="641" spans="1:35" s="2" customFormat="1" x14ac:dyDescent="0.55000000000000004">
      <c r="A641">
        <v>639</v>
      </c>
      <c r="B641">
        <v>1</v>
      </c>
      <c r="C641" t="str">
        <f>VLOOKUP(B641,Eras!$A$3:$B$999,2,0)</f>
        <v>Classic</v>
      </c>
      <c r="D641">
        <v>1</v>
      </c>
      <c r="E641" t="str">
        <f>VLOOKUP(D641,EpisodeFormats!$A$3:$B$999,2,0)</f>
        <v>Series</v>
      </c>
      <c r="F641">
        <v>6</v>
      </c>
      <c r="G641" t="str">
        <f>VLOOKUP(F641,Doctors!$A$3:$B$999,2,0)</f>
        <v>Colin Baker</v>
      </c>
      <c r="H641">
        <v>22</v>
      </c>
      <c r="I641">
        <v>1</v>
      </c>
      <c r="J641" t="str">
        <f>VLOOKUP(I641,SeasonFormats!$A$3:$B$999,2,0)</f>
        <v>Season</v>
      </c>
      <c r="K641">
        <v>142</v>
      </c>
      <c r="L641">
        <v>6</v>
      </c>
      <c r="M641" t="s">
        <v>500</v>
      </c>
      <c r="N641">
        <v>2</v>
      </c>
      <c r="O641" t="s">
        <v>10</v>
      </c>
      <c r="P641">
        <v>13</v>
      </c>
      <c r="Q641" s="6" t="d">
        <v>1985-03-30</v>
      </c>
      <c r="R641">
        <v>45</v>
      </c>
      <c r="S641"/>
      <c r="T641" s="15" t="s">
        <v>1149</v>
      </c>
      <c r="U641" t="str" cm="1">
        <f t="array" ref="U641">_xlfn.TEXTJOIN(",",TRUE,_xlfn.XLOOKUP(_xlfn.FILTERXML("&lt;t&gt;&lt;s&gt;" &amp; SUBSTITUTE(T641,",","&lt;/s&gt;&lt;s&gt;") &amp; "&lt;/s&gt;&lt;/t&gt;", "//s"),Writers!$A$3:$A$999,Writers!$B$3:$B$999,""))</f>
        <v>Eric Saward</v>
      </c>
      <c r="V641"/>
      <c r="W641" t="str">
        <f>IF(V641="","",_xlfn.XLOOKUP(V641,Writers!$A$3:$A$999,Writers!$B$3:$B$999,""))</f>
        <v/>
      </c>
      <c r="X641">
        <v>7.7</v>
      </c>
      <c r="Y641"/>
      <c r="Z641"/>
      <c r="AA641">
        <f t="shared" si="27"/>
        <v>9.3000000000000007</v>
      </c>
      <c r="AB641" t="str">
        <f t="shared" si="28"/>
        <v/>
      </c>
      <c r="AC641" t="str">
        <f t="shared" si="29"/>
        <v/>
      </c>
      <c r="AD641">
        <f>VLOOKUP(YEAR(Q641),Populations!$A$3:$B$999,2,0)</f>
        <v>56554000</v>
      </c>
      <c r="AE641">
        <f>(Calculations!B1/AD641)</f>
        <v>1.2077825087527001</v>
      </c>
      <c r="AF641"/>
      <c r="AG641">
        <v>1</v>
      </c>
      <c r="AH641" t="str">
        <f>VLOOKUP(AG641,WikiFormats!$A$3:$B$999,2,0)</f>
        <v>Story</v>
      </c>
      <c r="AI641" t="s">
        <v>727</v>
      </c>
    </row>
    <row r="642" spans="1:35" s="8" customFormat="1" x14ac:dyDescent="0.55000000000000004">
      <c r="A642" s="3">
        <v>640</v>
      </c>
      <c r="B642" s="3">
        <v>1</v>
      </c>
      <c r="C642" s="3" t="str">
        <f>VLOOKUP(B642,Eras!$A$3:$B$999,2,0)</f>
        <v>Classic</v>
      </c>
      <c r="D642" s="3">
        <v>1</v>
      </c>
      <c r="E642" s="3" t="str">
        <f>VLOOKUP(D642,EpisodeFormats!$A$3:$B$999,2,0)</f>
        <v>Series</v>
      </c>
      <c r="F642" s="3">
        <v>6</v>
      </c>
      <c r="G642" s="3" t="str">
        <f>VLOOKUP(F642,Doctors!$A$3:$B$999,2,0)</f>
        <v>Colin Baker</v>
      </c>
      <c r="H642" s="3">
        <v>23</v>
      </c>
      <c r="I642" s="3">
        <v>1</v>
      </c>
      <c r="J642" s="3" t="str">
        <f>VLOOKUP(I642,SeasonFormats!$A$3:$B$999,2,0)</f>
        <v>Season</v>
      </c>
      <c r="K642" s="3">
        <v>143</v>
      </c>
      <c r="L642" s="3">
        <v>1</v>
      </c>
      <c r="M642" s="3" t="s">
        <v>501</v>
      </c>
      <c r="N642" s="3">
        <v>1</v>
      </c>
      <c r="O642" s="3" t="s">
        <v>505</v>
      </c>
      <c r="P642" s="3">
        <v>1</v>
      </c>
      <c r="Q642" s="7" t="d">
        <v>1986-09-06</v>
      </c>
      <c r="R642" s="3">
        <v>25</v>
      </c>
      <c r="S642" s="3"/>
      <c r="T642" s="4" t="s">
        <v>1122</v>
      </c>
      <c r="U642" s="3" t="str" cm="1">
        <f t="array" ref="U642">_xlfn.TEXTJOIN(",",TRUE,_xlfn.XLOOKUP(_xlfn.FILTERXML("&lt;t&gt;&lt;s&gt;" &amp; SUBSTITUTE(T642,",","&lt;/s&gt;&lt;s&gt;") &amp; "&lt;/s&gt;&lt;/t&gt;", "//s"),Writers!$A$3:$A$999,Writers!$B$3:$B$999,""))</f>
        <v>Robert Holmes</v>
      </c>
      <c r="V642" s="3"/>
      <c r="W642" s="3" t="str">
        <f>IF(V642="","",_xlfn.XLOOKUP(V642,Writers!$A$3:$A$999,Writers!$B$3:$B$999,""))</f>
        <v/>
      </c>
      <c r="X642" s="3">
        <v>4.9000000000000004</v>
      </c>
      <c r="Y642" s="3"/>
      <c r="Z642" s="3"/>
      <c r="AA642" s="3">
        <f t="shared" si="27"/>
        <v>5.9</v>
      </c>
      <c r="AB642" s="3" t="str">
        <f t="shared" si="28"/>
        <v/>
      </c>
      <c r="AC642" s="3" t="str">
        <f t="shared" si="29"/>
        <v/>
      </c>
      <c r="AD642" s="3">
        <f>VLOOKUP(YEAR(Q642),Populations!$A$3:$B$999,2,0)</f>
        <v>56683800</v>
      </c>
      <c r="AE642" s="3">
        <f>(Calculations!B1/AD642)</f>
        <v>1.2050168125637299</v>
      </c>
      <c r="AF642" s="3"/>
      <c r="AG642" s="3">
        <v>1</v>
      </c>
      <c r="AH642" s="3" t="str">
        <f>VLOOKUP(AG642,WikiFormats!$A$3:$B$999,2,0)</f>
        <v>Story</v>
      </c>
      <c r="AI642" s="3" t="s">
        <v>728</v>
      </c>
    </row>
    <row r="643" spans="1:35" s="8" customFormat="1" x14ac:dyDescent="0.55000000000000004">
      <c r="A643" s="3">
        <v>641</v>
      </c>
      <c r="B643" s="3">
        <v>1</v>
      </c>
      <c r="C643" s="3" t="str">
        <f>VLOOKUP(B643,Eras!$A$3:$B$999,2,0)</f>
        <v>Classic</v>
      </c>
      <c r="D643" s="3">
        <v>1</v>
      </c>
      <c r="E643" s="3" t="str">
        <f>VLOOKUP(D643,EpisodeFormats!$A$3:$B$999,2,0)</f>
        <v>Series</v>
      </c>
      <c r="F643" s="3">
        <v>6</v>
      </c>
      <c r="G643" s="3" t="str">
        <f>VLOOKUP(F643,Doctors!$A$3:$B$999,2,0)</f>
        <v>Colin Baker</v>
      </c>
      <c r="H643" s="3">
        <v>23</v>
      </c>
      <c r="I643" s="3">
        <v>1</v>
      </c>
      <c r="J643" s="3" t="str">
        <f>VLOOKUP(I643,SeasonFormats!$A$3:$B$999,2,0)</f>
        <v>Season</v>
      </c>
      <c r="K643" s="3">
        <v>143</v>
      </c>
      <c r="L643" s="3">
        <v>1</v>
      </c>
      <c r="M643" s="3" t="s">
        <v>501</v>
      </c>
      <c r="N643" s="3">
        <v>2</v>
      </c>
      <c r="O643" s="3" t="s">
        <v>506</v>
      </c>
      <c r="P643" s="3">
        <v>2</v>
      </c>
      <c r="Q643" s="7" t="d">
        <v>1986-09-13</v>
      </c>
      <c r="R643" s="3">
        <v>25</v>
      </c>
      <c r="S643" s="3"/>
      <c r="T643" s="4" t="s">
        <v>1122</v>
      </c>
      <c r="U643" s="3" t="str" cm="1">
        <f t="array" ref="U643">_xlfn.TEXTJOIN(",",TRUE,_xlfn.XLOOKUP(_xlfn.FILTERXML("&lt;t&gt;&lt;s&gt;" &amp; SUBSTITUTE(T643,",","&lt;/s&gt;&lt;s&gt;") &amp; "&lt;/s&gt;&lt;/t&gt;", "//s"),Writers!$A$3:$A$999,Writers!$B$3:$B$999,""))</f>
        <v>Robert Holmes</v>
      </c>
      <c r="V643" s="3"/>
      <c r="W643" s="3" t="str">
        <f>IF(V643="","",_xlfn.XLOOKUP(V643,Writers!$A$3:$A$999,Writers!$B$3:$B$999,""))</f>
        <v/>
      </c>
      <c r="X643" s="3">
        <v>4.9000000000000004</v>
      </c>
      <c r="Y643" s="3"/>
      <c r="Z643" s="3"/>
      <c r="AA643" s="3">
        <f t="shared" si="27"/>
        <v>5.9</v>
      </c>
      <c r="AB643" s="3" t="str">
        <f t="shared" si="28"/>
        <v/>
      </c>
      <c r="AC643" s="3" t="str">
        <f t="shared" si="29"/>
        <v/>
      </c>
      <c r="AD643" s="3">
        <f>VLOOKUP(YEAR(Q643),Populations!$A$3:$B$999,2,0)</f>
        <v>56683800</v>
      </c>
      <c r="AE643" s="3">
        <f>(Calculations!B1/AD643)</f>
        <v>1.2050168125637299</v>
      </c>
      <c r="AF643" s="3"/>
      <c r="AG643" s="3">
        <v>1</v>
      </c>
      <c r="AH643" s="3" t="str">
        <f>VLOOKUP(AG643,WikiFormats!$A$3:$B$999,2,0)</f>
        <v>Story</v>
      </c>
      <c r="AI643" s="3" t="s">
        <v>728</v>
      </c>
    </row>
    <row r="644" spans="1:35" s="8" customFormat="1" x14ac:dyDescent="0.55000000000000004">
      <c r="A644" s="3">
        <v>642</v>
      </c>
      <c r="B644" s="3">
        <v>1</v>
      </c>
      <c r="C644" s="3" t="str">
        <f>VLOOKUP(B644,Eras!$A$3:$B$999,2,0)</f>
        <v>Classic</v>
      </c>
      <c r="D644" s="3">
        <v>1</v>
      </c>
      <c r="E644" s="3" t="str">
        <f>VLOOKUP(D644,EpisodeFormats!$A$3:$B$999,2,0)</f>
        <v>Series</v>
      </c>
      <c r="F644" s="3">
        <v>6</v>
      </c>
      <c r="G644" s="3" t="str">
        <f>VLOOKUP(F644,Doctors!$A$3:$B$999,2,0)</f>
        <v>Colin Baker</v>
      </c>
      <c r="H644" s="3">
        <v>23</v>
      </c>
      <c r="I644" s="3">
        <v>1</v>
      </c>
      <c r="J644" s="3" t="str">
        <f>VLOOKUP(I644,SeasonFormats!$A$3:$B$999,2,0)</f>
        <v>Season</v>
      </c>
      <c r="K644" s="3">
        <v>143</v>
      </c>
      <c r="L644" s="3">
        <v>1</v>
      </c>
      <c r="M644" s="3" t="s">
        <v>501</v>
      </c>
      <c r="N644" s="3">
        <v>3</v>
      </c>
      <c r="O644" s="3" t="s">
        <v>507</v>
      </c>
      <c r="P644" s="3">
        <v>3</v>
      </c>
      <c r="Q644" s="7" t="d">
        <v>1986-09-20</v>
      </c>
      <c r="R644" s="3">
        <v>24</v>
      </c>
      <c r="S644" s="3"/>
      <c r="T644" s="4" t="s">
        <v>1122</v>
      </c>
      <c r="U644" s="3" t="str" cm="1">
        <f t="array" ref="U644">_xlfn.TEXTJOIN(",",TRUE,_xlfn.XLOOKUP(_xlfn.FILTERXML("&lt;t&gt;&lt;s&gt;" &amp; SUBSTITUTE(T644,",","&lt;/s&gt;&lt;s&gt;") &amp; "&lt;/s&gt;&lt;/t&gt;", "//s"),Writers!$A$3:$A$999,Writers!$B$3:$B$999,""))</f>
        <v>Robert Holmes</v>
      </c>
      <c r="V644" s="3"/>
      <c r="W644" s="3" t="str">
        <f>IF(V644="","",_xlfn.XLOOKUP(V644,Writers!$A$3:$A$999,Writers!$B$3:$B$999,""))</f>
        <v/>
      </c>
      <c r="X644" s="3">
        <v>3.9</v>
      </c>
      <c r="Y644" s="3"/>
      <c r="Z644" s="3"/>
      <c r="AA644" s="3">
        <f t="shared" ref="AA644:AA707" si="30">IF(ISBLANK(X644),"",ROUND(X644*AE644,2))</f>
        <v>4.7</v>
      </c>
      <c r="AB644" s="3" t="str">
        <f t="shared" ref="AB644:AB707" si="31">IF(ISBLANK(Y644),"",ROUND(Y644*AE644,2))</f>
        <v/>
      </c>
      <c r="AC644" s="3" t="str">
        <f t="shared" ref="AC644:AC707" si="32">IF(ISBLANK(Z644),"",ROUND(Z644*AE644,2))</f>
        <v/>
      </c>
      <c r="AD644" s="3">
        <f>VLOOKUP(YEAR(Q644),Populations!$A$3:$B$999,2,0)</f>
        <v>56683800</v>
      </c>
      <c r="AE644" s="3">
        <f>(Calculations!B1/AD644)</f>
        <v>1.2050168125637299</v>
      </c>
      <c r="AF644" s="3"/>
      <c r="AG644" s="3">
        <v>1</v>
      </c>
      <c r="AH644" s="3" t="str">
        <f>VLOOKUP(AG644,WikiFormats!$A$3:$B$999,2,0)</f>
        <v>Story</v>
      </c>
      <c r="AI644" s="3" t="s">
        <v>728</v>
      </c>
    </row>
    <row r="645" spans="1:35" s="8" customFormat="1" x14ac:dyDescent="0.55000000000000004">
      <c r="A645" s="3">
        <v>643</v>
      </c>
      <c r="B645" s="3">
        <v>1</v>
      </c>
      <c r="C645" s="3" t="str">
        <f>VLOOKUP(B645,Eras!$A$3:$B$999,2,0)</f>
        <v>Classic</v>
      </c>
      <c r="D645" s="3">
        <v>1</v>
      </c>
      <c r="E645" s="3" t="str">
        <f>VLOOKUP(D645,EpisodeFormats!$A$3:$B$999,2,0)</f>
        <v>Series</v>
      </c>
      <c r="F645" s="3">
        <v>6</v>
      </c>
      <c r="G645" s="3" t="str">
        <f>VLOOKUP(F645,Doctors!$A$3:$B$999,2,0)</f>
        <v>Colin Baker</v>
      </c>
      <c r="H645" s="3">
        <v>23</v>
      </c>
      <c r="I645" s="3">
        <v>1</v>
      </c>
      <c r="J645" s="3" t="str">
        <f>VLOOKUP(I645,SeasonFormats!$A$3:$B$999,2,0)</f>
        <v>Season</v>
      </c>
      <c r="K645" s="3">
        <v>143</v>
      </c>
      <c r="L645" s="3">
        <v>1</v>
      </c>
      <c r="M645" s="3" t="s">
        <v>501</v>
      </c>
      <c r="N645" s="3">
        <v>4</v>
      </c>
      <c r="O645" s="3" t="s">
        <v>508</v>
      </c>
      <c r="P645" s="3">
        <v>4</v>
      </c>
      <c r="Q645" s="7" t="d">
        <v>1986-09-27</v>
      </c>
      <c r="R645" s="3">
        <v>24</v>
      </c>
      <c r="S645" s="3"/>
      <c r="T645" s="4" t="s">
        <v>1122</v>
      </c>
      <c r="U645" s="3" t="str" cm="1">
        <f t="array" ref="U645">_xlfn.TEXTJOIN(",",TRUE,_xlfn.XLOOKUP(_xlfn.FILTERXML("&lt;t&gt;&lt;s&gt;" &amp; SUBSTITUTE(T645,",","&lt;/s&gt;&lt;s&gt;") &amp; "&lt;/s&gt;&lt;/t&gt;", "//s"),Writers!$A$3:$A$999,Writers!$B$3:$B$999,""))</f>
        <v>Robert Holmes</v>
      </c>
      <c r="V645" s="3"/>
      <c r="W645" s="3" t="str">
        <f>IF(V645="","",_xlfn.XLOOKUP(V645,Writers!$A$3:$A$999,Writers!$B$3:$B$999,""))</f>
        <v/>
      </c>
      <c r="X645" s="3">
        <v>3.7</v>
      </c>
      <c r="Y645" s="3"/>
      <c r="Z645" s="3"/>
      <c r="AA645" s="3">
        <f t="shared" si="30"/>
        <v>4.46</v>
      </c>
      <c r="AB645" s="3" t="str">
        <f t="shared" si="31"/>
        <v/>
      </c>
      <c r="AC645" s="3" t="str">
        <f t="shared" si="32"/>
        <v/>
      </c>
      <c r="AD645" s="3">
        <f>VLOOKUP(YEAR(Q645),Populations!$A$3:$B$999,2,0)</f>
        <v>56683800</v>
      </c>
      <c r="AE645" s="3">
        <f>(Calculations!B1/AD645)</f>
        <v>1.2050168125637299</v>
      </c>
      <c r="AF645" s="3"/>
      <c r="AG645" s="3">
        <v>1</v>
      </c>
      <c r="AH645" s="3" t="str">
        <f>VLOOKUP(AG645,WikiFormats!$A$3:$B$999,2,0)</f>
        <v>Story</v>
      </c>
      <c r="AI645" s="3" t="s">
        <v>728</v>
      </c>
    </row>
    <row r="646" spans="1:35" s="2" customFormat="1" x14ac:dyDescent="0.55000000000000004">
      <c r="A646">
        <v>644</v>
      </c>
      <c r="B646">
        <v>1</v>
      </c>
      <c r="C646" t="str">
        <f>VLOOKUP(B646,Eras!$A$3:$B$999,2,0)</f>
        <v>Classic</v>
      </c>
      <c r="D646">
        <v>1</v>
      </c>
      <c r="E646" t="str">
        <f>VLOOKUP(D646,EpisodeFormats!$A$3:$B$999,2,0)</f>
        <v>Series</v>
      </c>
      <c r="F646">
        <v>6</v>
      </c>
      <c r="G646" t="str">
        <f>VLOOKUP(F646,Doctors!$A$3:$B$999,2,0)</f>
        <v>Colin Baker</v>
      </c>
      <c r="H646">
        <v>23</v>
      </c>
      <c r="I646">
        <v>1</v>
      </c>
      <c r="J646" t="str">
        <f>VLOOKUP(I646,SeasonFormats!$A$3:$B$999,2,0)</f>
        <v>Season</v>
      </c>
      <c r="K646">
        <v>143</v>
      </c>
      <c r="L646">
        <v>2</v>
      </c>
      <c r="M646" t="s">
        <v>502</v>
      </c>
      <c r="N646">
        <v>5</v>
      </c>
      <c r="O646" t="s">
        <v>509</v>
      </c>
      <c r="P646">
        <v>5</v>
      </c>
      <c r="Q646" s="6" t="d">
        <v>1986-10-04</v>
      </c>
      <c r="R646">
        <v>25</v>
      </c>
      <c r="S646"/>
      <c r="T646" s="15" t="s">
        <v>1140</v>
      </c>
      <c r="U646" t="str" cm="1">
        <f t="array" ref="U646">_xlfn.TEXTJOIN(",",TRUE,_xlfn.XLOOKUP(_xlfn.FILTERXML("&lt;t&gt;&lt;s&gt;" &amp; SUBSTITUTE(T646,",","&lt;/s&gt;&lt;s&gt;") &amp; "&lt;/s&gt;&lt;/t&gt;", "//s"),Writers!$A$3:$A$999,Writers!$B$3:$B$999,""))</f>
        <v>Philip Martin</v>
      </c>
      <c r="V646"/>
      <c r="W646" t="str">
        <f>IF(V646="","",_xlfn.XLOOKUP(V646,Writers!$A$3:$A$999,Writers!$B$3:$B$999,""))</f>
        <v/>
      </c>
      <c r="X646">
        <v>4.8</v>
      </c>
      <c r="Y646"/>
      <c r="Z646"/>
      <c r="AA646">
        <f t="shared" si="30"/>
        <v>5.78</v>
      </c>
      <c r="AB646" t="str">
        <f t="shared" si="31"/>
        <v/>
      </c>
      <c r="AC646" t="str">
        <f t="shared" si="32"/>
        <v/>
      </c>
      <c r="AD646">
        <f>VLOOKUP(YEAR(Q646),Populations!$A$3:$B$999,2,0)</f>
        <v>56683800</v>
      </c>
      <c r="AE646">
        <f>(Calculations!B1/AD646)</f>
        <v>1.2050168125637299</v>
      </c>
      <c r="AF646"/>
      <c r="AG646">
        <v>1</v>
      </c>
      <c r="AH646" t="str">
        <f>VLOOKUP(AG646,WikiFormats!$A$3:$B$999,2,0)</f>
        <v>Story</v>
      </c>
      <c r="AI646" t="s">
        <v>729</v>
      </c>
    </row>
    <row r="647" spans="1:35" s="2" customFormat="1" x14ac:dyDescent="0.55000000000000004">
      <c r="A647">
        <v>645</v>
      </c>
      <c r="B647">
        <v>1</v>
      </c>
      <c r="C647" t="str">
        <f>VLOOKUP(B647,Eras!$A$3:$B$999,2,0)</f>
        <v>Classic</v>
      </c>
      <c r="D647">
        <v>1</v>
      </c>
      <c r="E647" t="str">
        <f>VLOOKUP(D647,EpisodeFormats!$A$3:$B$999,2,0)</f>
        <v>Series</v>
      </c>
      <c r="F647">
        <v>6</v>
      </c>
      <c r="G647" t="str">
        <f>VLOOKUP(F647,Doctors!$A$3:$B$999,2,0)</f>
        <v>Colin Baker</v>
      </c>
      <c r="H647">
        <v>23</v>
      </c>
      <c r="I647">
        <v>1</v>
      </c>
      <c r="J647" t="str">
        <f>VLOOKUP(I647,SeasonFormats!$A$3:$B$999,2,0)</f>
        <v>Season</v>
      </c>
      <c r="K647">
        <v>143</v>
      </c>
      <c r="L647">
        <v>2</v>
      </c>
      <c r="M647" t="s">
        <v>502</v>
      </c>
      <c r="N647">
        <v>6</v>
      </c>
      <c r="O647" t="s">
        <v>510</v>
      </c>
      <c r="P647">
        <v>6</v>
      </c>
      <c r="Q647" s="6" t="d">
        <v>1986-10-11</v>
      </c>
      <c r="R647">
        <v>25</v>
      </c>
      <c r="S647"/>
      <c r="T647" s="15" t="s">
        <v>1140</v>
      </c>
      <c r="U647" t="str" cm="1">
        <f t="array" ref="U647">_xlfn.TEXTJOIN(",",TRUE,_xlfn.XLOOKUP(_xlfn.FILTERXML("&lt;t&gt;&lt;s&gt;" &amp; SUBSTITUTE(T647,",","&lt;/s&gt;&lt;s&gt;") &amp; "&lt;/s&gt;&lt;/t&gt;", "//s"),Writers!$A$3:$A$999,Writers!$B$3:$B$999,""))</f>
        <v>Philip Martin</v>
      </c>
      <c r="V647"/>
      <c r="W647" t="str">
        <f>IF(V647="","",_xlfn.XLOOKUP(V647,Writers!$A$3:$A$999,Writers!$B$3:$B$999,""))</f>
        <v/>
      </c>
      <c r="X647">
        <v>4.5999999999999996</v>
      </c>
      <c r="Y647"/>
      <c r="Z647"/>
      <c r="AA647">
        <f t="shared" si="30"/>
        <v>5.54</v>
      </c>
      <c r="AB647" t="str">
        <f t="shared" si="31"/>
        <v/>
      </c>
      <c r="AC647" t="str">
        <f t="shared" si="32"/>
        <v/>
      </c>
      <c r="AD647">
        <f>VLOOKUP(YEAR(Q647),Populations!$A$3:$B$999,2,0)</f>
        <v>56683800</v>
      </c>
      <c r="AE647">
        <f>(Calculations!B1/AD647)</f>
        <v>1.2050168125637299</v>
      </c>
      <c r="AF647"/>
      <c r="AG647">
        <v>1</v>
      </c>
      <c r="AH647" t="str">
        <f>VLOOKUP(AG647,WikiFormats!$A$3:$B$999,2,0)</f>
        <v>Story</v>
      </c>
      <c r="AI647" t="s">
        <v>729</v>
      </c>
    </row>
    <row r="648" spans="1:35" s="2" customFormat="1" x14ac:dyDescent="0.55000000000000004">
      <c r="A648">
        <v>646</v>
      </c>
      <c r="B648">
        <v>1</v>
      </c>
      <c r="C648" t="str">
        <f>VLOOKUP(B648,Eras!$A$3:$B$999,2,0)</f>
        <v>Classic</v>
      </c>
      <c r="D648">
        <v>1</v>
      </c>
      <c r="E648" t="str">
        <f>VLOOKUP(D648,EpisodeFormats!$A$3:$B$999,2,0)</f>
        <v>Series</v>
      </c>
      <c r="F648">
        <v>6</v>
      </c>
      <c r="G648" t="str">
        <f>VLOOKUP(F648,Doctors!$A$3:$B$999,2,0)</f>
        <v>Colin Baker</v>
      </c>
      <c r="H648">
        <v>23</v>
      </c>
      <c r="I648">
        <v>1</v>
      </c>
      <c r="J648" t="str">
        <f>VLOOKUP(I648,SeasonFormats!$A$3:$B$999,2,0)</f>
        <v>Season</v>
      </c>
      <c r="K648">
        <v>143</v>
      </c>
      <c r="L648">
        <v>2</v>
      </c>
      <c r="M648" t="s">
        <v>502</v>
      </c>
      <c r="N648">
        <v>7</v>
      </c>
      <c r="O648" t="s">
        <v>511</v>
      </c>
      <c r="P648">
        <v>7</v>
      </c>
      <c r="Q648" s="6" t="d">
        <v>1986-10-18</v>
      </c>
      <c r="R648">
        <v>25</v>
      </c>
      <c r="S648"/>
      <c r="T648" s="15" t="s">
        <v>1140</v>
      </c>
      <c r="U648" t="str" cm="1">
        <f t="array" ref="U648">_xlfn.TEXTJOIN(",",TRUE,_xlfn.XLOOKUP(_xlfn.FILTERXML("&lt;t&gt;&lt;s&gt;" &amp; SUBSTITUTE(T648,",","&lt;/s&gt;&lt;s&gt;") &amp; "&lt;/s&gt;&lt;/t&gt;", "//s"),Writers!$A$3:$A$999,Writers!$B$3:$B$999,""))</f>
        <v>Philip Martin</v>
      </c>
      <c r="V648"/>
      <c r="W648" t="str">
        <f>IF(V648="","",_xlfn.XLOOKUP(V648,Writers!$A$3:$A$999,Writers!$B$3:$B$999,""))</f>
        <v/>
      </c>
      <c r="X648">
        <v>5.0999999999999996</v>
      </c>
      <c r="Y648"/>
      <c r="Z648"/>
      <c r="AA648">
        <f t="shared" si="30"/>
        <v>6.15</v>
      </c>
      <c r="AB648" t="str">
        <f t="shared" si="31"/>
        <v/>
      </c>
      <c r="AC648" t="str">
        <f t="shared" si="32"/>
        <v/>
      </c>
      <c r="AD648">
        <f>VLOOKUP(YEAR(Q648),Populations!$A$3:$B$999,2,0)</f>
        <v>56683800</v>
      </c>
      <c r="AE648">
        <f>(Calculations!B1/AD648)</f>
        <v>1.2050168125637299</v>
      </c>
      <c r="AF648"/>
      <c r="AG648">
        <v>1</v>
      </c>
      <c r="AH648" t="str">
        <f>VLOOKUP(AG648,WikiFormats!$A$3:$B$999,2,0)</f>
        <v>Story</v>
      </c>
      <c r="AI648" t="s">
        <v>729</v>
      </c>
    </row>
    <row r="649" spans="1:35" s="2" customFormat="1" x14ac:dyDescent="0.55000000000000004">
      <c r="A649">
        <v>647</v>
      </c>
      <c r="B649">
        <v>1</v>
      </c>
      <c r="C649" t="str">
        <f>VLOOKUP(B649,Eras!$A$3:$B$999,2,0)</f>
        <v>Classic</v>
      </c>
      <c r="D649">
        <v>1</v>
      </c>
      <c r="E649" t="str">
        <f>VLOOKUP(D649,EpisodeFormats!$A$3:$B$999,2,0)</f>
        <v>Series</v>
      </c>
      <c r="F649">
        <v>6</v>
      </c>
      <c r="G649" t="str">
        <f>VLOOKUP(F649,Doctors!$A$3:$B$999,2,0)</f>
        <v>Colin Baker</v>
      </c>
      <c r="H649">
        <v>23</v>
      </c>
      <c r="I649">
        <v>1</v>
      </c>
      <c r="J649" t="str">
        <f>VLOOKUP(I649,SeasonFormats!$A$3:$B$999,2,0)</f>
        <v>Season</v>
      </c>
      <c r="K649">
        <v>143</v>
      </c>
      <c r="L649">
        <v>2</v>
      </c>
      <c r="M649" t="s">
        <v>502</v>
      </c>
      <c r="N649">
        <v>8</v>
      </c>
      <c r="O649" t="s">
        <v>512</v>
      </c>
      <c r="P649">
        <v>8</v>
      </c>
      <c r="Q649" s="6" t="d">
        <v>1986-10-25</v>
      </c>
      <c r="R649">
        <v>25</v>
      </c>
      <c r="S649"/>
      <c r="T649" s="15" t="s">
        <v>1140</v>
      </c>
      <c r="U649" t="str" cm="1">
        <f t="array" ref="U649">_xlfn.TEXTJOIN(",",TRUE,_xlfn.XLOOKUP(_xlfn.FILTERXML("&lt;t&gt;&lt;s&gt;" &amp; SUBSTITUTE(T649,",","&lt;/s&gt;&lt;s&gt;") &amp; "&lt;/s&gt;&lt;/t&gt;", "//s"),Writers!$A$3:$A$999,Writers!$B$3:$B$999,""))</f>
        <v>Philip Martin</v>
      </c>
      <c r="V649"/>
      <c r="W649" t="str">
        <f>IF(V649="","",_xlfn.XLOOKUP(V649,Writers!$A$3:$A$999,Writers!$B$3:$B$999,""))</f>
        <v/>
      </c>
      <c r="X649">
        <v>5</v>
      </c>
      <c r="Y649"/>
      <c r="Z649"/>
      <c r="AA649">
        <f t="shared" si="30"/>
        <v>6.03</v>
      </c>
      <c r="AB649" t="str">
        <f t="shared" si="31"/>
        <v/>
      </c>
      <c r="AC649" t="str">
        <f t="shared" si="32"/>
        <v/>
      </c>
      <c r="AD649">
        <f>VLOOKUP(YEAR(Q649),Populations!$A$3:$B$999,2,0)</f>
        <v>56683800</v>
      </c>
      <c r="AE649">
        <f>(Calculations!B1/AD649)</f>
        <v>1.2050168125637299</v>
      </c>
      <c r="AF649"/>
      <c r="AG649">
        <v>1</v>
      </c>
      <c r="AH649" t="str">
        <f>VLOOKUP(AG649,WikiFormats!$A$3:$B$999,2,0)</f>
        <v>Story</v>
      </c>
      <c r="AI649" t="s">
        <v>729</v>
      </c>
    </row>
    <row r="650" spans="1:35" s="8" customFormat="1" x14ac:dyDescent="0.55000000000000004">
      <c r="A650" s="3">
        <v>648</v>
      </c>
      <c r="B650" s="3">
        <v>1</v>
      </c>
      <c r="C650" s="3" t="str">
        <f>VLOOKUP(B650,Eras!$A$3:$B$999,2,0)</f>
        <v>Classic</v>
      </c>
      <c r="D650" s="3">
        <v>1</v>
      </c>
      <c r="E650" s="3" t="str">
        <f>VLOOKUP(D650,EpisodeFormats!$A$3:$B$999,2,0)</f>
        <v>Series</v>
      </c>
      <c r="F650" s="3">
        <v>6</v>
      </c>
      <c r="G650" s="3" t="str">
        <f>VLOOKUP(F650,Doctors!$A$3:$B$999,2,0)</f>
        <v>Colin Baker</v>
      </c>
      <c r="H650" s="3">
        <v>23</v>
      </c>
      <c r="I650" s="3">
        <v>1</v>
      </c>
      <c r="J650" s="3" t="str">
        <f>VLOOKUP(I650,SeasonFormats!$A$3:$B$999,2,0)</f>
        <v>Season</v>
      </c>
      <c r="K650" s="3">
        <v>143</v>
      </c>
      <c r="L650" s="3">
        <v>3</v>
      </c>
      <c r="M650" s="3" t="s">
        <v>503</v>
      </c>
      <c r="N650" s="3">
        <v>9</v>
      </c>
      <c r="O650" s="3" t="s">
        <v>513</v>
      </c>
      <c r="P650" s="3">
        <v>9</v>
      </c>
      <c r="Q650" s="7" t="d">
        <v>1986-11-01</v>
      </c>
      <c r="R650" s="3">
        <v>25</v>
      </c>
      <c r="S650" s="3"/>
      <c r="T650" s="4" t="s">
        <v>1075</v>
      </c>
      <c r="U650" s="3" t="str" cm="1">
        <f t="array" ref="U650">_xlfn.TEXTJOIN(",",TRUE,_xlfn.XLOOKUP(_xlfn.FILTERXML("&lt;t&gt;&lt;s&gt;" &amp; SUBSTITUTE(T650,",","&lt;/s&gt;&lt;s&gt;") &amp; "&lt;/s&gt;&lt;/t&gt;", "//s"),Writers!$A$3:$A$999,Writers!$B$3:$B$999,""))</f>
        <v>Pip and Jane Baker</v>
      </c>
      <c r="V650" s="3"/>
      <c r="W650" s="3" t="str">
        <f>IF(V650="","",_xlfn.XLOOKUP(V650,Writers!$A$3:$A$999,Writers!$B$3:$B$999,""))</f>
        <v/>
      </c>
      <c r="X650" s="3">
        <v>5.2</v>
      </c>
      <c r="Y650" s="3"/>
      <c r="Z650" s="3"/>
      <c r="AA650" s="3">
        <f t="shared" si="30"/>
        <v>6.27</v>
      </c>
      <c r="AB650" s="3" t="str">
        <f t="shared" si="31"/>
        <v/>
      </c>
      <c r="AC650" s="3" t="str">
        <f t="shared" si="32"/>
        <v/>
      </c>
      <c r="AD650" s="3">
        <f>VLOOKUP(YEAR(Q650),Populations!$A$3:$B$999,2,0)</f>
        <v>56683800</v>
      </c>
      <c r="AE650" s="3">
        <f>(Calculations!B1/AD650)</f>
        <v>1.2050168125637299</v>
      </c>
      <c r="AF650" s="3"/>
      <c r="AG650" s="3">
        <v>1</v>
      </c>
      <c r="AH650" s="3" t="str">
        <f>VLOOKUP(AG650,WikiFormats!$A$3:$B$999,2,0)</f>
        <v>Story</v>
      </c>
      <c r="AI650" s="3" t="s">
        <v>730</v>
      </c>
    </row>
    <row r="651" spans="1:35" s="8" customFormat="1" x14ac:dyDescent="0.55000000000000004">
      <c r="A651" s="3">
        <v>649</v>
      </c>
      <c r="B651" s="3">
        <v>1</v>
      </c>
      <c r="C651" s="3" t="str">
        <f>VLOOKUP(B651,Eras!$A$3:$B$999,2,0)</f>
        <v>Classic</v>
      </c>
      <c r="D651" s="3">
        <v>1</v>
      </c>
      <c r="E651" s="3" t="str">
        <f>VLOOKUP(D651,EpisodeFormats!$A$3:$B$999,2,0)</f>
        <v>Series</v>
      </c>
      <c r="F651" s="3">
        <v>6</v>
      </c>
      <c r="G651" s="3" t="str">
        <f>VLOOKUP(F651,Doctors!$A$3:$B$999,2,0)</f>
        <v>Colin Baker</v>
      </c>
      <c r="H651" s="3">
        <v>23</v>
      </c>
      <c r="I651" s="3">
        <v>1</v>
      </c>
      <c r="J651" s="3" t="str">
        <f>VLOOKUP(I651,SeasonFormats!$A$3:$B$999,2,0)</f>
        <v>Season</v>
      </c>
      <c r="K651" s="3">
        <v>143</v>
      </c>
      <c r="L651" s="3">
        <v>3</v>
      </c>
      <c r="M651" s="3" t="s">
        <v>503</v>
      </c>
      <c r="N651" s="3">
        <v>10</v>
      </c>
      <c r="O651" s="3" t="s">
        <v>514</v>
      </c>
      <c r="P651" s="3">
        <v>10</v>
      </c>
      <c r="Q651" s="7" t="d">
        <v>1986-11-08</v>
      </c>
      <c r="R651" s="3">
        <v>24</v>
      </c>
      <c r="S651" s="3"/>
      <c r="T651" s="4" t="s">
        <v>1075</v>
      </c>
      <c r="U651" s="3" t="str" cm="1">
        <f t="array" ref="U651">_xlfn.TEXTJOIN(",",TRUE,_xlfn.XLOOKUP(_xlfn.FILTERXML("&lt;t&gt;&lt;s&gt;" &amp; SUBSTITUTE(T651,",","&lt;/s&gt;&lt;s&gt;") &amp; "&lt;/s&gt;&lt;/t&gt;", "//s"),Writers!$A$3:$A$999,Writers!$B$3:$B$999,""))</f>
        <v>Pip and Jane Baker</v>
      </c>
      <c r="V651" s="3"/>
      <c r="W651" s="3" t="str">
        <f>IF(V651="","",_xlfn.XLOOKUP(V651,Writers!$A$3:$A$999,Writers!$B$3:$B$999,""))</f>
        <v/>
      </c>
      <c r="X651" s="3">
        <v>4.5999999999999996</v>
      </c>
      <c r="Y651" s="3"/>
      <c r="Z651" s="3"/>
      <c r="AA651" s="3">
        <f t="shared" si="30"/>
        <v>5.54</v>
      </c>
      <c r="AB651" s="3" t="str">
        <f t="shared" si="31"/>
        <v/>
      </c>
      <c r="AC651" s="3" t="str">
        <f t="shared" si="32"/>
        <v/>
      </c>
      <c r="AD651" s="3">
        <f>VLOOKUP(YEAR(Q651),Populations!$A$3:$B$999,2,0)</f>
        <v>56683800</v>
      </c>
      <c r="AE651" s="3">
        <f>(Calculations!B1/AD651)</f>
        <v>1.2050168125637299</v>
      </c>
      <c r="AF651" s="3"/>
      <c r="AG651" s="3">
        <v>1</v>
      </c>
      <c r="AH651" s="3" t="str">
        <f>VLOOKUP(AG651,WikiFormats!$A$3:$B$999,2,0)</f>
        <v>Story</v>
      </c>
      <c r="AI651" s="3" t="s">
        <v>730</v>
      </c>
    </row>
    <row r="652" spans="1:35" s="8" customFormat="1" x14ac:dyDescent="0.55000000000000004">
      <c r="A652" s="3">
        <v>650</v>
      </c>
      <c r="B652" s="3">
        <v>1</v>
      </c>
      <c r="C652" s="3" t="str">
        <f>VLOOKUP(B652,Eras!$A$3:$B$999,2,0)</f>
        <v>Classic</v>
      </c>
      <c r="D652" s="3">
        <v>1</v>
      </c>
      <c r="E652" s="3" t="str">
        <f>VLOOKUP(D652,EpisodeFormats!$A$3:$B$999,2,0)</f>
        <v>Series</v>
      </c>
      <c r="F652" s="3">
        <v>6</v>
      </c>
      <c r="G652" s="3" t="str">
        <f>VLOOKUP(F652,Doctors!$A$3:$B$999,2,0)</f>
        <v>Colin Baker</v>
      </c>
      <c r="H652" s="3">
        <v>23</v>
      </c>
      <c r="I652" s="3">
        <v>1</v>
      </c>
      <c r="J652" s="3" t="str">
        <f>VLOOKUP(I652,SeasonFormats!$A$3:$B$999,2,0)</f>
        <v>Season</v>
      </c>
      <c r="K652" s="3">
        <v>143</v>
      </c>
      <c r="L652" s="3">
        <v>3</v>
      </c>
      <c r="M652" s="3" t="s">
        <v>503</v>
      </c>
      <c r="N652" s="3">
        <v>11</v>
      </c>
      <c r="O652" s="3" t="s">
        <v>515</v>
      </c>
      <c r="P652" s="3">
        <v>11</v>
      </c>
      <c r="Q652" s="7" t="d">
        <v>1986-11-15</v>
      </c>
      <c r="R652" s="3">
        <v>24</v>
      </c>
      <c r="S652" s="3"/>
      <c r="T652" s="4" t="s">
        <v>1075</v>
      </c>
      <c r="U652" s="3" t="str" cm="1">
        <f t="array" ref="U652">_xlfn.TEXTJOIN(",",TRUE,_xlfn.XLOOKUP(_xlfn.FILTERXML("&lt;t&gt;&lt;s&gt;" &amp; SUBSTITUTE(T652,",","&lt;/s&gt;&lt;s&gt;") &amp; "&lt;/s&gt;&lt;/t&gt;", "//s"),Writers!$A$3:$A$999,Writers!$B$3:$B$999,""))</f>
        <v>Pip and Jane Baker</v>
      </c>
      <c r="V652" s="3"/>
      <c r="W652" s="3" t="str">
        <f>IF(V652="","",_xlfn.XLOOKUP(V652,Writers!$A$3:$A$999,Writers!$B$3:$B$999,""))</f>
        <v/>
      </c>
      <c r="X652" s="3">
        <v>5.3</v>
      </c>
      <c r="Y652" s="3"/>
      <c r="Z652" s="3"/>
      <c r="AA652" s="3">
        <f t="shared" si="30"/>
        <v>6.39</v>
      </c>
      <c r="AB652" s="3" t="str">
        <f t="shared" si="31"/>
        <v/>
      </c>
      <c r="AC652" s="3" t="str">
        <f t="shared" si="32"/>
        <v/>
      </c>
      <c r="AD652" s="3">
        <f>VLOOKUP(YEAR(Q652),Populations!$A$3:$B$999,2,0)</f>
        <v>56683800</v>
      </c>
      <c r="AE652" s="3">
        <f>(Calculations!B1/AD652)</f>
        <v>1.2050168125637299</v>
      </c>
      <c r="AF652" s="3"/>
      <c r="AG652" s="3">
        <v>1</v>
      </c>
      <c r="AH652" s="3" t="str">
        <f>VLOOKUP(AG652,WikiFormats!$A$3:$B$999,2,0)</f>
        <v>Story</v>
      </c>
      <c r="AI652" s="3" t="s">
        <v>730</v>
      </c>
    </row>
    <row r="653" spans="1:35" s="8" customFormat="1" x14ac:dyDescent="0.55000000000000004">
      <c r="A653" s="3">
        <v>651</v>
      </c>
      <c r="B653" s="3">
        <v>1</v>
      </c>
      <c r="C653" s="3" t="str">
        <f>VLOOKUP(B653,Eras!$A$3:$B$999,2,0)</f>
        <v>Classic</v>
      </c>
      <c r="D653" s="3">
        <v>1</v>
      </c>
      <c r="E653" s="3" t="str">
        <f>VLOOKUP(D653,EpisodeFormats!$A$3:$B$999,2,0)</f>
        <v>Series</v>
      </c>
      <c r="F653" s="3">
        <v>6</v>
      </c>
      <c r="G653" s="3" t="str">
        <f>VLOOKUP(F653,Doctors!$A$3:$B$999,2,0)</f>
        <v>Colin Baker</v>
      </c>
      <c r="H653" s="3">
        <v>23</v>
      </c>
      <c r="I653" s="3">
        <v>1</v>
      </c>
      <c r="J653" s="3" t="str">
        <f>VLOOKUP(I653,SeasonFormats!$A$3:$B$999,2,0)</f>
        <v>Season</v>
      </c>
      <c r="K653" s="3">
        <v>143</v>
      </c>
      <c r="L653" s="3">
        <v>3</v>
      </c>
      <c r="M653" s="3" t="s">
        <v>503</v>
      </c>
      <c r="N653" s="3">
        <v>12</v>
      </c>
      <c r="O653" s="3" t="s">
        <v>516</v>
      </c>
      <c r="P653" s="3">
        <v>12</v>
      </c>
      <c r="Q653" s="7" t="d">
        <v>1986-11-22</v>
      </c>
      <c r="R653" s="3">
        <v>25</v>
      </c>
      <c r="S653" s="3"/>
      <c r="T653" s="4" t="s">
        <v>1075</v>
      </c>
      <c r="U653" s="3" t="str" cm="1">
        <f t="array" ref="U653">_xlfn.TEXTJOIN(",",TRUE,_xlfn.XLOOKUP(_xlfn.FILTERXML("&lt;t&gt;&lt;s&gt;" &amp; SUBSTITUTE(T653,",","&lt;/s&gt;&lt;s&gt;") &amp; "&lt;/s&gt;&lt;/t&gt;", "//s"),Writers!$A$3:$A$999,Writers!$B$3:$B$999,""))</f>
        <v>Pip and Jane Baker</v>
      </c>
      <c r="V653" s="3"/>
      <c r="W653" s="3" t="str">
        <f>IF(V653="","",_xlfn.XLOOKUP(V653,Writers!$A$3:$A$999,Writers!$B$3:$B$999,""))</f>
        <v/>
      </c>
      <c r="X653" s="3">
        <v>5.3</v>
      </c>
      <c r="Y653" s="3"/>
      <c r="Z653" s="3"/>
      <c r="AA653" s="3">
        <f t="shared" si="30"/>
        <v>6.39</v>
      </c>
      <c r="AB653" s="3" t="str">
        <f t="shared" si="31"/>
        <v/>
      </c>
      <c r="AC653" s="3" t="str">
        <f t="shared" si="32"/>
        <v/>
      </c>
      <c r="AD653" s="3">
        <f>VLOOKUP(YEAR(Q653),Populations!$A$3:$B$999,2,0)</f>
        <v>56683800</v>
      </c>
      <c r="AE653" s="3">
        <f>(Calculations!B1/AD653)</f>
        <v>1.2050168125637299</v>
      </c>
      <c r="AF653" s="3" t="s">
        <v>527</v>
      </c>
      <c r="AG653" s="3">
        <v>1</v>
      </c>
      <c r="AH653" s="3" t="str">
        <f>VLOOKUP(AG653,WikiFormats!$A$3:$B$999,2,0)</f>
        <v>Story</v>
      </c>
      <c r="AI653" s="3" t="s">
        <v>730</v>
      </c>
    </row>
    <row r="654" spans="1:35" s="2" customFormat="1" x14ac:dyDescent="0.55000000000000004">
      <c r="A654">
        <v>652</v>
      </c>
      <c r="B654">
        <v>1</v>
      </c>
      <c r="C654" t="str">
        <f>VLOOKUP(B654,Eras!$A$3:$B$999,2,0)</f>
        <v>Classic</v>
      </c>
      <c r="D654">
        <v>1</v>
      </c>
      <c r="E654" t="str">
        <f>VLOOKUP(D654,EpisodeFormats!$A$3:$B$999,2,0)</f>
        <v>Series</v>
      </c>
      <c r="F654">
        <v>6</v>
      </c>
      <c r="G654" t="str">
        <f>VLOOKUP(F654,Doctors!$A$3:$B$999,2,0)</f>
        <v>Colin Baker</v>
      </c>
      <c r="H654">
        <v>23</v>
      </c>
      <c r="I654">
        <v>1</v>
      </c>
      <c r="J654" t="str">
        <f>VLOOKUP(I654,SeasonFormats!$A$3:$B$999,2,0)</f>
        <v>Season</v>
      </c>
      <c r="K654">
        <v>143</v>
      </c>
      <c r="L654">
        <v>4</v>
      </c>
      <c r="M654" t="s">
        <v>504</v>
      </c>
      <c r="N654">
        <v>13</v>
      </c>
      <c r="O654" t="s">
        <v>518</v>
      </c>
      <c r="P654">
        <v>13</v>
      </c>
      <c r="Q654" s="6" t="d">
        <v>1986-11-29</v>
      </c>
      <c r="R654">
        <v>25</v>
      </c>
      <c r="S654"/>
      <c r="T654" s="15" t="s">
        <v>1122</v>
      </c>
      <c r="U654" t="str" cm="1">
        <f t="array" ref="U654">_xlfn.TEXTJOIN(",",TRUE,_xlfn.XLOOKUP(_xlfn.FILTERXML("&lt;t&gt;&lt;s&gt;" &amp; SUBSTITUTE(T654,",","&lt;/s&gt;&lt;s&gt;") &amp; "&lt;/s&gt;&lt;/t&gt;", "//s"),Writers!$A$3:$A$999,Writers!$B$3:$B$999,""))</f>
        <v>Robert Holmes</v>
      </c>
      <c r="V654"/>
      <c r="W654" t="str">
        <f>IF(V654="","",_xlfn.XLOOKUP(V654,Writers!$A$3:$A$999,Writers!$B$3:$B$999,""))</f>
        <v/>
      </c>
      <c r="X654">
        <v>4.4000000000000004</v>
      </c>
      <c r="Y654"/>
      <c r="Z654"/>
      <c r="AA654">
        <f t="shared" si="30"/>
        <v>5.3</v>
      </c>
      <c r="AB654" t="str">
        <f t="shared" si="31"/>
        <v/>
      </c>
      <c r="AC654" t="str">
        <f t="shared" si="32"/>
        <v/>
      </c>
      <c r="AD654">
        <f>VLOOKUP(YEAR(Q654),Populations!$A$3:$B$999,2,0)</f>
        <v>56683800</v>
      </c>
      <c r="AE654">
        <f>(Calculations!B1/AD654)</f>
        <v>1.2050168125637299</v>
      </c>
      <c r="AF654"/>
      <c r="AG654">
        <v>1</v>
      </c>
      <c r="AH654" t="str">
        <f>VLOOKUP(AG654,WikiFormats!$A$3:$B$999,2,0)</f>
        <v>Story</v>
      </c>
      <c r="AI654" t="s">
        <v>731</v>
      </c>
    </row>
    <row r="655" spans="1:35" s="2" customFormat="1" x14ac:dyDescent="0.55000000000000004">
      <c r="A655">
        <v>653</v>
      </c>
      <c r="B655">
        <v>1</v>
      </c>
      <c r="C655" t="str">
        <f>VLOOKUP(B655,Eras!$A$3:$B$999,2,0)</f>
        <v>Classic</v>
      </c>
      <c r="D655">
        <v>1</v>
      </c>
      <c r="E655" t="str">
        <f>VLOOKUP(D655,EpisodeFormats!$A$3:$B$999,2,0)</f>
        <v>Series</v>
      </c>
      <c r="F655">
        <v>6</v>
      </c>
      <c r="G655" t="str">
        <f>VLOOKUP(F655,Doctors!$A$3:$B$999,2,0)</f>
        <v>Colin Baker</v>
      </c>
      <c r="H655">
        <v>23</v>
      </c>
      <c r="I655">
        <v>1</v>
      </c>
      <c r="J655" t="str">
        <f>VLOOKUP(I655,SeasonFormats!$A$3:$B$999,2,0)</f>
        <v>Season</v>
      </c>
      <c r="K655">
        <v>143</v>
      </c>
      <c r="L655">
        <v>4</v>
      </c>
      <c r="M655" t="s">
        <v>504</v>
      </c>
      <c r="N655">
        <v>14</v>
      </c>
      <c r="O655" t="s">
        <v>517</v>
      </c>
      <c r="P655">
        <v>14</v>
      </c>
      <c r="Q655" s="6" t="d">
        <v>1986-12-06</v>
      </c>
      <c r="R655">
        <v>30</v>
      </c>
      <c r="S655"/>
      <c r="T655" s="15" t="s">
        <v>1075</v>
      </c>
      <c r="U655" t="str" cm="1">
        <f t="array" ref="U655">_xlfn.TEXTJOIN(",",TRUE,_xlfn.XLOOKUP(_xlfn.FILTERXML("&lt;t&gt;&lt;s&gt;" &amp; SUBSTITUTE(T655,",","&lt;/s&gt;&lt;s&gt;") &amp; "&lt;/s&gt;&lt;/t&gt;", "//s"),Writers!$A$3:$A$999,Writers!$B$3:$B$999,""))</f>
        <v>Pip and Jane Baker</v>
      </c>
      <c r="V655"/>
      <c r="W655" t="str">
        <f>IF(V655="","",_xlfn.XLOOKUP(V655,Writers!$A$3:$A$999,Writers!$B$3:$B$999,""))</f>
        <v/>
      </c>
      <c r="X655">
        <v>5.6</v>
      </c>
      <c r="Y655"/>
      <c r="Z655"/>
      <c r="AA655">
        <f t="shared" si="30"/>
        <v>6.75</v>
      </c>
      <c r="AB655" t="str">
        <f t="shared" si="31"/>
        <v/>
      </c>
      <c r="AC655" t="str">
        <f t="shared" si="32"/>
        <v/>
      </c>
      <c r="AD655">
        <f>VLOOKUP(YEAR(Q655),Populations!$A$3:$B$999,2,0)</f>
        <v>56683800</v>
      </c>
      <c r="AE655">
        <f>(Calculations!B1/AD655)</f>
        <v>1.2050168125637299</v>
      </c>
      <c r="AF655"/>
      <c r="AG655">
        <v>1</v>
      </c>
      <c r="AH655" t="str">
        <f>VLOOKUP(AG655,WikiFormats!$A$3:$B$999,2,0)</f>
        <v>Story</v>
      </c>
      <c r="AI655" t="s">
        <v>731</v>
      </c>
    </row>
    <row r="656" spans="1:35" s="3" customFormat="1" x14ac:dyDescent="0.55000000000000004">
      <c r="A656" s="3">
        <v>654</v>
      </c>
      <c r="B656" s="3">
        <v>1</v>
      </c>
      <c r="C656" s="3" t="str">
        <f>VLOOKUP(B656,Eras!$A$3:$B$999,2,0)</f>
        <v>Classic</v>
      </c>
      <c r="D656" s="3">
        <v>1</v>
      </c>
      <c r="E656" s="3" t="str">
        <f>VLOOKUP(D656,EpisodeFormats!$A$3:$B$999,2,0)</f>
        <v>Series</v>
      </c>
      <c r="F656" s="3">
        <v>7</v>
      </c>
      <c r="G656" s="3" t="str">
        <f>VLOOKUP(F656,Doctors!$A$3:$B$999,2,0)</f>
        <v>Sylvester McCoy</v>
      </c>
      <c r="H656" s="3">
        <v>24</v>
      </c>
      <c r="I656" s="3">
        <v>1</v>
      </c>
      <c r="J656" s="3" t="str">
        <f>VLOOKUP(I656,SeasonFormats!$A$3:$B$999,2,0)</f>
        <v>Season</v>
      </c>
      <c r="K656" s="3">
        <v>144</v>
      </c>
      <c r="L656" s="3">
        <v>1</v>
      </c>
      <c r="M656" s="3" t="s">
        <v>14</v>
      </c>
      <c r="N656" s="3">
        <v>1</v>
      </c>
      <c r="O656" s="3" t="s">
        <v>9</v>
      </c>
      <c r="P656" s="3">
        <v>1</v>
      </c>
      <c r="Q656" s="7" t="d">
        <v>1987-09-07</v>
      </c>
      <c r="R656" s="3">
        <v>25</v>
      </c>
      <c r="T656" s="4" t="s">
        <v>1075</v>
      </c>
      <c r="U656" s="3" t="str" cm="1">
        <f t="array" ref="U656">_xlfn.TEXTJOIN(",",TRUE,_xlfn.XLOOKUP(_xlfn.FILTERXML("&lt;t&gt;&lt;s&gt;" &amp; SUBSTITUTE(T656,",","&lt;/s&gt;&lt;s&gt;") &amp; "&lt;/s&gt;&lt;/t&gt;", "//s"),Writers!$A$3:$A$999,Writers!$B$3:$B$999,""))</f>
        <v>Pip and Jane Baker</v>
      </c>
      <c r="W656" s="3" t="str">
        <f>IF(V656="","",_xlfn.XLOOKUP(V656,Writers!$A$3:$A$999,Writers!$B$3:$B$999,""))</f>
        <v/>
      </c>
      <c r="X656" s="3">
        <v>5.0999999999999996</v>
      </c>
      <c r="AA656" s="3">
        <f t="shared" si="30"/>
        <v>6.13</v>
      </c>
      <c r="AB656" s="3" t="str">
        <f t="shared" si="31"/>
        <v/>
      </c>
      <c r="AC656" s="3" t="str">
        <f t="shared" si="32"/>
        <v/>
      </c>
      <c r="AD656" s="3">
        <f>VLOOKUP(YEAR(Q656),Populations!$A$3:$B$999,2,0)</f>
        <v>56804000</v>
      </c>
      <c r="AE656" s="3">
        <f>(Calculations!B1/AD656)</f>
        <v>1.2024669389479601</v>
      </c>
      <c r="AG656" s="3">
        <v>1</v>
      </c>
      <c r="AH656" s="3" t="str">
        <f>VLOOKUP(AG656,WikiFormats!$A$3:$B$999,2,0)</f>
        <v>Story</v>
      </c>
      <c r="AI656" s="3" t="s">
        <v>732</v>
      </c>
    </row>
    <row r="657" spans="1:35" s="3" customFormat="1" x14ac:dyDescent="0.55000000000000004">
      <c r="A657" s="3">
        <v>655</v>
      </c>
      <c r="B657" s="3">
        <v>1</v>
      </c>
      <c r="C657" s="3" t="str">
        <f>VLOOKUP(B657,Eras!$A$3:$B$999,2,0)</f>
        <v>Classic</v>
      </c>
      <c r="D657" s="3">
        <v>1</v>
      </c>
      <c r="E657" s="3" t="str">
        <f>VLOOKUP(D657,EpisodeFormats!$A$3:$B$999,2,0)</f>
        <v>Series</v>
      </c>
      <c r="F657" s="3">
        <v>7</v>
      </c>
      <c r="G657" s="3" t="str">
        <f>VLOOKUP(F657,Doctors!$A$3:$B$999,2,0)</f>
        <v>Sylvester McCoy</v>
      </c>
      <c r="H657" s="3">
        <v>24</v>
      </c>
      <c r="I657" s="3">
        <v>1</v>
      </c>
      <c r="J657" s="3" t="str">
        <f>VLOOKUP(I657,SeasonFormats!$A$3:$B$999,2,0)</f>
        <v>Season</v>
      </c>
      <c r="K657" s="3">
        <v>144</v>
      </c>
      <c r="L657" s="3">
        <v>1</v>
      </c>
      <c r="M657" s="3" t="s">
        <v>14</v>
      </c>
      <c r="N657" s="3">
        <v>2</v>
      </c>
      <c r="O657" s="3" t="s">
        <v>10</v>
      </c>
      <c r="P657" s="3">
        <v>2</v>
      </c>
      <c r="Q657" s="7" t="d">
        <v>1987-09-14</v>
      </c>
      <c r="R657" s="3">
        <v>25</v>
      </c>
      <c r="T657" s="4" t="s">
        <v>1075</v>
      </c>
      <c r="U657" s="3" t="str" cm="1">
        <f t="array" ref="U657">_xlfn.TEXTJOIN(",",TRUE,_xlfn.XLOOKUP(_xlfn.FILTERXML("&lt;t&gt;&lt;s&gt;" &amp; SUBSTITUTE(T657,",","&lt;/s&gt;&lt;s&gt;") &amp; "&lt;/s&gt;&lt;/t&gt;", "//s"),Writers!$A$3:$A$999,Writers!$B$3:$B$999,""))</f>
        <v>Pip and Jane Baker</v>
      </c>
      <c r="W657" s="3" t="str">
        <f>IF(V657="","",_xlfn.XLOOKUP(V657,Writers!$A$3:$A$999,Writers!$B$3:$B$999,""))</f>
        <v/>
      </c>
      <c r="X657" s="3">
        <v>4.2</v>
      </c>
      <c r="AA657" s="3">
        <f t="shared" si="30"/>
        <v>5.05</v>
      </c>
      <c r="AB657" s="3" t="str">
        <f t="shared" si="31"/>
        <v/>
      </c>
      <c r="AC657" s="3" t="str">
        <f t="shared" si="32"/>
        <v/>
      </c>
      <c r="AD657" s="3">
        <f>VLOOKUP(YEAR(Q657),Populations!$A$3:$B$999,2,0)</f>
        <v>56804000</v>
      </c>
      <c r="AE657" s="3">
        <f>(Calculations!B1/AD657)</f>
        <v>1.2024669389479601</v>
      </c>
      <c r="AG657" s="3">
        <v>1</v>
      </c>
      <c r="AH657" s="3" t="str">
        <f>VLOOKUP(AG657,WikiFormats!$A$3:$B$999,2,0)</f>
        <v>Story</v>
      </c>
      <c r="AI657" s="3" t="s">
        <v>732</v>
      </c>
    </row>
    <row r="658" spans="1:35" s="3" customFormat="1" x14ac:dyDescent="0.55000000000000004">
      <c r="A658" s="3">
        <v>656</v>
      </c>
      <c r="B658" s="3">
        <v>1</v>
      </c>
      <c r="C658" s="3" t="str">
        <f>VLOOKUP(B658,Eras!$A$3:$B$999,2,0)</f>
        <v>Classic</v>
      </c>
      <c r="D658" s="3">
        <v>1</v>
      </c>
      <c r="E658" s="3" t="str">
        <f>VLOOKUP(D658,EpisodeFormats!$A$3:$B$999,2,0)</f>
        <v>Series</v>
      </c>
      <c r="F658" s="3">
        <v>7</v>
      </c>
      <c r="G658" s="3" t="str">
        <f>VLOOKUP(F658,Doctors!$A$3:$B$999,2,0)</f>
        <v>Sylvester McCoy</v>
      </c>
      <c r="H658" s="3">
        <v>24</v>
      </c>
      <c r="I658" s="3">
        <v>1</v>
      </c>
      <c r="J658" s="3" t="str">
        <f>VLOOKUP(I658,SeasonFormats!$A$3:$B$999,2,0)</f>
        <v>Season</v>
      </c>
      <c r="K658" s="3">
        <v>144</v>
      </c>
      <c r="L658" s="3">
        <v>1</v>
      </c>
      <c r="M658" s="3" t="s">
        <v>14</v>
      </c>
      <c r="N658" s="3">
        <v>3</v>
      </c>
      <c r="O658" s="3" t="s">
        <v>11</v>
      </c>
      <c r="P658" s="3">
        <v>3</v>
      </c>
      <c r="Q658" s="7" t="d">
        <v>1987-09-21</v>
      </c>
      <c r="R658" s="3">
        <v>24</v>
      </c>
      <c r="T658" s="4" t="s">
        <v>1075</v>
      </c>
      <c r="U658" s="3" t="str" cm="1">
        <f t="array" ref="U658">_xlfn.TEXTJOIN(",",TRUE,_xlfn.XLOOKUP(_xlfn.FILTERXML("&lt;t&gt;&lt;s&gt;" &amp; SUBSTITUTE(T658,",","&lt;/s&gt;&lt;s&gt;") &amp; "&lt;/s&gt;&lt;/t&gt;", "//s"),Writers!$A$3:$A$999,Writers!$B$3:$B$999,""))</f>
        <v>Pip and Jane Baker</v>
      </c>
      <c r="W658" s="3" t="str">
        <f>IF(V658="","",_xlfn.XLOOKUP(V658,Writers!$A$3:$A$999,Writers!$B$3:$B$999,""))</f>
        <v/>
      </c>
      <c r="X658" s="3">
        <v>4.3</v>
      </c>
      <c r="AA658" s="3">
        <f t="shared" si="30"/>
        <v>5.17</v>
      </c>
      <c r="AB658" s="3" t="str">
        <f t="shared" si="31"/>
        <v/>
      </c>
      <c r="AC658" s="3" t="str">
        <f t="shared" si="32"/>
        <v/>
      </c>
      <c r="AD658" s="3">
        <f>VLOOKUP(YEAR(Q658),Populations!$A$3:$B$999,2,0)</f>
        <v>56804000</v>
      </c>
      <c r="AE658" s="3">
        <f>(Calculations!B1/AD658)</f>
        <v>1.2024669389479601</v>
      </c>
      <c r="AG658" s="3">
        <v>1</v>
      </c>
      <c r="AH658" s="3" t="str">
        <f>VLOOKUP(AG658,WikiFormats!$A$3:$B$999,2,0)</f>
        <v>Story</v>
      </c>
      <c r="AI658" s="3" t="s">
        <v>732</v>
      </c>
    </row>
    <row r="659" spans="1:35" s="3" customFormat="1" x14ac:dyDescent="0.55000000000000004">
      <c r="A659" s="3">
        <v>657</v>
      </c>
      <c r="B659" s="3">
        <v>1</v>
      </c>
      <c r="C659" s="3" t="str">
        <f>VLOOKUP(B659,Eras!$A$3:$B$999,2,0)</f>
        <v>Classic</v>
      </c>
      <c r="D659" s="3">
        <v>1</v>
      </c>
      <c r="E659" s="3" t="str">
        <f>VLOOKUP(D659,EpisodeFormats!$A$3:$B$999,2,0)</f>
        <v>Series</v>
      </c>
      <c r="F659" s="3">
        <v>7</v>
      </c>
      <c r="G659" s="3" t="str">
        <f>VLOOKUP(F659,Doctors!$A$3:$B$999,2,0)</f>
        <v>Sylvester McCoy</v>
      </c>
      <c r="H659" s="3">
        <v>24</v>
      </c>
      <c r="I659" s="3">
        <v>1</v>
      </c>
      <c r="J659" s="3" t="str">
        <f>VLOOKUP(I659,SeasonFormats!$A$3:$B$999,2,0)</f>
        <v>Season</v>
      </c>
      <c r="K659" s="3">
        <v>144</v>
      </c>
      <c r="L659" s="3">
        <v>1</v>
      </c>
      <c r="M659" s="3" t="s">
        <v>14</v>
      </c>
      <c r="N659" s="3">
        <v>4</v>
      </c>
      <c r="O659" s="3" t="s">
        <v>12</v>
      </c>
      <c r="P659" s="3">
        <v>4</v>
      </c>
      <c r="Q659" s="7" t="d">
        <v>1987-09-28</v>
      </c>
      <c r="R659" s="3">
        <v>25</v>
      </c>
      <c r="T659" s="4" t="s">
        <v>1075</v>
      </c>
      <c r="U659" s="3" t="str" cm="1">
        <f t="array" ref="U659">_xlfn.TEXTJOIN(",",TRUE,_xlfn.XLOOKUP(_xlfn.FILTERXML("&lt;t&gt;&lt;s&gt;" &amp; SUBSTITUTE(T659,",","&lt;/s&gt;&lt;s&gt;") &amp; "&lt;/s&gt;&lt;/t&gt;", "//s"),Writers!$A$3:$A$999,Writers!$B$3:$B$999,""))</f>
        <v>Pip and Jane Baker</v>
      </c>
      <c r="W659" s="3" t="str">
        <f>IF(V659="","",_xlfn.XLOOKUP(V659,Writers!$A$3:$A$999,Writers!$B$3:$B$999,""))</f>
        <v/>
      </c>
      <c r="X659" s="3">
        <v>4.9000000000000004</v>
      </c>
      <c r="AA659" s="3">
        <f t="shared" si="30"/>
        <v>5.89</v>
      </c>
      <c r="AB659" s="3" t="str">
        <f t="shared" si="31"/>
        <v/>
      </c>
      <c r="AC659" s="3" t="str">
        <f t="shared" si="32"/>
        <v/>
      </c>
      <c r="AD659" s="3">
        <f>VLOOKUP(YEAR(Q659),Populations!$A$3:$B$999,2,0)</f>
        <v>56804000</v>
      </c>
      <c r="AE659" s="3">
        <f>(Calculations!B1/AD659)</f>
        <v>1.2024669389479601</v>
      </c>
      <c r="AG659" s="3">
        <v>1</v>
      </c>
      <c r="AH659" s="3" t="str">
        <f>VLOOKUP(AG659,WikiFormats!$A$3:$B$999,2,0)</f>
        <v>Story</v>
      </c>
      <c r="AI659" s="3" t="s">
        <v>732</v>
      </c>
    </row>
    <row r="660" spans="1:35" x14ac:dyDescent="0.55000000000000004">
      <c r="A660">
        <v>658</v>
      </c>
      <c r="B660">
        <v>1</v>
      </c>
      <c r="C660" t="str">
        <f>VLOOKUP(B660,Eras!$A$3:$B$999,2,0)</f>
        <v>Classic</v>
      </c>
      <c r="D660">
        <v>1</v>
      </c>
      <c r="E660" t="str">
        <f>VLOOKUP(D660,EpisodeFormats!$A$3:$B$999,2,0)</f>
        <v>Series</v>
      </c>
      <c r="F660">
        <v>7</v>
      </c>
      <c r="G660" t="str">
        <f>VLOOKUP(F660,Doctors!$A$3:$B$999,2,0)</f>
        <v>Sylvester McCoy</v>
      </c>
      <c r="H660">
        <v>24</v>
      </c>
      <c r="I660">
        <v>1</v>
      </c>
      <c r="J660" t="str">
        <f>VLOOKUP(I660,SeasonFormats!$A$3:$B$999,2,0)</f>
        <v>Season</v>
      </c>
      <c r="K660">
        <v>145</v>
      </c>
      <c r="L660">
        <v>2</v>
      </c>
      <c r="M660" t="s">
        <v>15</v>
      </c>
      <c r="N660">
        <v>1</v>
      </c>
      <c r="O660" t="s">
        <v>9</v>
      </c>
      <c r="P660">
        <v>5</v>
      </c>
      <c r="Q660" s="6" t="d">
        <v>1987-10-05</v>
      </c>
      <c r="R660">
        <v>25</v>
      </c>
      <c r="T660" s="15" t="s">
        <v>1176</v>
      </c>
      <c r="U660" t="str" cm="1">
        <f t="array" ref="U660">_xlfn.TEXTJOIN(",",TRUE,_xlfn.XLOOKUP(_xlfn.FILTERXML("&lt;t&gt;&lt;s&gt;" &amp; SUBSTITUTE(T660,",","&lt;/s&gt;&lt;s&gt;") &amp; "&lt;/s&gt;&lt;/t&gt;", "//s"),Writers!$A$3:$A$999,Writers!$B$3:$B$999,""))</f>
        <v>Stephen Wyatt</v>
      </c>
      <c r="W660" t="str">
        <f>IF(V660="","",_xlfn.XLOOKUP(V660,Writers!$A$3:$A$999,Writers!$B$3:$B$999,""))</f>
        <v/>
      </c>
      <c r="X660">
        <v>4.5</v>
      </c>
      <c r="AA660">
        <f t="shared" si="30"/>
        <v>5.41</v>
      </c>
      <c r="AB660" t="str">
        <f t="shared" si="31"/>
        <v/>
      </c>
      <c r="AC660" t="str">
        <f t="shared" si="32"/>
        <v/>
      </c>
      <c r="AD660">
        <f>VLOOKUP(YEAR(Q660),Populations!$A$3:$B$999,2,0)</f>
        <v>56804000</v>
      </c>
      <c r="AE660">
        <f>(Calculations!B1/AD660)</f>
        <v>1.2024669389479601</v>
      </c>
      <c r="AG660">
        <v>1</v>
      </c>
      <c r="AH660" t="str">
        <f>VLOOKUP(AG660,WikiFormats!$A$3:$B$999,2,0)</f>
        <v>Story</v>
      </c>
      <c r="AI660" t="s">
        <v>733</v>
      </c>
    </row>
    <row r="661" spans="1:35" x14ac:dyDescent="0.55000000000000004">
      <c r="A661">
        <v>659</v>
      </c>
      <c r="B661">
        <v>1</v>
      </c>
      <c r="C661" t="str">
        <f>VLOOKUP(B661,Eras!$A$3:$B$999,2,0)</f>
        <v>Classic</v>
      </c>
      <c r="D661">
        <v>1</v>
      </c>
      <c r="E661" t="str">
        <f>VLOOKUP(D661,EpisodeFormats!$A$3:$B$999,2,0)</f>
        <v>Series</v>
      </c>
      <c r="F661">
        <v>7</v>
      </c>
      <c r="G661" t="str">
        <f>VLOOKUP(F661,Doctors!$A$3:$B$999,2,0)</f>
        <v>Sylvester McCoy</v>
      </c>
      <c r="H661">
        <v>24</v>
      </c>
      <c r="I661">
        <v>1</v>
      </c>
      <c r="J661" t="str">
        <f>VLOOKUP(I661,SeasonFormats!$A$3:$B$999,2,0)</f>
        <v>Season</v>
      </c>
      <c r="K661">
        <v>145</v>
      </c>
      <c r="L661">
        <v>2</v>
      </c>
      <c r="M661" t="s">
        <v>15</v>
      </c>
      <c r="N661">
        <v>2</v>
      </c>
      <c r="O661" t="s">
        <v>10</v>
      </c>
      <c r="P661">
        <v>6</v>
      </c>
      <c r="Q661" s="6" t="d">
        <v>1987-10-12</v>
      </c>
      <c r="R661">
        <v>25</v>
      </c>
      <c r="T661" s="15" t="s">
        <v>1176</v>
      </c>
      <c r="U661" t="str" cm="1">
        <f t="array" ref="U661">_xlfn.TEXTJOIN(",",TRUE,_xlfn.XLOOKUP(_xlfn.FILTERXML("&lt;t&gt;&lt;s&gt;" &amp; SUBSTITUTE(T661,",","&lt;/s&gt;&lt;s&gt;") &amp; "&lt;/s&gt;&lt;/t&gt;", "//s"),Writers!$A$3:$A$999,Writers!$B$3:$B$999,""))</f>
        <v>Stephen Wyatt</v>
      </c>
      <c r="W661" t="str">
        <f>IF(V661="","",_xlfn.XLOOKUP(V661,Writers!$A$3:$A$999,Writers!$B$3:$B$999,""))</f>
        <v/>
      </c>
      <c r="X661">
        <v>5.2</v>
      </c>
      <c r="AA661">
        <f t="shared" si="30"/>
        <v>6.25</v>
      </c>
      <c r="AB661" t="str">
        <f t="shared" si="31"/>
        <v/>
      </c>
      <c r="AC661" t="str">
        <f t="shared" si="32"/>
        <v/>
      </c>
      <c r="AD661">
        <f>VLOOKUP(YEAR(Q661),Populations!$A$3:$B$999,2,0)</f>
        <v>56804000</v>
      </c>
      <c r="AE661">
        <f>(Calculations!B1/AD661)</f>
        <v>1.2024669389479601</v>
      </c>
      <c r="AG661">
        <v>1</v>
      </c>
      <c r="AH661" t="str">
        <f>VLOOKUP(AG661,WikiFormats!$A$3:$B$999,2,0)</f>
        <v>Story</v>
      </c>
      <c r="AI661" t="s">
        <v>733</v>
      </c>
    </row>
    <row r="662" spans="1:35" x14ac:dyDescent="0.55000000000000004">
      <c r="A662">
        <v>660</v>
      </c>
      <c r="B662">
        <v>1</v>
      </c>
      <c r="C662" t="str">
        <f>VLOOKUP(B662,Eras!$A$3:$B$999,2,0)</f>
        <v>Classic</v>
      </c>
      <c r="D662">
        <v>1</v>
      </c>
      <c r="E662" t="str">
        <f>VLOOKUP(D662,EpisodeFormats!$A$3:$B$999,2,0)</f>
        <v>Series</v>
      </c>
      <c r="F662">
        <v>7</v>
      </c>
      <c r="G662" t="str">
        <f>VLOOKUP(F662,Doctors!$A$3:$B$999,2,0)</f>
        <v>Sylvester McCoy</v>
      </c>
      <c r="H662">
        <v>24</v>
      </c>
      <c r="I662">
        <v>1</v>
      </c>
      <c r="J662" t="str">
        <f>VLOOKUP(I662,SeasonFormats!$A$3:$B$999,2,0)</f>
        <v>Season</v>
      </c>
      <c r="K662">
        <v>145</v>
      </c>
      <c r="L662">
        <v>2</v>
      </c>
      <c r="M662" t="s">
        <v>15</v>
      </c>
      <c r="N662">
        <v>3</v>
      </c>
      <c r="O662" t="s">
        <v>11</v>
      </c>
      <c r="P662">
        <v>7</v>
      </c>
      <c r="Q662" s="6" t="d">
        <v>1987-10-19</v>
      </c>
      <c r="R662">
        <v>25</v>
      </c>
      <c r="T662" s="15" t="s">
        <v>1176</v>
      </c>
      <c r="U662" t="str" cm="1">
        <f t="array" ref="U662">_xlfn.TEXTJOIN(",",TRUE,_xlfn.XLOOKUP(_xlfn.FILTERXML("&lt;t&gt;&lt;s&gt;" &amp; SUBSTITUTE(T662,",","&lt;/s&gt;&lt;s&gt;") &amp; "&lt;/s&gt;&lt;/t&gt;", "//s"),Writers!$A$3:$A$999,Writers!$B$3:$B$999,""))</f>
        <v>Stephen Wyatt</v>
      </c>
      <c r="W662" t="str">
        <f>IF(V662="","",_xlfn.XLOOKUP(V662,Writers!$A$3:$A$999,Writers!$B$3:$B$999,""))</f>
        <v/>
      </c>
      <c r="X662">
        <v>5</v>
      </c>
      <c r="AA662">
        <f t="shared" si="30"/>
        <v>6.01</v>
      </c>
      <c r="AB662" t="str">
        <f t="shared" si="31"/>
        <v/>
      </c>
      <c r="AC662" t="str">
        <f t="shared" si="32"/>
        <v/>
      </c>
      <c r="AD662">
        <f>VLOOKUP(YEAR(Q662),Populations!$A$3:$B$999,2,0)</f>
        <v>56804000</v>
      </c>
      <c r="AE662">
        <f>(Calculations!B1/AD662)</f>
        <v>1.2024669389479601</v>
      </c>
      <c r="AG662">
        <v>1</v>
      </c>
      <c r="AH662" t="str">
        <f>VLOOKUP(AG662,WikiFormats!$A$3:$B$999,2,0)</f>
        <v>Story</v>
      </c>
      <c r="AI662" t="s">
        <v>733</v>
      </c>
    </row>
    <row r="663" spans="1:35" x14ac:dyDescent="0.55000000000000004">
      <c r="A663">
        <v>661</v>
      </c>
      <c r="B663">
        <v>1</v>
      </c>
      <c r="C663" t="str">
        <f>VLOOKUP(B663,Eras!$A$3:$B$999,2,0)</f>
        <v>Classic</v>
      </c>
      <c r="D663">
        <v>1</v>
      </c>
      <c r="E663" t="str">
        <f>VLOOKUP(D663,EpisodeFormats!$A$3:$B$999,2,0)</f>
        <v>Series</v>
      </c>
      <c r="F663">
        <v>7</v>
      </c>
      <c r="G663" t="str">
        <f>VLOOKUP(F663,Doctors!$A$3:$B$999,2,0)</f>
        <v>Sylvester McCoy</v>
      </c>
      <c r="H663">
        <v>24</v>
      </c>
      <c r="I663">
        <v>1</v>
      </c>
      <c r="J663" t="str">
        <f>VLOOKUP(I663,SeasonFormats!$A$3:$B$999,2,0)</f>
        <v>Season</v>
      </c>
      <c r="K663">
        <v>145</v>
      </c>
      <c r="L663">
        <v>2</v>
      </c>
      <c r="M663" t="s">
        <v>15</v>
      </c>
      <c r="N663">
        <v>4</v>
      </c>
      <c r="O663" t="s">
        <v>12</v>
      </c>
      <c r="P663">
        <v>8</v>
      </c>
      <c r="Q663" s="6" t="d">
        <v>1987-10-26</v>
      </c>
      <c r="R663">
        <v>24</v>
      </c>
      <c r="T663" s="15" t="s">
        <v>1176</v>
      </c>
      <c r="U663" t="str" cm="1">
        <f t="array" ref="U663">_xlfn.TEXTJOIN(",",TRUE,_xlfn.XLOOKUP(_xlfn.FILTERXML("&lt;t&gt;&lt;s&gt;" &amp; SUBSTITUTE(T663,",","&lt;/s&gt;&lt;s&gt;") &amp; "&lt;/s&gt;&lt;/t&gt;", "//s"),Writers!$A$3:$A$999,Writers!$B$3:$B$999,""))</f>
        <v>Stephen Wyatt</v>
      </c>
      <c r="W663" t="str">
        <f>IF(V663="","",_xlfn.XLOOKUP(V663,Writers!$A$3:$A$999,Writers!$B$3:$B$999,""))</f>
        <v/>
      </c>
      <c r="X663">
        <v>5</v>
      </c>
      <c r="AA663">
        <f t="shared" si="30"/>
        <v>6.01</v>
      </c>
      <c r="AB663" t="str">
        <f t="shared" si="31"/>
        <v/>
      </c>
      <c r="AC663" t="str">
        <f t="shared" si="32"/>
        <v/>
      </c>
      <c r="AD663">
        <f>VLOOKUP(YEAR(Q663),Populations!$A$3:$B$999,2,0)</f>
        <v>56804000</v>
      </c>
      <c r="AE663">
        <f>(Calculations!B1/AD663)</f>
        <v>1.2024669389479601</v>
      </c>
      <c r="AG663">
        <v>1</v>
      </c>
      <c r="AH663" t="str">
        <f>VLOOKUP(AG663,WikiFormats!$A$3:$B$999,2,0)</f>
        <v>Story</v>
      </c>
      <c r="AI663" t="s">
        <v>733</v>
      </c>
    </row>
    <row r="664" spans="1:35" s="3" customFormat="1" x14ac:dyDescent="0.55000000000000004">
      <c r="A664" s="3">
        <v>662</v>
      </c>
      <c r="B664" s="3">
        <v>1</v>
      </c>
      <c r="C664" s="3" t="str">
        <f>VLOOKUP(B664,Eras!$A$3:$B$999,2,0)</f>
        <v>Classic</v>
      </c>
      <c r="D664" s="3">
        <v>1</v>
      </c>
      <c r="E664" s="3" t="str">
        <f>VLOOKUP(D664,EpisodeFormats!$A$3:$B$999,2,0)</f>
        <v>Series</v>
      </c>
      <c r="F664" s="3">
        <v>7</v>
      </c>
      <c r="G664" s="3" t="str">
        <f>VLOOKUP(F664,Doctors!$A$3:$B$999,2,0)</f>
        <v>Sylvester McCoy</v>
      </c>
      <c r="H664" s="3">
        <v>24</v>
      </c>
      <c r="I664" s="3">
        <v>1</v>
      </c>
      <c r="J664" s="3" t="str">
        <f>VLOOKUP(I664,SeasonFormats!$A$3:$B$999,2,0)</f>
        <v>Season</v>
      </c>
      <c r="K664" s="3">
        <v>146</v>
      </c>
      <c r="L664" s="3">
        <v>3</v>
      </c>
      <c r="M664" s="3" t="s">
        <v>16</v>
      </c>
      <c r="N664" s="3">
        <v>1</v>
      </c>
      <c r="O664" s="3" t="s">
        <v>9</v>
      </c>
      <c r="P664" s="3">
        <v>9</v>
      </c>
      <c r="Q664" s="7" t="d">
        <v>1987-11-02</v>
      </c>
      <c r="R664" s="3">
        <v>25</v>
      </c>
      <c r="T664" s="4" t="s">
        <v>1135</v>
      </c>
      <c r="U664" s="3" t="str" cm="1">
        <f t="array" ref="U664">_xlfn.TEXTJOIN(",",TRUE,_xlfn.XLOOKUP(_xlfn.FILTERXML("&lt;t&gt;&lt;s&gt;" &amp; SUBSTITUTE(T664,",","&lt;/s&gt;&lt;s&gt;") &amp; "&lt;/s&gt;&lt;/t&gt;", "//s"),Writers!$A$3:$A$999,Writers!$B$3:$B$999,""))</f>
        <v>Malcolm Kohll</v>
      </c>
      <c r="W664" s="3" t="str">
        <f>IF(V664="","",_xlfn.XLOOKUP(V664,Writers!$A$3:$A$999,Writers!$B$3:$B$999,""))</f>
        <v/>
      </c>
      <c r="X664" s="3">
        <v>5.3</v>
      </c>
      <c r="AA664" s="3">
        <f t="shared" si="30"/>
        <v>6.37</v>
      </c>
      <c r="AB664" s="3" t="str">
        <f t="shared" si="31"/>
        <v/>
      </c>
      <c r="AC664" s="3" t="str">
        <f t="shared" si="32"/>
        <v/>
      </c>
      <c r="AD664" s="3">
        <f>VLOOKUP(YEAR(Q664),Populations!$A$3:$B$999,2,0)</f>
        <v>56804000</v>
      </c>
      <c r="AE664" s="3">
        <f>(Calculations!B1/AD664)</f>
        <v>1.2024669389479601</v>
      </c>
      <c r="AG664" s="3">
        <v>1</v>
      </c>
      <c r="AH664" s="3" t="str">
        <f>VLOOKUP(AG664,WikiFormats!$A$3:$B$999,2,0)</f>
        <v>Story</v>
      </c>
      <c r="AI664" s="3" t="s">
        <v>734</v>
      </c>
    </row>
    <row r="665" spans="1:35" s="3" customFormat="1" x14ac:dyDescent="0.55000000000000004">
      <c r="A665" s="3">
        <v>663</v>
      </c>
      <c r="B665" s="3">
        <v>1</v>
      </c>
      <c r="C665" s="3" t="str">
        <f>VLOOKUP(B665,Eras!$A$3:$B$999,2,0)</f>
        <v>Classic</v>
      </c>
      <c r="D665" s="3">
        <v>1</v>
      </c>
      <c r="E665" s="3" t="str">
        <f>VLOOKUP(D665,EpisodeFormats!$A$3:$B$999,2,0)</f>
        <v>Series</v>
      </c>
      <c r="F665" s="3">
        <v>7</v>
      </c>
      <c r="G665" s="3" t="str">
        <f>VLOOKUP(F665,Doctors!$A$3:$B$999,2,0)</f>
        <v>Sylvester McCoy</v>
      </c>
      <c r="H665" s="3">
        <v>24</v>
      </c>
      <c r="I665" s="3">
        <v>1</v>
      </c>
      <c r="J665" s="3" t="str">
        <f>VLOOKUP(I665,SeasonFormats!$A$3:$B$999,2,0)</f>
        <v>Season</v>
      </c>
      <c r="K665" s="3">
        <v>146</v>
      </c>
      <c r="L665" s="3">
        <v>3</v>
      </c>
      <c r="M665" s="3" t="s">
        <v>16</v>
      </c>
      <c r="N665" s="3">
        <v>2</v>
      </c>
      <c r="O665" s="3" t="s">
        <v>10</v>
      </c>
      <c r="P665" s="3">
        <v>10</v>
      </c>
      <c r="Q665" s="7" t="d">
        <v>1987-11-09</v>
      </c>
      <c r="R665" s="3">
        <v>24</v>
      </c>
      <c r="T665" s="4" t="s">
        <v>1135</v>
      </c>
      <c r="U665" s="3" t="str" cm="1">
        <f t="array" ref="U665">_xlfn.TEXTJOIN(",",TRUE,_xlfn.XLOOKUP(_xlfn.FILTERXML("&lt;t&gt;&lt;s&gt;" &amp; SUBSTITUTE(T665,",","&lt;/s&gt;&lt;s&gt;") &amp; "&lt;/s&gt;&lt;/t&gt;", "//s"),Writers!$A$3:$A$999,Writers!$B$3:$B$999,""))</f>
        <v>Malcolm Kohll</v>
      </c>
      <c r="W665" s="3" t="str">
        <f>IF(V665="","",_xlfn.XLOOKUP(V665,Writers!$A$3:$A$999,Writers!$B$3:$B$999,""))</f>
        <v/>
      </c>
      <c r="X665" s="3">
        <v>5.0999999999999996</v>
      </c>
      <c r="AA665" s="3">
        <f t="shared" si="30"/>
        <v>6.13</v>
      </c>
      <c r="AB665" s="3" t="str">
        <f t="shared" si="31"/>
        <v/>
      </c>
      <c r="AC665" s="3" t="str">
        <f t="shared" si="32"/>
        <v/>
      </c>
      <c r="AD665" s="3">
        <f>VLOOKUP(YEAR(Q665),Populations!$A$3:$B$999,2,0)</f>
        <v>56804000</v>
      </c>
      <c r="AE665" s="3">
        <f>(Calculations!B1/AD665)</f>
        <v>1.2024669389479601</v>
      </c>
      <c r="AG665" s="3">
        <v>1</v>
      </c>
      <c r="AH665" s="3" t="str">
        <f>VLOOKUP(AG665,WikiFormats!$A$3:$B$999,2,0)</f>
        <v>Story</v>
      </c>
      <c r="AI665" s="3" t="s">
        <v>734</v>
      </c>
    </row>
    <row r="666" spans="1:35" s="3" customFormat="1" x14ac:dyDescent="0.55000000000000004">
      <c r="A666" s="3">
        <v>664</v>
      </c>
      <c r="B666" s="3">
        <v>1</v>
      </c>
      <c r="C666" s="3" t="str">
        <f>VLOOKUP(B666,Eras!$A$3:$B$999,2,0)</f>
        <v>Classic</v>
      </c>
      <c r="D666" s="3">
        <v>1</v>
      </c>
      <c r="E666" s="3" t="str">
        <f>VLOOKUP(D666,EpisodeFormats!$A$3:$B$999,2,0)</f>
        <v>Series</v>
      </c>
      <c r="F666" s="3">
        <v>7</v>
      </c>
      <c r="G666" s="3" t="str">
        <f>VLOOKUP(F666,Doctors!$A$3:$B$999,2,0)</f>
        <v>Sylvester McCoy</v>
      </c>
      <c r="H666" s="3">
        <v>24</v>
      </c>
      <c r="I666" s="3">
        <v>1</v>
      </c>
      <c r="J666" s="3" t="str">
        <f>VLOOKUP(I666,SeasonFormats!$A$3:$B$999,2,0)</f>
        <v>Season</v>
      </c>
      <c r="K666" s="3">
        <v>146</v>
      </c>
      <c r="L666" s="3">
        <v>3</v>
      </c>
      <c r="M666" s="3" t="s">
        <v>16</v>
      </c>
      <c r="N666" s="3">
        <v>3</v>
      </c>
      <c r="O666" s="3" t="s">
        <v>11</v>
      </c>
      <c r="P666" s="3">
        <v>11</v>
      </c>
      <c r="Q666" s="7" t="d">
        <v>1987-11-16</v>
      </c>
      <c r="R666" s="3">
        <v>24</v>
      </c>
      <c r="T666" s="4" t="s">
        <v>1135</v>
      </c>
      <c r="U666" s="3" t="str" cm="1">
        <f t="array" ref="U666">_xlfn.TEXTJOIN(",",TRUE,_xlfn.XLOOKUP(_xlfn.FILTERXML("&lt;t&gt;&lt;s&gt;" &amp; SUBSTITUTE(T666,",","&lt;/s&gt;&lt;s&gt;") &amp; "&lt;/s&gt;&lt;/t&gt;", "//s"),Writers!$A$3:$A$999,Writers!$B$3:$B$999,""))</f>
        <v>Malcolm Kohll</v>
      </c>
      <c r="W666" s="3" t="str">
        <f>IF(V666="","",_xlfn.XLOOKUP(V666,Writers!$A$3:$A$999,Writers!$B$3:$B$999,""))</f>
        <v/>
      </c>
      <c r="X666" s="3">
        <v>5.4</v>
      </c>
      <c r="AA666" s="3">
        <f t="shared" si="30"/>
        <v>6.49</v>
      </c>
      <c r="AB666" s="3" t="str">
        <f t="shared" si="31"/>
        <v/>
      </c>
      <c r="AC666" s="3" t="str">
        <f t="shared" si="32"/>
        <v/>
      </c>
      <c r="AD666" s="3">
        <f>VLOOKUP(YEAR(Q666),Populations!$A$3:$B$999,2,0)</f>
        <v>56804000</v>
      </c>
      <c r="AE666" s="3">
        <f>(Calculations!B1/AD666)</f>
        <v>1.2024669389479601</v>
      </c>
      <c r="AG666" s="3">
        <v>1</v>
      </c>
      <c r="AH666" s="3" t="str">
        <f>VLOOKUP(AG666,WikiFormats!$A$3:$B$999,2,0)</f>
        <v>Story</v>
      </c>
      <c r="AI666" s="3" t="s">
        <v>734</v>
      </c>
    </row>
    <row r="667" spans="1:35" x14ac:dyDescent="0.55000000000000004">
      <c r="A667">
        <v>665</v>
      </c>
      <c r="B667">
        <v>1</v>
      </c>
      <c r="C667" t="str">
        <f>VLOOKUP(B667,Eras!$A$3:$B$999,2,0)</f>
        <v>Classic</v>
      </c>
      <c r="D667">
        <v>1</v>
      </c>
      <c r="E667" t="str">
        <f>VLOOKUP(D667,EpisodeFormats!$A$3:$B$999,2,0)</f>
        <v>Series</v>
      </c>
      <c r="F667">
        <v>7</v>
      </c>
      <c r="G667" t="str">
        <f>VLOOKUP(F667,Doctors!$A$3:$B$999,2,0)</f>
        <v>Sylvester McCoy</v>
      </c>
      <c r="H667">
        <v>24</v>
      </c>
      <c r="I667">
        <v>1</v>
      </c>
      <c r="J667" t="str">
        <f>VLOOKUP(I667,SeasonFormats!$A$3:$B$999,2,0)</f>
        <v>Season</v>
      </c>
      <c r="K667">
        <v>147</v>
      </c>
      <c r="L667">
        <v>4</v>
      </c>
      <c r="M667" t="s">
        <v>17</v>
      </c>
      <c r="N667">
        <v>1</v>
      </c>
      <c r="O667" t="s">
        <v>9</v>
      </c>
      <c r="P667">
        <v>12</v>
      </c>
      <c r="Q667" s="6" t="d">
        <v>1987-11-23</v>
      </c>
      <c r="R667">
        <v>24</v>
      </c>
      <c r="T667" s="15" t="s">
        <v>1082</v>
      </c>
      <c r="U667" t="str" cm="1">
        <f t="array" ref="U667">_xlfn.TEXTJOIN(",",TRUE,_xlfn.XLOOKUP(_xlfn.FILTERXML("&lt;t&gt;&lt;s&gt;" &amp; SUBSTITUTE(T667,",","&lt;/s&gt;&lt;s&gt;") &amp; "&lt;/s&gt;&lt;/t&gt;", "//s"),Writers!$A$3:$A$999,Writers!$B$3:$B$999,""))</f>
        <v>Ian Briggs</v>
      </c>
      <c r="W667" t="str">
        <f>IF(V667="","",_xlfn.XLOOKUP(V667,Writers!$A$3:$A$999,Writers!$B$3:$B$999,""))</f>
        <v/>
      </c>
      <c r="X667">
        <v>5.5</v>
      </c>
      <c r="AA667">
        <f t="shared" si="30"/>
        <v>6.61</v>
      </c>
      <c r="AB667" t="str">
        <f t="shared" si="31"/>
        <v/>
      </c>
      <c r="AC667" t="str">
        <f t="shared" si="32"/>
        <v/>
      </c>
      <c r="AD667">
        <f>VLOOKUP(YEAR(Q667),Populations!$A$3:$B$999,2,0)</f>
        <v>56804000</v>
      </c>
      <c r="AE667">
        <f>(Calculations!B1/AD667)</f>
        <v>1.2024669389479601</v>
      </c>
      <c r="AG667">
        <v>1</v>
      </c>
      <c r="AH667" t="str">
        <f>VLOOKUP(AG667,WikiFormats!$A$3:$B$999,2,0)</f>
        <v>Story</v>
      </c>
      <c r="AI667" t="s">
        <v>735</v>
      </c>
    </row>
    <row r="668" spans="1:35" x14ac:dyDescent="0.55000000000000004">
      <c r="A668">
        <v>666</v>
      </c>
      <c r="B668">
        <v>1</v>
      </c>
      <c r="C668" t="str">
        <f>VLOOKUP(B668,Eras!$A$3:$B$999,2,0)</f>
        <v>Classic</v>
      </c>
      <c r="D668">
        <v>1</v>
      </c>
      <c r="E668" t="str">
        <f>VLOOKUP(D668,EpisodeFormats!$A$3:$B$999,2,0)</f>
        <v>Series</v>
      </c>
      <c r="F668">
        <v>7</v>
      </c>
      <c r="G668" t="str">
        <f>VLOOKUP(F668,Doctors!$A$3:$B$999,2,0)</f>
        <v>Sylvester McCoy</v>
      </c>
      <c r="H668">
        <v>24</v>
      </c>
      <c r="I668">
        <v>1</v>
      </c>
      <c r="J668" t="str">
        <f>VLOOKUP(I668,SeasonFormats!$A$3:$B$999,2,0)</f>
        <v>Season</v>
      </c>
      <c r="K668">
        <v>147</v>
      </c>
      <c r="L668">
        <v>4</v>
      </c>
      <c r="M668" t="s">
        <v>17</v>
      </c>
      <c r="N668">
        <v>2</v>
      </c>
      <c r="O668" t="s">
        <v>10</v>
      </c>
      <c r="P668">
        <v>13</v>
      </c>
      <c r="Q668" s="6" t="d">
        <v>1987-11-30</v>
      </c>
      <c r="R668">
        <v>25</v>
      </c>
      <c r="T668" s="15" t="s">
        <v>1082</v>
      </c>
      <c r="U668" t="str" cm="1">
        <f t="array" ref="U668">_xlfn.TEXTJOIN(",",TRUE,_xlfn.XLOOKUP(_xlfn.FILTERXML("&lt;t&gt;&lt;s&gt;" &amp; SUBSTITUTE(T668,",","&lt;/s&gt;&lt;s&gt;") &amp; "&lt;/s&gt;&lt;/t&gt;", "//s"),Writers!$A$3:$A$999,Writers!$B$3:$B$999,""))</f>
        <v>Ian Briggs</v>
      </c>
      <c r="W668" t="str">
        <f>IF(V668="","",_xlfn.XLOOKUP(V668,Writers!$A$3:$A$999,Writers!$B$3:$B$999,""))</f>
        <v/>
      </c>
      <c r="X668">
        <v>5</v>
      </c>
      <c r="AA668">
        <f t="shared" si="30"/>
        <v>6.01</v>
      </c>
      <c r="AB668" t="str">
        <f t="shared" si="31"/>
        <v/>
      </c>
      <c r="AC668" t="str">
        <f t="shared" si="32"/>
        <v/>
      </c>
      <c r="AD668">
        <f>VLOOKUP(YEAR(Q668),Populations!$A$3:$B$999,2,0)</f>
        <v>56804000</v>
      </c>
      <c r="AE668">
        <f>(Calculations!B1/AD668)</f>
        <v>1.2024669389479601</v>
      </c>
      <c r="AG668">
        <v>1</v>
      </c>
      <c r="AH668" t="str">
        <f>VLOOKUP(AG668,WikiFormats!$A$3:$B$999,2,0)</f>
        <v>Story</v>
      </c>
      <c r="AI668" t="s">
        <v>735</v>
      </c>
    </row>
    <row r="669" spans="1:35" x14ac:dyDescent="0.55000000000000004">
      <c r="A669">
        <v>667</v>
      </c>
      <c r="B669">
        <v>1</v>
      </c>
      <c r="C669" t="str">
        <f>VLOOKUP(B669,Eras!$A$3:$B$999,2,0)</f>
        <v>Classic</v>
      </c>
      <c r="D669">
        <v>1</v>
      </c>
      <c r="E669" t="str">
        <f>VLOOKUP(D669,EpisodeFormats!$A$3:$B$999,2,0)</f>
        <v>Series</v>
      </c>
      <c r="F669">
        <v>7</v>
      </c>
      <c r="G669" t="str">
        <f>VLOOKUP(F669,Doctors!$A$3:$B$999,2,0)</f>
        <v>Sylvester McCoy</v>
      </c>
      <c r="H669">
        <v>24</v>
      </c>
      <c r="I669">
        <v>1</v>
      </c>
      <c r="J669" t="str">
        <f>VLOOKUP(I669,SeasonFormats!$A$3:$B$999,2,0)</f>
        <v>Season</v>
      </c>
      <c r="K669">
        <v>147</v>
      </c>
      <c r="L669">
        <v>4</v>
      </c>
      <c r="M669" t="s">
        <v>17</v>
      </c>
      <c r="N669">
        <v>3</v>
      </c>
      <c r="O669" t="s">
        <v>11</v>
      </c>
      <c r="P669">
        <v>14</v>
      </c>
      <c r="Q669" s="6" t="d">
        <v>1987-12-07</v>
      </c>
      <c r="R669">
        <v>24</v>
      </c>
      <c r="T669" s="15" t="s">
        <v>1082</v>
      </c>
      <c r="U669" t="str" cm="1">
        <f t="array" ref="U669">_xlfn.TEXTJOIN(",",TRUE,_xlfn.XLOOKUP(_xlfn.FILTERXML("&lt;t&gt;&lt;s&gt;" &amp; SUBSTITUTE(T669,",","&lt;/s&gt;&lt;s&gt;") &amp; "&lt;/s&gt;&lt;/t&gt;", "//s"),Writers!$A$3:$A$999,Writers!$B$3:$B$999,""))</f>
        <v>Ian Briggs</v>
      </c>
      <c r="W669" t="str">
        <f>IF(V669="","",_xlfn.XLOOKUP(V669,Writers!$A$3:$A$999,Writers!$B$3:$B$999,""))</f>
        <v/>
      </c>
      <c r="X669">
        <v>4.7</v>
      </c>
      <c r="AA669">
        <f t="shared" si="30"/>
        <v>5.65</v>
      </c>
      <c r="AB669" t="str">
        <f t="shared" si="31"/>
        <v/>
      </c>
      <c r="AC669" t="str">
        <f t="shared" si="32"/>
        <v/>
      </c>
      <c r="AD669">
        <f>VLOOKUP(YEAR(Q669),Populations!$A$3:$B$999,2,0)</f>
        <v>56804000</v>
      </c>
      <c r="AE669">
        <f>(Calculations!B1/AD669)</f>
        <v>1.2024669389479601</v>
      </c>
      <c r="AG669">
        <v>1</v>
      </c>
      <c r="AH669" t="str">
        <f>VLOOKUP(AG669,WikiFormats!$A$3:$B$999,2,0)</f>
        <v>Story</v>
      </c>
      <c r="AI669" t="s">
        <v>735</v>
      </c>
    </row>
    <row r="670" spans="1:35" s="3" customFormat="1" x14ac:dyDescent="0.55000000000000004">
      <c r="A670" s="3">
        <v>668</v>
      </c>
      <c r="B670" s="3">
        <v>1</v>
      </c>
      <c r="C670" s="3" t="str">
        <f>VLOOKUP(B670,Eras!$A$3:$B$999,2,0)</f>
        <v>Classic</v>
      </c>
      <c r="D670" s="3">
        <v>1</v>
      </c>
      <c r="E670" s="3" t="str">
        <f>VLOOKUP(D670,EpisodeFormats!$A$3:$B$999,2,0)</f>
        <v>Series</v>
      </c>
      <c r="F670" s="3">
        <v>7</v>
      </c>
      <c r="G670" s="3" t="str">
        <f>VLOOKUP(F670,Doctors!$A$3:$B$999,2,0)</f>
        <v>Sylvester McCoy</v>
      </c>
      <c r="H670" s="3">
        <v>25</v>
      </c>
      <c r="I670" s="3">
        <v>1</v>
      </c>
      <c r="J670" s="3" t="str">
        <f>VLOOKUP(I670,SeasonFormats!$A$3:$B$999,2,0)</f>
        <v>Season</v>
      </c>
      <c r="K670" s="3">
        <v>148</v>
      </c>
      <c r="L670" s="3">
        <v>1</v>
      </c>
      <c r="M670" s="3" t="s">
        <v>5</v>
      </c>
      <c r="N670" s="3">
        <v>1</v>
      </c>
      <c r="O670" s="3" t="s">
        <v>9</v>
      </c>
      <c r="P670" s="3">
        <v>1</v>
      </c>
      <c r="Q670" s="7" t="d">
        <v>1988-10-05</v>
      </c>
      <c r="R670" s="3">
        <v>25</v>
      </c>
      <c r="T670" s="4">
        <v>1</v>
      </c>
      <c r="U670" s="3" t="str" cm="1">
        <f t="array" ref="U670">_xlfn.TEXTJOIN(",",TRUE,_xlfn.XLOOKUP(_xlfn.FILTERXML("&lt;t&gt;&lt;s&gt;" &amp; SUBSTITUTE(T670,",","&lt;/s&gt;&lt;s&gt;") &amp; "&lt;/s&gt;&lt;/t&gt;", "//s"),Writers!$A$3:$A$999,Writers!$B$3:$B$999,""))</f>
        <v>Ben Aaronovitch</v>
      </c>
      <c r="W670" s="3" t="str">
        <f>IF(V670="","",_xlfn.XLOOKUP(V670,Writers!$A$3:$A$999,Writers!$B$3:$B$999,""))</f>
        <v/>
      </c>
      <c r="X670" s="3">
        <v>5.5</v>
      </c>
      <c r="AA670" s="3">
        <f t="shared" si="30"/>
        <v>6.6</v>
      </c>
      <c r="AB670" s="3" t="str">
        <f t="shared" si="31"/>
        <v/>
      </c>
      <c r="AC670" s="3" t="str">
        <f t="shared" si="32"/>
        <v/>
      </c>
      <c r="AD670" s="3">
        <f>VLOOKUP(YEAR(Q670),Populations!$A$3:$B$999,2,0)</f>
        <v>56916400</v>
      </c>
      <c r="AE670" s="3">
        <f>(Calculations!B1/AD670)</f>
        <v>1.2000922756885499</v>
      </c>
      <c r="AG670" s="3">
        <v>1</v>
      </c>
      <c r="AH670" s="3" t="str">
        <f>VLOOKUP(AG670,WikiFormats!$A$3:$B$999,2,0)</f>
        <v>Story</v>
      </c>
      <c r="AI670" s="3" t="s">
        <v>736</v>
      </c>
    </row>
    <row r="671" spans="1:35" s="3" customFormat="1" x14ac:dyDescent="0.55000000000000004">
      <c r="A671" s="3">
        <v>669</v>
      </c>
      <c r="B671" s="3">
        <v>1</v>
      </c>
      <c r="C671" s="3" t="str">
        <f>VLOOKUP(B671,Eras!$A$3:$B$999,2,0)</f>
        <v>Classic</v>
      </c>
      <c r="D671" s="3">
        <v>1</v>
      </c>
      <c r="E671" s="3" t="str">
        <f>VLOOKUP(D671,EpisodeFormats!$A$3:$B$999,2,0)</f>
        <v>Series</v>
      </c>
      <c r="F671" s="3">
        <v>7</v>
      </c>
      <c r="G671" s="3" t="str">
        <f>VLOOKUP(F671,Doctors!$A$3:$B$999,2,0)</f>
        <v>Sylvester McCoy</v>
      </c>
      <c r="H671" s="3">
        <v>25</v>
      </c>
      <c r="I671" s="3">
        <v>1</v>
      </c>
      <c r="J671" s="3" t="str">
        <f>VLOOKUP(I671,SeasonFormats!$A$3:$B$999,2,0)</f>
        <v>Season</v>
      </c>
      <c r="K671" s="3">
        <v>148</v>
      </c>
      <c r="L671" s="3">
        <v>1</v>
      </c>
      <c r="M671" s="3" t="s">
        <v>5</v>
      </c>
      <c r="N671" s="3">
        <v>2</v>
      </c>
      <c r="O671" s="3" t="s">
        <v>10</v>
      </c>
      <c r="P671" s="3">
        <v>2</v>
      </c>
      <c r="Q671" s="7" t="d">
        <v>1988-10-12</v>
      </c>
      <c r="R671" s="3">
        <v>25</v>
      </c>
      <c r="T671" s="4">
        <v>1</v>
      </c>
      <c r="U671" s="3" t="str" cm="1">
        <f t="array" ref="U671">_xlfn.TEXTJOIN(",",TRUE,_xlfn.XLOOKUP(_xlfn.FILTERXML("&lt;t&gt;&lt;s&gt;" &amp; SUBSTITUTE(T671,",","&lt;/s&gt;&lt;s&gt;") &amp; "&lt;/s&gt;&lt;/t&gt;", "//s"),Writers!$A$3:$A$999,Writers!$B$3:$B$999,""))</f>
        <v>Ben Aaronovitch</v>
      </c>
      <c r="W671" s="3" t="str">
        <f>IF(V671="","",_xlfn.XLOOKUP(V671,Writers!$A$3:$A$999,Writers!$B$3:$B$999,""))</f>
        <v/>
      </c>
      <c r="X671" s="3">
        <v>5.8</v>
      </c>
      <c r="AA671" s="3">
        <f t="shared" si="30"/>
        <v>6.96</v>
      </c>
      <c r="AB671" s="3" t="str">
        <f t="shared" si="31"/>
        <v/>
      </c>
      <c r="AC671" s="3" t="str">
        <f t="shared" si="32"/>
        <v/>
      </c>
      <c r="AD671" s="3">
        <f>VLOOKUP(YEAR(Q671),Populations!$A$3:$B$999,2,0)</f>
        <v>56916400</v>
      </c>
      <c r="AE671" s="3">
        <f>(Calculations!B1/AD671)</f>
        <v>1.2000922756885499</v>
      </c>
      <c r="AG671" s="3">
        <v>1</v>
      </c>
      <c r="AH671" s="3" t="str">
        <f>VLOOKUP(AG671,WikiFormats!$A$3:$B$999,2,0)</f>
        <v>Story</v>
      </c>
      <c r="AI671" s="3" t="s">
        <v>736</v>
      </c>
    </row>
    <row r="672" spans="1:35" s="3" customFormat="1" x14ac:dyDescent="0.55000000000000004">
      <c r="A672" s="3">
        <v>670</v>
      </c>
      <c r="B672" s="3">
        <v>1</v>
      </c>
      <c r="C672" s="3" t="str">
        <f>VLOOKUP(B672,Eras!$A$3:$B$999,2,0)</f>
        <v>Classic</v>
      </c>
      <c r="D672" s="3">
        <v>1</v>
      </c>
      <c r="E672" s="3" t="str">
        <f>VLOOKUP(D672,EpisodeFormats!$A$3:$B$999,2,0)</f>
        <v>Series</v>
      </c>
      <c r="F672" s="3">
        <v>7</v>
      </c>
      <c r="G672" s="3" t="str">
        <f>VLOOKUP(F672,Doctors!$A$3:$B$999,2,0)</f>
        <v>Sylvester McCoy</v>
      </c>
      <c r="H672" s="3">
        <v>25</v>
      </c>
      <c r="I672" s="3">
        <v>1</v>
      </c>
      <c r="J672" s="3" t="str">
        <f>VLOOKUP(I672,SeasonFormats!$A$3:$B$999,2,0)</f>
        <v>Season</v>
      </c>
      <c r="K672" s="3">
        <v>148</v>
      </c>
      <c r="L672" s="3">
        <v>1</v>
      </c>
      <c r="M672" s="3" t="s">
        <v>5</v>
      </c>
      <c r="N672" s="3">
        <v>3</v>
      </c>
      <c r="O672" s="3" t="s">
        <v>11</v>
      </c>
      <c r="P672" s="3">
        <v>3</v>
      </c>
      <c r="Q672" s="7" t="d">
        <v>1988-10-19</v>
      </c>
      <c r="R672" s="3">
        <v>25</v>
      </c>
      <c r="T672" s="4">
        <v>1</v>
      </c>
      <c r="U672" s="3" t="str" cm="1">
        <f t="array" ref="U672">_xlfn.TEXTJOIN(",",TRUE,_xlfn.XLOOKUP(_xlfn.FILTERXML("&lt;t&gt;&lt;s&gt;" &amp; SUBSTITUTE(T672,",","&lt;/s&gt;&lt;s&gt;") &amp; "&lt;/s&gt;&lt;/t&gt;", "//s"),Writers!$A$3:$A$999,Writers!$B$3:$B$999,""))</f>
        <v>Ben Aaronovitch</v>
      </c>
      <c r="W672" s="3" t="str">
        <f>IF(V672="","",_xlfn.XLOOKUP(V672,Writers!$A$3:$A$999,Writers!$B$3:$B$999,""))</f>
        <v/>
      </c>
      <c r="X672" s="3">
        <v>5.0999999999999996</v>
      </c>
      <c r="AA672" s="3">
        <f t="shared" si="30"/>
        <v>6.12</v>
      </c>
      <c r="AB672" s="3" t="str">
        <f t="shared" si="31"/>
        <v/>
      </c>
      <c r="AC672" s="3" t="str">
        <f t="shared" si="32"/>
        <v/>
      </c>
      <c r="AD672" s="3">
        <f>VLOOKUP(YEAR(Q672),Populations!$A$3:$B$999,2,0)</f>
        <v>56916400</v>
      </c>
      <c r="AE672" s="3">
        <f>(Calculations!B1/AD672)</f>
        <v>1.2000922756885499</v>
      </c>
      <c r="AG672" s="3">
        <v>1</v>
      </c>
      <c r="AH672" s="3" t="str">
        <f>VLOOKUP(AG672,WikiFormats!$A$3:$B$999,2,0)</f>
        <v>Story</v>
      </c>
      <c r="AI672" s="3" t="s">
        <v>736</v>
      </c>
    </row>
    <row r="673" spans="1:35" s="3" customFormat="1" x14ac:dyDescent="0.55000000000000004">
      <c r="A673" s="3">
        <v>671</v>
      </c>
      <c r="B673" s="3">
        <v>1</v>
      </c>
      <c r="C673" s="3" t="str">
        <f>VLOOKUP(B673,Eras!$A$3:$B$999,2,0)</f>
        <v>Classic</v>
      </c>
      <c r="D673" s="3">
        <v>1</v>
      </c>
      <c r="E673" s="3" t="str">
        <f>VLOOKUP(D673,EpisodeFormats!$A$3:$B$999,2,0)</f>
        <v>Series</v>
      </c>
      <c r="F673" s="3">
        <v>7</v>
      </c>
      <c r="G673" s="3" t="str">
        <f>VLOOKUP(F673,Doctors!$A$3:$B$999,2,0)</f>
        <v>Sylvester McCoy</v>
      </c>
      <c r="H673" s="3">
        <v>25</v>
      </c>
      <c r="I673" s="3">
        <v>1</v>
      </c>
      <c r="J673" s="3" t="str">
        <f>VLOOKUP(I673,SeasonFormats!$A$3:$B$999,2,0)</f>
        <v>Season</v>
      </c>
      <c r="K673" s="3">
        <v>148</v>
      </c>
      <c r="L673" s="3">
        <v>1</v>
      </c>
      <c r="M673" s="3" t="s">
        <v>5</v>
      </c>
      <c r="N673" s="3">
        <v>4</v>
      </c>
      <c r="O673" s="3" t="s">
        <v>12</v>
      </c>
      <c r="P673" s="3">
        <v>4</v>
      </c>
      <c r="Q673" s="7" t="d">
        <v>1988-10-26</v>
      </c>
      <c r="R673" s="3">
        <v>25</v>
      </c>
      <c r="T673" s="4">
        <v>1</v>
      </c>
      <c r="U673" s="3" t="str" cm="1">
        <f t="array" ref="U673">_xlfn.TEXTJOIN(",",TRUE,_xlfn.XLOOKUP(_xlfn.FILTERXML("&lt;t&gt;&lt;s&gt;" &amp; SUBSTITUTE(T673,",","&lt;/s&gt;&lt;s&gt;") &amp; "&lt;/s&gt;&lt;/t&gt;", "//s"),Writers!$A$3:$A$999,Writers!$B$3:$B$999,""))</f>
        <v>Ben Aaronovitch</v>
      </c>
      <c r="W673" s="3" t="str">
        <f>IF(V673="","",_xlfn.XLOOKUP(V673,Writers!$A$3:$A$999,Writers!$B$3:$B$999,""))</f>
        <v/>
      </c>
      <c r="X673" s="3">
        <v>5</v>
      </c>
      <c r="AA673" s="3">
        <f t="shared" si="30"/>
        <v>6</v>
      </c>
      <c r="AB673" s="3" t="str">
        <f t="shared" si="31"/>
        <v/>
      </c>
      <c r="AC673" s="3" t="str">
        <f t="shared" si="32"/>
        <v/>
      </c>
      <c r="AD673" s="3">
        <f>VLOOKUP(YEAR(Q673),Populations!$A$3:$B$999,2,0)</f>
        <v>56916400</v>
      </c>
      <c r="AE673" s="3">
        <f>(Calculations!B1/AD673)</f>
        <v>1.2000922756885499</v>
      </c>
      <c r="AG673" s="3">
        <v>1</v>
      </c>
      <c r="AH673" s="3" t="str">
        <f>VLOOKUP(AG673,WikiFormats!$A$3:$B$999,2,0)</f>
        <v>Story</v>
      </c>
      <c r="AI673" s="3" t="s">
        <v>736</v>
      </c>
    </row>
    <row r="674" spans="1:35" x14ac:dyDescent="0.55000000000000004">
      <c r="A674">
        <v>672</v>
      </c>
      <c r="B674">
        <v>1</v>
      </c>
      <c r="C674" t="str">
        <f>VLOOKUP(B674,Eras!$A$3:$B$999,2,0)</f>
        <v>Classic</v>
      </c>
      <c r="D674">
        <v>1</v>
      </c>
      <c r="E674" t="str">
        <f>VLOOKUP(D674,EpisodeFormats!$A$3:$B$999,2,0)</f>
        <v>Series</v>
      </c>
      <c r="F674">
        <v>7</v>
      </c>
      <c r="G674" t="str">
        <f>VLOOKUP(F674,Doctors!$A$3:$B$999,2,0)</f>
        <v>Sylvester McCoy</v>
      </c>
      <c r="H674">
        <v>25</v>
      </c>
      <c r="I674">
        <v>1</v>
      </c>
      <c r="J674" t="str">
        <f>VLOOKUP(I674,SeasonFormats!$A$3:$B$999,2,0)</f>
        <v>Season</v>
      </c>
      <c r="K674">
        <v>149</v>
      </c>
      <c r="L674">
        <v>2</v>
      </c>
      <c r="M674" t="s">
        <v>6</v>
      </c>
      <c r="N674">
        <v>1</v>
      </c>
      <c r="O674" t="s">
        <v>9</v>
      </c>
      <c r="P674">
        <v>5</v>
      </c>
      <c r="Q674" s="6" t="d">
        <v>1988-11-02</v>
      </c>
      <c r="R674">
        <v>25</v>
      </c>
      <c r="T674" s="15">
        <v>26</v>
      </c>
      <c r="U674" t="str" cm="1">
        <f t="array" ref="U674">_xlfn.TEXTJOIN(",",TRUE,_xlfn.XLOOKUP(_xlfn.FILTERXML("&lt;t&gt;&lt;s&gt;" &amp; SUBSTITUTE(T674,",","&lt;/s&gt;&lt;s&gt;") &amp; "&lt;/s&gt;&lt;/t&gt;", "//s"),Writers!$A$3:$A$999,Writers!$B$3:$B$999,""))</f>
        <v>Graeme Curry</v>
      </c>
      <c r="W674" t="str">
        <f>IF(V674="","",_xlfn.XLOOKUP(V674,Writers!$A$3:$A$999,Writers!$B$3:$B$999,""))</f>
        <v/>
      </c>
      <c r="X674">
        <v>5.3</v>
      </c>
      <c r="AA674">
        <f t="shared" si="30"/>
        <v>6.36</v>
      </c>
      <c r="AB674" t="str">
        <f t="shared" si="31"/>
        <v/>
      </c>
      <c r="AC674" t="str">
        <f t="shared" si="32"/>
        <v/>
      </c>
      <c r="AD674">
        <f>VLOOKUP(YEAR(Q674),Populations!$A$3:$B$999,2,0)</f>
        <v>56916400</v>
      </c>
      <c r="AE674">
        <f>(Calculations!B1/AD674)</f>
        <v>1.2000922756885499</v>
      </c>
      <c r="AG674">
        <v>1</v>
      </c>
      <c r="AH674" t="str">
        <f>VLOOKUP(AG674,WikiFormats!$A$3:$B$999,2,0)</f>
        <v>Story</v>
      </c>
      <c r="AI674" t="s">
        <v>737</v>
      </c>
    </row>
    <row r="675" spans="1:35" x14ac:dyDescent="0.55000000000000004">
      <c r="A675">
        <v>673</v>
      </c>
      <c r="B675">
        <v>1</v>
      </c>
      <c r="C675" t="str">
        <f>VLOOKUP(B675,Eras!$A$3:$B$999,2,0)</f>
        <v>Classic</v>
      </c>
      <c r="D675">
        <v>1</v>
      </c>
      <c r="E675" t="str">
        <f>VLOOKUP(D675,EpisodeFormats!$A$3:$B$999,2,0)</f>
        <v>Series</v>
      </c>
      <c r="F675">
        <v>7</v>
      </c>
      <c r="G675" t="str">
        <f>VLOOKUP(F675,Doctors!$A$3:$B$999,2,0)</f>
        <v>Sylvester McCoy</v>
      </c>
      <c r="H675">
        <v>25</v>
      </c>
      <c r="I675">
        <v>1</v>
      </c>
      <c r="J675" t="str">
        <f>VLOOKUP(I675,SeasonFormats!$A$3:$B$999,2,0)</f>
        <v>Season</v>
      </c>
      <c r="K675">
        <v>149</v>
      </c>
      <c r="L675">
        <v>2</v>
      </c>
      <c r="M675" t="s">
        <v>6</v>
      </c>
      <c r="N675">
        <v>2</v>
      </c>
      <c r="O675" t="s">
        <v>10</v>
      </c>
      <c r="P675">
        <v>6</v>
      </c>
      <c r="Q675" s="6" t="d">
        <v>1988-11-09</v>
      </c>
      <c r="R675">
        <v>25</v>
      </c>
      <c r="T675" s="15">
        <v>26</v>
      </c>
      <c r="U675" t="str" cm="1">
        <f t="array" ref="U675">_xlfn.TEXTJOIN(",",TRUE,_xlfn.XLOOKUP(_xlfn.FILTERXML("&lt;t&gt;&lt;s&gt;" &amp; SUBSTITUTE(T675,",","&lt;/s&gt;&lt;s&gt;") &amp; "&lt;/s&gt;&lt;/t&gt;", "//s"),Writers!$A$3:$A$999,Writers!$B$3:$B$999,""))</f>
        <v>Graeme Curry</v>
      </c>
      <c r="W675" t="str">
        <f>IF(V675="","",_xlfn.XLOOKUP(V675,Writers!$A$3:$A$999,Writers!$B$3:$B$999,""))</f>
        <v/>
      </c>
      <c r="X675">
        <v>4.5999999999999996</v>
      </c>
      <c r="AA675">
        <f t="shared" si="30"/>
        <v>5.52</v>
      </c>
      <c r="AB675" t="str">
        <f t="shared" si="31"/>
        <v/>
      </c>
      <c r="AC675" t="str">
        <f t="shared" si="32"/>
        <v/>
      </c>
      <c r="AD675">
        <f>VLOOKUP(YEAR(Q675),Populations!$A$3:$B$999,2,0)</f>
        <v>56916400</v>
      </c>
      <c r="AE675">
        <f>(Calculations!B1/AD675)</f>
        <v>1.2000922756885499</v>
      </c>
      <c r="AG675">
        <v>1</v>
      </c>
      <c r="AH675" t="str">
        <f>VLOOKUP(AG675,WikiFormats!$A$3:$B$999,2,0)</f>
        <v>Story</v>
      </c>
      <c r="AI675" t="s">
        <v>737</v>
      </c>
    </row>
    <row r="676" spans="1:35" x14ac:dyDescent="0.55000000000000004">
      <c r="A676">
        <v>674</v>
      </c>
      <c r="B676">
        <v>1</v>
      </c>
      <c r="C676" t="str">
        <f>VLOOKUP(B676,Eras!$A$3:$B$999,2,0)</f>
        <v>Classic</v>
      </c>
      <c r="D676">
        <v>1</v>
      </c>
      <c r="E676" t="str">
        <f>VLOOKUP(D676,EpisodeFormats!$A$3:$B$999,2,0)</f>
        <v>Series</v>
      </c>
      <c r="F676">
        <v>7</v>
      </c>
      <c r="G676" t="str">
        <f>VLOOKUP(F676,Doctors!$A$3:$B$999,2,0)</f>
        <v>Sylvester McCoy</v>
      </c>
      <c r="H676">
        <v>25</v>
      </c>
      <c r="I676">
        <v>1</v>
      </c>
      <c r="J676" t="str">
        <f>VLOOKUP(I676,SeasonFormats!$A$3:$B$999,2,0)</f>
        <v>Season</v>
      </c>
      <c r="K676">
        <v>149</v>
      </c>
      <c r="L676">
        <v>2</v>
      </c>
      <c r="M676" t="s">
        <v>6</v>
      </c>
      <c r="N676">
        <v>3</v>
      </c>
      <c r="O676" t="s">
        <v>11</v>
      </c>
      <c r="P676">
        <v>7</v>
      </c>
      <c r="Q676" s="6" t="d">
        <v>1988-11-16</v>
      </c>
      <c r="R676">
        <v>24</v>
      </c>
      <c r="T676" s="15">
        <v>26</v>
      </c>
      <c r="U676" t="str" cm="1">
        <f t="array" ref="U676">_xlfn.TEXTJOIN(",",TRUE,_xlfn.XLOOKUP(_xlfn.FILTERXML("&lt;t&gt;&lt;s&gt;" &amp; SUBSTITUTE(T676,",","&lt;/s&gt;&lt;s&gt;") &amp; "&lt;/s&gt;&lt;/t&gt;", "//s"),Writers!$A$3:$A$999,Writers!$B$3:$B$999,""))</f>
        <v>Graeme Curry</v>
      </c>
      <c r="W676" t="str">
        <f>IF(V676="","",_xlfn.XLOOKUP(V676,Writers!$A$3:$A$999,Writers!$B$3:$B$999,""))</f>
        <v/>
      </c>
      <c r="X676">
        <v>5.3</v>
      </c>
      <c r="AA676">
        <f t="shared" si="30"/>
        <v>6.36</v>
      </c>
      <c r="AB676" t="str">
        <f t="shared" si="31"/>
        <v/>
      </c>
      <c r="AC676" t="str">
        <f t="shared" si="32"/>
        <v/>
      </c>
      <c r="AD676">
        <f>VLOOKUP(YEAR(Q676),Populations!$A$3:$B$999,2,0)</f>
        <v>56916400</v>
      </c>
      <c r="AE676">
        <f>(Calculations!B1/AD676)</f>
        <v>1.2000922756885499</v>
      </c>
      <c r="AG676">
        <v>1</v>
      </c>
      <c r="AH676" t="str">
        <f>VLOOKUP(AG676,WikiFormats!$A$3:$B$999,2,0)</f>
        <v>Story</v>
      </c>
      <c r="AI676" t="s">
        <v>737</v>
      </c>
    </row>
    <row r="677" spans="1:35" s="3" customFormat="1" x14ac:dyDescent="0.55000000000000004">
      <c r="A677" s="3">
        <v>675</v>
      </c>
      <c r="B677" s="3">
        <v>1</v>
      </c>
      <c r="C677" s="3" t="str">
        <f>VLOOKUP(B677,Eras!$A$3:$B$999,2,0)</f>
        <v>Classic</v>
      </c>
      <c r="D677" s="3">
        <v>1</v>
      </c>
      <c r="E677" s="3" t="str">
        <f>VLOOKUP(D677,EpisodeFormats!$A$3:$B$999,2,0)</f>
        <v>Series</v>
      </c>
      <c r="F677" s="3">
        <v>7</v>
      </c>
      <c r="G677" s="3" t="str">
        <f>VLOOKUP(F677,Doctors!$A$3:$B$999,2,0)</f>
        <v>Sylvester McCoy</v>
      </c>
      <c r="H677" s="3">
        <v>25</v>
      </c>
      <c r="I677" s="3">
        <v>1</v>
      </c>
      <c r="J677" s="3" t="str">
        <f>VLOOKUP(I677,SeasonFormats!$A$3:$B$999,2,0)</f>
        <v>Season</v>
      </c>
      <c r="K677" s="3">
        <v>150</v>
      </c>
      <c r="L677" s="3">
        <v>3</v>
      </c>
      <c r="M677" s="3" t="s">
        <v>7</v>
      </c>
      <c r="N677" s="3">
        <v>1</v>
      </c>
      <c r="O677" s="3" t="s">
        <v>9</v>
      </c>
      <c r="P677" s="3">
        <v>8</v>
      </c>
      <c r="Q677" s="7" t="d">
        <v>1988-11-23</v>
      </c>
      <c r="R677" s="3">
        <v>25</v>
      </c>
      <c r="T677" s="4">
        <v>19</v>
      </c>
      <c r="U677" s="3" t="str" cm="1">
        <f t="array" ref="U677">_xlfn.TEXTJOIN(",",TRUE,_xlfn.XLOOKUP(_xlfn.FILTERXML("&lt;t&gt;&lt;s&gt;" &amp; SUBSTITUTE(T677,",","&lt;/s&gt;&lt;s&gt;") &amp; "&lt;/s&gt;&lt;/t&gt;", "//s"),Writers!$A$3:$A$999,Writers!$B$3:$B$999,""))</f>
        <v>Kevin Clarke</v>
      </c>
      <c r="W677" s="3" t="str">
        <f>IF(V677="","",_xlfn.XLOOKUP(V677,Writers!$A$3:$A$999,Writers!$B$3:$B$999,""))</f>
        <v/>
      </c>
      <c r="X677" s="3">
        <v>6.1</v>
      </c>
      <c r="AA677" s="3">
        <f t="shared" si="30"/>
        <v>7.32</v>
      </c>
      <c r="AB677" s="3" t="str">
        <f t="shared" si="31"/>
        <v/>
      </c>
      <c r="AC677" s="3" t="str">
        <f t="shared" si="32"/>
        <v/>
      </c>
      <c r="AD677" s="3">
        <f>VLOOKUP(YEAR(Q677),Populations!$A$3:$B$999,2,0)</f>
        <v>56916400</v>
      </c>
      <c r="AE677" s="3">
        <f>(Calculations!B1/AD677)</f>
        <v>1.2000922756885499</v>
      </c>
      <c r="AG677" s="3">
        <v>1</v>
      </c>
      <c r="AH677" s="3" t="str">
        <f>VLOOKUP(AG677,WikiFormats!$A$3:$B$999,2,0)</f>
        <v>Story</v>
      </c>
      <c r="AI677" s="3" t="s">
        <v>738</v>
      </c>
    </row>
    <row r="678" spans="1:35" s="3" customFormat="1" x14ac:dyDescent="0.55000000000000004">
      <c r="A678" s="3">
        <v>676</v>
      </c>
      <c r="B678" s="3">
        <v>1</v>
      </c>
      <c r="C678" s="3" t="str">
        <f>VLOOKUP(B678,Eras!$A$3:$B$999,2,0)</f>
        <v>Classic</v>
      </c>
      <c r="D678" s="3">
        <v>1</v>
      </c>
      <c r="E678" s="3" t="str">
        <f>VLOOKUP(D678,EpisodeFormats!$A$3:$B$999,2,0)</f>
        <v>Series</v>
      </c>
      <c r="F678" s="3">
        <v>7</v>
      </c>
      <c r="G678" s="3" t="str">
        <f>VLOOKUP(F678,Doctors!$A$3:$B$999,2,0)</f>
        <v>Sylvester McCoy</v>
      </c>
      <c r="H678" s="3">
        <v>25</v>
      </c>
      <c r="I678" s="3">
        <v>1</v>
      </c>
      <c r="J678" s="3" t="str">
        <f>VLOOKUP(I678,SeasonFormats!$A$3:$B$999,2,0)</f>
        <v>Season</v>
      </c>
      <c r="K678" s="3">
        <v>150</v>
      </c>
      <c r="L678" s="3">
        <v>3</v>
      </c>
      <c r="M678" s="3" t="s">
        <v>7</v>
      </c>
      <c r="N678" s="3">
        <v>2</v>
      </c>
      <c r="O678" s="3" t="s">
        <v>10</v>
      </c>
      <c r="P678" s="3">
        <v>9</v>
      </c>
      <c r="Q678" s="7" t="d">
        <v>1988-11-30</v>
      </c>
      <c r="R678" s="3">
        <v>24</v>
      </c>
      <c r="T678" s="4">
        <v>19</v>
      </c>
      <c r="U678" s="3" t="str" cm="1">
        <f t="array" ref="U678">_xlfn.TEXTJOIN(",",TRUE,_xlfn.XLOOKUP(_xlfn.FILTERXML("&lt;t&gt;&lt;s&gt;" &amp; SUBSTITUTE(T678,",","&lt;/s&gt;&lt;s&gt;") &amp; "&lt;/s&gt;&lt;/t&gt;", "//s"),Writers!$A$3:$A$999,Writers!$B$3:$B$999,""))</f>
        <v>Kevin Clarke</v>
      </c>
      <c r="W678" s="3" t="str">
        <f>IF(V678="","",_xlfn.XLOOKUP(V678,Writers!$A$3:$A$999,Writers!$B$3:$B$999,""))</f>
        <v/>
      </c>
      <c r="X678" s="3">
        <v>5.2</v>
      </c>
      <c r="AA678" s="3">
        <f t="shared" si="30"/>
        <v>6.24</v>
      </c>
      <c r="AB678" s="3" t="str">
        <f t="shared" si="31"/>
        <v/>
      </c>
      <c r="AC678" s="3" t="str">
        <f t="shared" si="32"/>
        <v/>
      </c>
      <c r="AD678" s="3">
        <f>VLOOKUP(YEAR(Q678),Populations!$A$3:$B$999,2,0)</f>
        <v>56916400</v>
      </c>
      <c r="AE678" s="3">
        <f>(Calculations!B1/AD678)</f>
        <v>1.2000922756885499</v>
      </c>
      <c r="AG678" s="3">
        <v>1</v>
      </c>
      <c r="AH678" s="3" t="str">
        <f>VLOOKUP(AG678,WikiFormats!$A$3:$B$999,2,0)</f>
        <v>Story</v>
      </c>
      <c r="AI678" s="3" t="s">
        <v>738</v>
      </c>
    </row>
    <row r="679" spans="1:35" s="3" customFormat="1" x14ac:dyDescent="0.55000000000000004">
      <c r="A679" s="3">
        <v>677</v>
      </c>
      <c r="B679" s="3">
        <v>1</v>
      </c>
      <c r="C679" s="3" t="str">
        <f>VLOOKUP(B679,Eras!$A$3:$B$999,2,0)</f>
        <v>Classic</v>
      </c>
      <c r="D679" s="3">
        <v>1</v>
      </c>
      <c r="E679" s="3" t="str">
        <f>VLOOKUP(D679,EpisodeFormats!$A$3:$B$999,2,0)</f>
        <v>Series</v>
      </c>
      <c r="F679" s="3">
        <v>7</v>
      </c>
      <c r="G679" s="3" t="str">
        <f>VLOOKUP(F679,Doctors!$A$3:$B$999,2,0)</f>
        <v>Sylvester McCoy</v>
      </c>
      <c r="H679" s="3">
        <v>25</v>
      </c>
      <c r="I679" s="3">
        <v>1</v>
      </c>
      <c r="J679" s="3" t="str">
        <f>VLOOKUP(I679,SeasonFormats!$A$3:$B$999,2,0)</f>
        <v>Season</v>
      </c>
      <c r="K679" s="3">
        <v>150</v>
      </c>
      <c r="L679" s="3">
        <v>3</v>
      </c>
      <c r="M679" s="3" t="s">
        <v>7</v>
      </c>
      <c r="N679" s="3">
        <v>3</v>
      </c>
      <c r="O679" s="3" t="s">
        <v>11</v>
      </c>
      <c r="P679" s="3">
        <v>10</v>
      </c>
      <c r="Q679" s="7" t="d">
        <v>1988-12-07</v>
      </c>
      <c r="R679" s="3">
        <v>25</v>
      </c>
      <c r="T679" s="4">
        <v>19</v>
      </c>
      <c r="U679" s="3" t="str" cm="1">
        <f t="array" ref="U679">_xlfn.TEXTJOIN(",",TRUE,_xlfn.XLOOKUP(_xlfn.FILTERXML("&lt;t&gt;&lt;s&gt;" &amp; SUBSTITUTE(T679,",","&lt;/s&gt;&lt;s&gt;") &amp; "&lt;/s&gt;&lt;/t&gt;", "//s"),Writers!$A$3:$A$999,Writers!$B$3:$B$999,""))</f>
        <v>Kevin Clarke</v>
      </c>
      <c r="W679" s="3" t="str">
        <f>IF(V679="","",_xlfn.XLOOKUP(V679,Writers!$A$3:$A$999,Writers!$B$3:$B$999,""))</f>
        <v/>
      </c>
      <c r="X679" s="3">
        <v>5.2</v>
      </c>
      <c r="AA679" s="3">
        <f t="shared" si="30"/>
        <v>6.24</v>
      </c>
      <c r="AB679" s="3" t="str">
        <f t="shared" si="31"/>
        <v/>
      </c>
      <c r="AC679" s="3" t="str">
        <f t="shared" si="32"/>
        <v/>
      </c>
      <c r="AD679" s="3">
        <f>VLOOKUP(YEAR(Q679),Populations!$A$3:$B$999,2,0)</f>
        <v>56916400</v>
      </c>
      <c r="AE679" s="3">
        <f>(Calculations!B1/AD679)</f>
        <v>1.2000922756885499</v>
      </c>
      <c r="AG679" s="3">
        <v>1</v>
      </c>
      <c r="AH679" s="3" t="str">
        <f>VLOOKUP(AG679,WikiFormats!$A$3:$B$999,2,0)</f>
        <v>Story</v>
      </c>
      <c r="AI679" s="3" t="s">
        <v>738</v>
      </c>
    </row>
    <row r="680" spans="1:35" x14ac:dyDescent="0.55000000000000004">
      <c r="A680">
        <v>678</v>
      </c>
      <c r="B680">
        <v>1</v>
      </c>
      <c r="C680" t="str">
        <f>VLOOKUP(B680,Eras!$A$3:$B$999,2,0)</f>
        <v>Classic</v>
      </c>
      <c r="D680">
        <v>1</v>
      </c>
      <c r="E680" t="str">
        <f>VLOOKUP(D680,EpisodeFormats!$A$3:$B$999,2,0)</f>
        <v>Series</v>
      </c>
      <c r="F680">
        <v>7</v>
      </c>
      <c r="G680" t="str">
        <f>VLOOKUP(F680,Doctors!$A$3:$B$999,2,0)</f>
        <v>Sylvester McCoy</v>
      </c>
      <c r="H680">
        <v>25</v>
      </c>
      <c r="I680">
        <v>1</v>
      </c>
      <c r="J680" t="str">
        <f>VLOOKUP(I680,SeasonFormats!$A$3:$B$999,2,0)</f>
        <v>Season</v>
      </c>
      <c r="K680">
        <v>151</v>
      </c>
      <c r="L680">
        <v>4</v>
      </c>
      <c r="M680" t="s">
        <v>8</v>
      </c>
      <c r="N680">
        <v>1</v>
      </c>
      <c r="O680" t="s">
        <v>9</v>
      </c>
      <c r="P680">
        <v>11</v>
      </c>
      <c r="Q680" s="6" t="d">
        <v>1988-12-14</v>
      </c>
      <c r="R680">
        <v>24</v>
      </c>
      <c r="T680" s="15">
        <v>113</v>
      </c>
      <c r="U680" t="str" cm="1">
        <f t="array" ref="U680">_xlfn.TEXTJOIN(",",TRUE,_xlfn.XLOOKUP(_xlfn.FILTERXML("&lt;t&gt;&lt;s&gt;" &amp; SUBSTITUTE(T680,",","&lt;/s&gt;&lt;s&gt;") &amp; "&lt;/s&gt;&lt;/t&gt;", "//s"),Writers!$A$3:$A$999,Writers!$B$3:$B$999,""))</f>
        <v>Stephen Wyatt</v>
      </c>
      <c r="W680" t="str">
        <f>IF(V680="","",_xlfn.XLOOKUP(V680,Writers!$A$3:$A$999,Writers!$B$3:$B$999,""))</f>
        <v/>
      </c>
      <c r="X680">
        <v>5</v>
      </c>
      <c r="AA680">
        <f t="shared" si="30"/>
        <v>6</v>
      </c>
      <c r="AB680" t="str">
        <f t="shared" si="31"/>
        <v/>
      </c>
      <c r="AC680" t="str">
        <f t="shared" si="32"/>
        <v/>
      </c>
      <c r="AD680">
        <f>VLOOKUP(YEAR(Q680),Populations!$A$3:$B$999,2,0)</f>
        <v>56916400</v>
      </c>
      <c r="AE680">
        <f>(Calculations!B1/AD680)</f>
        <v>1.2000922756885499</v>
      </c>
      <c r="AG680">
        <v>1</v>
      </c>
      <c r="AH680" t="str">
        <f>VLOOKUP(AG680,WikiFormats!$A$3:$B$999,2,0)</f>
        <v>Story</v>
      </c>
      <c r="AI680" t="s">
        <v>739</v>
      </c>
    </row>
    <row r="681" spans="1:35" x14ac:dyDescent="0.55000000000000004">
      <c r="A681">
        <v>679</v>
      </c>
      <c r="B681">
        <v>1</v>
      </c>
      <c r="C681" t="str">
        <f>VLOOKUP(B681,Eras!$A$3:$B$999,2,0)</f>
        <v>Classic</v>
      </c>
      <c r="D681">
        <v>1</v>
      </c>
      <c r="E681" t="str">
        <f>VLOOKUP(D681,EpisodeFormats!$A$3:$B$999,2,0)</f>
        <v>Series</v>
      </c>
      <c r="F681">
        <v>7</v>
      </c>
      <c r="G681" t="str">
        <f>VLOOKUP(F681,Doctors!$A$3:$B$999,2,0)</f>
        <v>Sylvester McCoy</v>
      </c>
      <c r="H681">
        <v>25</v>
      </c>
      <c r="I681">
        <v>1</v>
      </c>
      <c r="J681" t="str">
        <f>VLOOKUP(I681,SeasonFormats!$A$3:$B$999,2,0)</f>
        <v>Season</v>
      </c>
      <c r="K681">
        <v>151</v>
      </c>
      <c r="L681">
        <v>4</v>
      </c>
      <c r="M681" t="s">
        <v>8</v>
      </c>
      <c r="N681">
        <v>2</v>
      </c>
      <c r="O681" t="s">
        <v>10</v>
      </c>
      <c r="P681">
        <v>12</v>
      </c>
      <c r="Q681" s="6" t="d">
        <v>1988-12-21</v>
      </c>
      <c r="R681">
        <v>24</v>
      </c>
      <c r="T681" s="15">
        <v>113</v>
      </c>
      <c r="U681" t="str" cm="1">
        <f t="array" ref="U681">_xlfn.TEXTJOIN(",",TRUE,_xlfn.XLOOKUP(_xlfn.FILTERXML("&lt;t&gt;&lt;s&gt;" &amp; SUBSTITUTE(T681,",","&lt;/s&gt;&lt;s&gt;") &amp; "&lt;/s&gt;&lt;/t&gt;", "//s"),Writers!$A$3:$A$999,Writers!$B$3:$B$999,""))</f>
        <v>Stephen Wyatt</v>
      </c>
      <c r="W681" t="str">
        <f>IF(V681="","",_xlfn.XLOOKUP(V681,Writers!$A$3:$A$999,Writers!$B$3:$B$999,""))</f>
        <v/>
      </c>
      <c r="X681">
        <v>5.3</v>
      </c>
      <c r="AA681">
        <f t="shared" si="30"/>
        <v>6.36</v>
      </c>
      <c r="AB681" t="str">
        <f t="shared" si="31"/>
        <v/>
      </c>
      <c r="AC681" t="str">
        <f t="shared" si="32"/>
        <v/>
      </c>
      <c r="AD681">
        <f>VLOOKUP(YEAR(Q681),Populations!$A$3:$B$999,2,0)</f>
        <v>56916400</v>
      </c>
      <c r="AE681">
        <f>(Calculations!B1/AD681)</f>
        <v>1.2000922756885499</v>
      </c>
      <c r="AG681">
        <v>1</v>
      </c>
      <c r="AH681" t="str">
        <f>VLOOKUP(AG681,WikiFormats!$A$3:$B$999,2,0)</f>
        <v>Story</v>
      </c>
      <c r="AI681" t="s">
        <v>739</v>
      </c>
    </row>
    <row r="682" spans="1:35" x14ac:dyDescent="0.55000000000000004">
      <c r="A682">
        <v>680</v>
      </c>
      <c r="B682">
        <v>1</v>
      </c>
      <c r="C682" t="str">
        <f>VLOOKUP(B682,Eras!$A$3:$B$999,2,0)</f>
        <v>Classic</v>
      </c>
      <c r="D682">
        <v>1</v>
      </c>
      <c r="E682" t="str">
        <f>VLOOKUP(D682,EpisodeFormats!$A$3:$B$999,2,0)</f>
        <v>Series</v>
      </c>
      <c r="F682">
        <v>7</v>
      </c>
      <c r="G682" t="str">
        <f>VLOOKUP(F682,Doctors!$A$3:$B$999,2,0)</f>
        <v>Sylvester McCoy</v>
      </c>
      <c r="H682">
        <v>25</v>
      </c>
      <c r="I682">
        <v>1</v>
      </c>
      <c r="J682" t="str">
        <f>VLOOKUP(I682,SeasonFormats!$A$3:$B$999,2,0)</f>
        <v>Season</v>
      </c>
      <c r="K682">
        <v>151</v>
      </c>
      <c r="L682">
        <v>4</v>
      </c>
      <c r="M682" t="s">
        <v>8</v>
      </c>
      <c r="N682">
        <v>3</v>
      </c>
      <c r="O682" t="s">
        <v>11</v>
      </c>
      <c r="P682">
        <v>13</v>
      </c>
      <c r="Q682" s="6" t="d">
        <v>1988-12-28</v>
      </c>
      <c r="R682">
        <v>25</v>
      </c>
      <c r="T682" s="15">
        <v>113</v>
      </c>
      <c r="U682" t="str" cm="1">
        <f t="array" ref="U682">_xlfn.TEXTJOIN(",",TRUE,_xlfn.XLOOKUP(_xlfn.FILTERXML("&lt;t&gt;&lt;s&gt;" &amp; SUBSTITUTE(T682,",","&lt;/s&gt;&lt;s&gt;") &amp; "&lt;/s&gt;&lt;/t&gt;", "//s"),Writers!$A$3:$A$999,Writers!$B$3:$B$999,""))</f>
        <v>Stephen Wyatt</v>
      </c>
      <c r="W682" t="str">
        <f>IF(V682="","",_xlfn.XLOOKUP(V682,Writers!$A$3:$A$999,Writers!$B$3:$B$999,""))</f>
        <v/>
      </c>
      <c r="X682">
        <v>4.8</v>
      </c>
      <c r="AA682">
        <f t="shared" si="30"/>
        <v>5.76</v>
      </c>
      <c r="AB682" t="str">
        <f t="shared" si="31"/>
        <v/>
      </c>
      <c r="AC682" t="str">
        <f t="shared" si="32"/>
        <v/>
      </c>
      <c r="AD682">
        <f>VLOOKUP(YEAR(Q682),Populations!$A$3:$B$999,2,0)</f>
        <v>56916400</v>
      </c>
      <c r="AE682">
        <f>(Calculations!B1/AD682)</f>
        <v>1.2000922756885499</v>
      </c>
      <c r="AF682" t="s">
        <v>528</v>
      </c>
      <c r="AG682">
        <v>1</v>
      </c>
      <c r="AH682" t="str">
        <f>VLOOKUP(AG682,WikiFormats!$A$3:$B$999,2,0)</f>
        <v>Story</v>
      </c>
      <c r="AI682" t="s">
        <v>739</v>
      </c>
    </row>
    <row r="683" spans="1:35" x14ac:dyDescent="0.55000000000000004">
      <c r="A683">
        <v>681</v>
      </c>
      <c r="B683">
        <v>1</v>
      </c>
      <c r="C683" t="str">
        <f>VLOOKUP(B683,Eras!$A$3:$B$999,2,0)</f>
        <v>Classic</v>
      </c>
      <c r="D683">
        <v>1</v>
      </c>
      <c r="E683" t="str">
        <f>VLOOKUP(D683,EpisodeFormats!$A$3:$B$999,2,0)</f>
        <v>Series</v>
      </c>
      <c r="F683">
        <v>7</v>
      </c>
      <c r="G683" t="str">
        <f>VLOOKUP(F683,Doctors!$A$3:$B$999,2,0)</f>
        <v>Sylvester McCoy</v>
      </c>
      <c r="H683">
        <v>25</v>
      </c>
      <c r="I683">
        <v>1</v>
      </c>
      <c r="J683" t="str">
        <f>VLOOKUP(I683,SeasonFormats!$A$3:$B$999,2,0)</f>
        <v>Season</v>
      </c>
      <c r="K683">
        <v>151</v>
      </c>
      <c r="L683">
        <v>4</v>
      </c>
      <c r="M683" t="s">
        <v>8</v>
      </c>
      <c r="N683">
        <v>4</v>
      </c>
      <c r="O683" t="s">
        <v>12</v>
      </c>
      <c r="P683">
        <v>14</v>
      </c>
      <c r="Q683" s="6" t="d">
        <v>1989-01-04</v>
      </c>
      <c r="R683">
        <v>24</v>
      </c>
      <c r="T683" s="15">
        <v>113</v>
      </c>
      <c r="U683" t="str" cm="1">
        <f t="array" ref="U683">_xlfn.TEXTJOIN(",",TRUE,_xlfn.XLOOKUP(_xlfn.FILTERXML("&lt;t&gt;&lt;s&gt;" &amp; SUBSTITUTE(T683,",","&lt;/s&gt;&lt;s&gt;") &amp; "&lt;/s&gt;&lt;/t&gt;", "//s"),Writers!$A$3:$A$999,Writers!$B$3:$B$999,""))</f>
        <v>Stephen Wyatt</v>
      </c>
      <c r="W683" t="str">
        <f>IF(V683="","",_xlfn.XLOOKUP(V683,Writers!$A$3:$A$999,Writers!$B$3:$B$999,""))</f>
        <v/>
      </c>
      <c r="X683">
        <v>6.6</v>
      </c>
      <c r="AA683">
        <f t="shared" si="30"/>
        <v>7.9</v>
      </c>
      <c r="AB683" t="str">
        <f t="shared" si="31"/>
        <v/>
      </c>
      <c r="AC683" t="str">
        <f t="shared" si="32"/>
        <v/>
      </c>
      <c r="AD683">
        <f>VLOOKUP(YEAR(Q683),Populations!$A$3:$B$999,2,0)</f>
        <v>57076500</v>
      </c>
      <c r="AE683">
        <f>(Calculations!B1/AD683)</f>
        <v>1.19672600807688</v>
      </c>
      <c r="AG683">
        <v>1</v>
      </c>
      <c r="AH683" t="str">
        <f>VLOOKUP(AG683,WikiFormats!$A$3:$B$999,2,0)</f>
        <v>Story</v>
      </c>
      <c r="AI683" t="s">
        <v>739</v>
      </c>
    </row>
    <row r="684" spans="1:35" s="3" customFormat="1" x14ac:dyDescent="0.55000000000000004">
      <c r="A684" s="3">
        <v>682</v>
      </c>
      <c r="B684" s="3">
        <v>1</v>
      </c>
      <c r="C684" s="3" t="str">
        <f>VLOOKUP(B684,Eras!$A$3:$B$999,2,0)</f>
        <v>Classic</v>
      </c>
      <c r="D684" s="3">
        <v>1</v>
      </c>
      <c r="E684" s="3" t="str">
        <f>VLOOKUP(D684,EpisodeFormats!$A$3:$B$999,2,0)</f>
        <v>Series</v>
      </c>
      <c r="F684" s="3">
        <v>7</v>
      </c>
      <c r="G684" s="3" t="str">
        <f>VLOOKUP(F684,Doctors!$A$3:$B$999,2,0)</f>
        <v>Sylvester McCoy</v>
      </c>
      <c r="H684" s="3">
        <v>26</v>
      </c>
      <c r="I684" s="3">
        <v>1</v>
      </c>
      <c r="J684" s="3" t="str">
        <f>VLOOKUP(I684,SeasonFormats!$A$3:$B$999,2,0)</f>
        <v>Season</v>
      </c>
      <c r="K684" s="3">
        <v>152</v>
      </c>
      <c r="L684" s="3">
        <v>1</v>
      </c>
      <c r="M684" s="3" t="s">
        <v>0</v>
      </c>
      <c r="N684" s="3">
        <v>1</v>
      </c>
      <c r="O684" s="3" t="s">
        <v>9</v>
      </c>
      <c r="P684" s="3">
        <v>1</v>
      </c>
      <c r="Q684" s="7" t="d">
        <v>1989-09-06</v>
      </c>
      <c r="R684" s="3">
        <v>24</v>
      </c>
      <c r="T684" s="4">
        <v>1</v>
      </c>
      <c r="U684" s="3" t="str" cm="1">
        <f t="array" ref="U684">_xlfn.TEXTJOIN(",",TRUE,_xlfn.XLOOKUP(_xlfn.FILTERXML("&lt;t&gt;&lt;s&gt;" &amp; SUBSTITUTE(T684,",","&lt;/s&gt;&lt;s&gt;") &amp; "&lt;/s&gt;&lt;/t&gt;", "//s"),Writers!$A$3:$A$999,Writers!$B$3:$B$999,""))</f>
        <v>Ben Aaronovitch</v>
      </c>
      <c r="W684" s="3" t="str">
        <f>IF(V684="","",_xlfn.XLOOKUP(V684,Writers!$A$3:$A$999,Writers!$B$3:$B$999,""))</f>
        <v/>
      </c>
      <c r="X684" s="3">
        <v>3.1</v>
      </c>
      <c r="AA684" s="3">
        <f t="shared" si="30"/>
        <v>3.71</v>
      </c>
      <c r="AB684" s="3" t="str">
        <f t="shared" si="31"/>
        <v/>
      </c>
      <c r="AC684" s="3" t="str">
        <f t="shared" si="32"/>
        <v/>
      </c>
      <c r="AD684" s="3">
        <f>VLOOKUP(YEAR(Q684),Populations!$A$3:$B$999,2,0)</f>
        <v>57076500</v>
      </c>
      <c r="AE684" s="3">
        <f>(Calculations!B1/AD684)</f>
        <v>1.19672600807688</v>
      </c>
      <c r="AG684" s="3">
        <v>1</v>
      </c>
      <c r="AH684" s="3" t="str">
        <f>VLOOKUP(AG684,WikiFormats!$A$3:$B$999,2,0)</f>
        <v>Story</v>
      </c>
      <c r="AI684" s="3" t="s">
        <v>740</v>
      </c>
    </row>
    <row r="685" spans="1:35" s="3" customFormat="1" x14ac:dyDescent="0.55000000000000004">
      <c r="A685" s="3">
        <v>683</v>
      </c>
      <c r="B685" s="3">
        <v>1</v>
      </c>
      <c r="C685" s="3" t="str">
        <f>VLOOKUP(B685,Eras!$A$3:$B$999,2,0)</f>
        <v>Classic</v>
      </c>
      <c r="D685" s="3">
        <v>1</v>
      </c>
      <c r="E685" s="3" t="str">
        <f>VLOOKUP(D685,EpisodeFormats!$A$3:$B$999,2,0)</f>
        <v>Series</v>
      </c>
      <c r="F685" s="3">
        <v>7</v>
      </c>
      <c r="G685" s="3" t="str">
        <f>VLOOKUP(F685,Doctors!$A$3:$B$999,2,0)</f>
        <v>Sylvester McCoy</v>
      </c>
      <c r="H685" s="3">
        <v>26</v>
      </c>
      <c r="I685" s="3">
        <v>1</v>
      </c>
      <c r="J685" s="3" t="str">
        <f>VLOOKUP(I685,SeasonFormats!$A$3:$B$999,2,0)</f>
        <v>Season</v>
      </c>
      <c r="K685" s="3">
        <v>152</v>
      </c>
      <c r="L685" s="3">
        <v>1</v>
      </c>
      <c r="M685" s="3" t="s">
        <v>0</v>
      </c>
      <c r="N685" s="3">
        <v>2</v>
      </c>
      <c r="O685" s="3" t="s">
        <v>10</v>
      </c>
      <c r="P685" s="3">
        <v>2</v>
      </c>
      <c r="Q685" s="7" t="d">
        <v>1989-09-13</v>
      </c>
      <c r="R685" s="3">
        <v>24</v>
      </c>
      <c r="T685" s="4">
        <v>1</v>
      </c>
      <c r="U685" s="3" t="str" cm="1">
        <f t="array" ref="U685">_xlfn.TEXTJOIN(",",TRUE,_xlfn.XLOOKUP(_xlfn.FILTERXML("&lt;t&gt;&lt;s&gt;" &amp; SUBSTITUTE(T685,",","&lt;/s&gt;&lt;s&gt;") &amp; "&lt;/s&gt;&lt;/t&gt;", "//s"),Writers!$A$3:$A$999,Writers!$B$3:$B$999,""))</f>
        <v>Ben Aaronovitch</v>
      </c>
      <c r="W685" s="3" t="str">
        <f>IF(V685="","",_xlfn.XLOOKUP(V685,Writers!$A$3:$A$999,Writers!$B$3:$B$999,""))</f>
        <v/>
      </c>
      <c r="X685" s="3">
        <v>3.9</v>
      </c>
      <c r="AA685" s="3">
        <f t="shared" si="30"/>
        <v>4.67</v>
      </c>
      <c r="AB685" s="3" t="str">
        <f t="shared" si="31"/>
        <v/>
      </c>
      <c r="AC685" s="3" t="str">
        <f t="shared" si="32"/>
        <v/>
      </c>
      <c r="AD685" s="3">
        <f>VLOOKUP(YEAR(Q685),Populations!$A$3:$B$999,2,0)</f>
        <v>57076500</v>
      </c>
      <c r="AE685" s="3">
        <f>(Calculations!B1/AD685)</f>
        <v>1.19672600807688</v>
      </c>
      <c r="AG685" s="3">
        <v>1</v>
      </c>
      <c r="AH685" s="3" t="str">
        <f>VLOOKUP(AG685,WikiFormats!$A$3:$B$999,2,0)</f>
        <v>Story</v>
      </c>
      <c r="AI685" s="3" t="s">
        <v>740</v>
      </c>
    </row>
    <row r="686" spans="1:35" s="3" customFormat="1" x14ac:dyDescent="0.55000000000000004">
      <c r="A686" s="3">
        <v>684</v>
      </c>
      <c r="B686" s="3">
        <v>1</v>
      </c>
      <c r="C686" s="3" t="str">
        <f>VLOOKUP(B686,Eras!$A$3:$B$999,2,0)</f>
        <v>Classic</v>
      </c>
      <c r="D686" s="3">
        <v>1</v>
      </c>
      <c r="E686" s="3" t="str">
        <f>VLOOKUP(D686,EpisodeFormats!$A$3:$B$999,2,0)</f>
        <v>Series</v>
      </c>
      <c r="F686" s="3">
        <v>7</v>
      </c>
      <c r="G686" s="3" t="str">
        <f>VLOOKUP(F686,Doctors!$A$3:$B$999,2,0)</f>
        <v>Sylvester McCoy</v>
      </c>
      <c r="H686" s="3">
        <v>26</v>
      </c>
      <c r="I686" s="3">
        <v>1</v>
      </c>
      <c r="J686" s="3" t="str">
        <f>VLOOKUP(I686,SeasonFormats!$A$3:$B$999,2,0)</f>
        <v>Season</v>
      </c>
      <c r="K686" s="3">
        <v>152</v>
      </c>
      <c r="L686" s="3">
        <v>1</v>
      </c>
      <c r="M686" s="3" t="s">
        <v>0</v>
      </c>
      <c r="N686" s="3">
        <v>3</v>
      </c>
      <c r="O686" s="3" t="s">
        <v>11</v>
      </c>
      <c r="P686" s="3">
        <v>3</v>
      </c>
      <c r="Q686" s="7" t="d">
        <v>1989-09-20</v>
      </c>
      <c r="R686" s="3">
        <v>24</v>
      </c>
      <c r="T686" s="4">
        <v>1</v>
      </c>
      <c r="U686" s="3" t="str" cm="1">
        <f t="array" ref="U686">_xlfn.TEXTJOIN(",",TRUE,_xlfn.XLOOKUP(_xlfn.FILTERXML("&lt;t&gt;&lt;s&gt;" &amp; SUBSTITUTE(T686,",","&lt;/s&gt;&lt;s&gt;") &amp; "&lt;/s&gt;&lt;/t&gt;", "//s"),Writers!$A$3:$A$999,Writers!$B$3:$B$999,""))</f>
        <v>Ben Aaronovitch</v>
      </c>
      <c r="W686" s="3" t="str">
        <f>IF(V686="","",_xlfn.XLOOKUP(V686,Writers!$A$3:$A$999,Writers!$B$3:$B$999,""))</f>
        <v/>
      </c>
      <c r="X686" s="3">
        <v>3.6</v>
      </c>
      <c r="AA686" s="3">
        <f t="shared" si="30"/>
        <v>4.3099999999999996</v>
      </c>
      <c r="AB686" s="3" t="str">
        <f t="shared" si="31"/>
        <v/>
      </c>
      <c r="AC686" s="3" t="str">
        <f t="shared" si="32"/>
        <v/>
      </c>
      <c r="AD686" s="3">
        <f>VLOOKUP(YEAR(Q686),Populations!$A$3:$B$999,2,0)</f>
        <v>57076500</v>
      </c>
      <c r="AE686" s="3">
        <f>(Calculations!B1/AD686)</f>
        <v>1.19672600807688</v>
      </c>
      <c r="AG686" s="3">
        <v>1</v>
      </c>
      <c r="AH686" s="3" t="str">
        <f>VLOOKUP(AG686,WikiFormats!$A$3:$B$999,2,0)</f>
        <v>Story</v>
      </c>
      <c r="AI686" s="3" t="s">
        <v>740</v>
      </c>
    </row>
    <row r="687" spans="1:35" s="3" customFormat="1" x14ac:dyDescent="0.55000000000000004">
      <c r="A687" s="3">
        <v>685</v>
      </c>
      <c r="B687" s="3">
        <v>1</v>
      </c>
      <c r="C687" s="3" t="str">
        <f>VLOOKUP(B687,Eras!$A$3:$B$999,2,0)</f>
        <v>Classic</v>
      </c>
      <c r="D687" s="3">
        <v>1</v>
      </c>
      <c r="E687" s="3" t="str">
        <f>VLOOKUP(D687,EpisodeFormats!$A$3:$B$999,2,0)</f>
        <v>Series</v>
      </c>
      <c r="F687" s="3">
        <v>7</v>
      </c>
      <c r="G687" s="3" t="str">
        <f>VLOOKUP(F687,Doctors!$A$3:$B$999,2,0)</f>
        <v>Sylvester McCoy</v>
      </c>
      <c r="H687" s="3">
        <v>26</v>
      </c>
      <c r="I687" s="3">
        <v>1</v>
      </c>
      <c r="J687" s="3" t="str">
        <f>VLOOKUP(I687,SeasonFormats!$A$3:$B$999,2,0)</f>
        <v>Season</v>
      </c>
      <c r="K687" s="3">
        <v>152</v>
      </c>
      <c r="L687" s="3">
        <v>1</v>
      </c>
      <c r="M687" s="3" t="s">
        <v>0</v>
      </c>
      <c r="N687" s="3">
        <v>4</v>
      </c>
      <c r="O687" s="3" t="s">
        <v>12</v>
      </c>
      <c r="P687" s="3">
        <v>4</v>
      </c>
      <c r="Q687" s="7" t="d">
        <v>1989-09-27</v>
      </c>
      <c r="R687" s="3">
        <v>24</v>
      </c>
      <c r="T687" s="4">
        <v>1</v>
      </c>
      <c r="U687" s="3" t="str" cm="1">
        <f t="array" ref="U687">_xlfn.TEXTJOIN(",",TRUE,_xlfn.XLOOKUP(_xlfn.FILTERXML("&lt;t&gt;&lt;s&gt;" &amp; SUBSTITUTE(T687,",","&lt;/s&gt;&lt;s&gt;") &amp; "&lt;/s&gt;&lt;/t&gt;", "//s"),Writers!$A$3:$A$999,Writers!$B$3:$B$999,""))</f>
        <v>Ben Aaronovitch</v>
      </c>
      <c r="W687" s="3" t="str">
        <f>IF(V687="","",_xlfn.XLOOKUP(V687,Writers!$A$3:$A$999,Writers!$B$3:$B$999,""))</f>
        <v/>
      </c>
      <c r="X687" s="3">
        <v>4</v>
      </c>
      <c r="AA687" s="3">
        <f t="shared" si="30"/>
        <v>4.79</v>
      </c>
      <c r="AB687" s="3" t="str">
        <f t="shared" si="31"/>
        <v/>
      </c>
      <c r="AC687" s="3" t="str">
        <f t="shared" si="32"/>
        <v/>
      </c>
      <c r="AD687" s="3">
        <f>VLOOKUP(YEAR(Q687),Populations!$A$3:$B$999,2,0)</f>
        <v>57076500</v>
      </c>
      <c r="AE687" s="3">
        <f>(Calculations!B1/AD687)</f>
        <v>1.19672600807688</v>
      </c>
      <c r="AG687" s="3">
        <v>1</v>
      </c>
      <c r="AH687" s="3" t="str">
        <f>VLOOKUP(AG687,WikiFormats!$A$3:$B$999,2,0)</f>
        <v>Story</v>
      </c>
      <c r="AI687" s="3" t="s">
        <v>740</v>
      </c>
    </row>
    <row r="688" spans="1:35" x14ac:dyDescent="0.55000000000000004">
      <c r="A688">
        <v>686</v>
      </c>
      <c r="B688">
        <v>1</v>
      </c>
      <c r="C688" t="str">
        <f>VLOOKUP(B688,Eras!$A$3:$B$999,2,0)</f>
        <v>Classic</v>
      </c>
      <c r="D688">
        <v>1</v>
      </c>
      <c r="E688" t="str">
        <f>VLOOKUP(D688,EpisodeFormats!$A$3:$B$999,2,0)</f>
        <v>Series</v>
      </c>
      <c r="F688">
        <v>7</v>
      </c>
      <c r="G688" t="str">
        <f>VLOOKUP(F688,Doctors!$A$3:$B$999,2,0)</f>
        <v>Sylvester McCoy</v>
      </c>
      <c r="H688">
        <v>26</v>
      </c>
      <c r="I688">
        <v>1</v>
      </c>
      <c r="J688" t="str">
        <f>VLOOKUP(I688,SeasonFormats!$A$3:$B$999,2,0)</f>
        <v>Season</v>
      </c>
      <c r="K688">
        <v>153</v>
      </c>
      <c r="L688">
        <v>2</v>
      </c>
      <c r="M688" t="s">
        <v>1</v>
      </c>
      <c r="N688">
        <v>1</v>
      </c>
      <c r="O688" t="s">
        <v>9</v>
      </c>
      <c r="P688">
        <v>5</v>
      </c>
      <c r="Q688" s="6" t="d">
        <v>1989-10-04</v>
      </c>
      <c r="R688">
        <v>24</v>
      </c>
      <c r="T688" s="15" t="s">
        <v>1145</v>
      </c>
      <c r="U688" t="str" cm="1">
        <f t="array" ref="U688">_xlfn.TEXTJOIN(",",TRUE,_xlfn.XLOOKUP(_xlfn.FILTERXML("&lt;t&gt;&lt;s&gt;" &amp; SUBSTITUTE(T688,",","&lt;/s&gt;&lt;s&gt;") &amp; "&lt;/s&gt;&lt;/t&gt;", "//s"),Writers!$A$3:$A$999,Writers!$B$3:$B$999,""))</f>
        <v>Marc Platt</v>
      </c>
      <c r="W688" t="str">
        <f>IF(V688="","",_xlfn.XLOOKUP(V688,Writers!$A$3:$A$999,Writers!$B$3:$B$999,""))</f>
        <v/>
      </c>
      <c r="X688">
        <v>4.2</v>
      </c>
      <c r="AA688">
        <f t="shared" si="30"/>
        <v>5.03</v>
      </c>
      <c r="AB688" t="str">
        <f t="shared" si="31"/>
        <v/>
      </c>
      <c r="AC688" t="str">
        <f t="shared" si="32"/>
        <v/>
      </c>
      <c r="AD688">
        <f>VLOOKUP(YEAR(Q688),Populations!$A$3:$B$999,2,0)</f>
        <v>57076500</v>
      </c>
      <c r="AE688">
        <f>(Calculations!B1/AD688)</f>
        <v>1.19672600807688</v>
      </c>
      <c r="AG688">
        <v>1</v>
      </c>
      <c r="AH688" t="str">
        <f>VLOOKUP(AG688,WikiFormats!$A$3:$B$999,2,0)</f>
        <v>Story</v>
      </c>
      <c r="AI688" t="s">
        <v>741</v>
      </c>
    </row>
    <row r="689" spans="1:35" x14ac:dyDescent="0.55000000000000004">
      <c r="A689">
        <v>687</v>
      </c>
      <c r="B689">
        <v>1</v>
      </c>
      <c r="C689" t="str">
        <f>VLOOKUP(B689,Eras!$A$3:$B$999,2,0)</f>
        <v>Classic</v>
      </c>
      <c r="D689">
        <v>1</v>
      </c>
      <c r="E689" t="str">
        <f>VLOOKUP(D689,EpisodeFormats!$A$3:$B$999,2,0)</f>
        <v>Series</v>
      </c>
      <c r="F689">
        <v>7</v>
      </c>
      <c r="G689" t="str">
        <f>VLOOKUP(F689,Doctors!$A$3:$B$999,2,0)</f>
        <v>Sylvester McCoy</v>
      </c>
      <c r="H689">
        <v>26</v>
      </c>
      <c r="I689">
        <v>1</v>
      </c>
      <c r="J689" t="str">
        <f>VLOOKUP(I689,SeasonFormats!$A$3:$B$999,2,0)</f>
        <v>Season</v>
      </c>
      <c r="K689">
        <v>153</v>
      </c>
      <c r="L689">
        <v>2</v>
      </c>
      <c r="M689" t="s">
        <v>1</v>
      </c>
      <c r="N689">
        <v>2</v>
      </c>
      <c r="O689" t="s">
        <v>10</v>
      </c>
      <c r="P689">
        <v>6</v>
      </c>
      <c r="Q689" s="6" t="d">
        <v>1989-10-11</v>
      </c>
      <c r="R689">
        <v>24</v>
      </c>
      <c r="T689" s="15" t="s">
        <v>1145</v>
      </c>
      <c r="U689" t="str" cm="1">
        <f t="array" ref="U689">_xlfn.TEXTJOIN(",",TRUE,_xlfn.XLOOKUP(_xlfn.FILTERXML("&lt;t&gt;&lt;s&gt;" &amp; SUBSTITUTE(T689,",","&lt;/s&gt;&lt;s&gt;") &amp; "&lt;/s&gt;&lt;/t&gt;", "//s"),Writers!$A$3:$A$999,Writers!$B$3:$B$999,""))</f>
        <v>Marc Platt</v>
      </c>
      <c r="W689" t="str">
        <f>IF(V689="","",_xlfn.XLOOKUP(V689,Writers!$A$3:$A$999,Writers!$B$3:$B$999,""))</f>
        <v/>
      </c>
      <c r="X689">
        <v>4</v>
      </c>
      <c r="AA689">
        <f t="shared" si="30"/>
        <v>4.79</v>
      </c>
      <c r="AB689" t="str">
        <f t="shared" si="31"/>
        <v/>
      </c>
      <c r="AC689" t="str">
        <f t="shared" si="32"/>
        <v/>
      </c>
      <c r="AD689">
        <f>VLOOKUP(YEAR(Q689),Populations!$A$3:$B$999,2,0)</f>
        <v>57076500</v>
      </c>
      <c r="AE689">
        <f>(Calculations!B1/AD689)</f>
        <v>1.19672600807688</v>
      </c>
      <c r="AG689">
        <v>1</v>
      </c>
      <c r="AH689" t="str">
        <f>VLOOKUP(AG689,WikiFormats!$A$3:$B$999,2,0)</f>
        <v>Story</v>
      </c>
      <c r="AI689" t="s">
        <v>741</v>
      </c>
    </row>
    <row r="690" spans="1:35" x14ac:dyDescent="0.55000000000000004">
      <c r="A690">
        <v>688</v>
      </c>
      <c r="B690">
        <v>1</v>
      </c>
      <c r="C690" t="str">
        <f>VLOOKUP(B690,Eras!$A$3:$B$999,2,0)</f>
        <v>Classic</v>
      </c>
      <c r="D690">
        <v>1</v>
      </c>
      <c r="E690" t="str">
        <f>VLOOKUP(D690,EpisodeFormats!$A$3:$B$999,2,0)</f>
        <v>Series</v>
      </c>
      <c r="F690">
        <v>7</v>
      </c>
      <c r="G690" t="str">
        <f>VLOOKUP(F690,Doctors!$A$3:$B$999,2,0)</f>
        <v>Sylvester McCoy</v>
      </c>
      <c r="H690">
        <v>26</v>
      </c>
      <c r="I690">
        <v>1</v>
      </c>
      <c r="J690" t="str">
        <f>VLOOKUP(I690,SeasonFormats!$A$3:$B$999,2,0)</f>
        <v>Season</v>
      </c>
      <c r="K690">
        <v>153</v>
      </c>
      <c r="L690">
        <v>2</v>
      </c>
      <c r="M690" t="s">
        <v>1</v>
      </c>
      <c r="N690">
        <v>3</v>
      </c>
      <c r="O690" t="s">
        <v>11</v>
      </c>
      <c r="P690">
        <v>7</v>
      </c>
      <c r="Q690" s="6" t="d">
        <v>1989-10-18</v>
      </c>
      <c r="R690">
        <v>24</v>
      </c>
      <c r="T690" s="15" t="s">
        <v>1145</v>
      </c>
      <c r="U690" t="str" cm="1">
        <f t="array" ref="U690">_xlfn.TEXTJOIN(",",TRUE,_xlfn.XLOOKUP(_xlfn.FILTERXML("&lt;t&gt;&lt;s&gt;" &amp; SUBSTITUTE(T690,",","&lt;/s&gt;&lt;s&gt;") &amp; "&lt;/s&gt;&lt;/t&gt;", "//s"),Writers!$A$3:$A$999,Writers!$B$3:$B$999,""))</f>
        <v>Marc Platt</v>
      </c>
      <c r="W690" t="str">
        <f>IF(V690="","",_xlfn.XLOOKUP(V690,Writers!$A$3:$A$999,Writers!$B$3:$B$999,""))</f>
        <v/>
      </c>
      <c r="X690">
        <v>4</v>
      </c>
      <c r="AA690">
        <f t="shared" si="30"/>
        <v>4.79</v>
      </c>
      <c r="AB690" t="str">
        <f t="shared" si="31"/>
        <v/>
      </c>
      <c r="AC690" t="str">
        <f t="shared" si="32"/>
        <v/>
      </c>
      <c r="AD690">
        <f>VLOOKUP(YEAR(Q690),Populations!$A$3:$B$999,2,0)</f>
        <v>57076500</v>
      </c>
      <c r="AE690">
        <f>(Calculations!B1/AD690)</f>
        <v>1.19672600807688</v>
      </c>
      <c r="AG690">
        <v>1</v>
      </c>
      <c r="AH690" t="str">
        <f>VLOOKUP(AG690,WikiFormats!$A$3:$B$999,2,0)</f>
        <v>Story</v>
      </c>
      <c r="AI690" t="s">
        <v>741</v>
      </c>
    </row>
    <row r="691" spans="1:35" s="3" customFormat="1" x14ac:dyDescent="0.55000000000000004">
      <c r="A691" s="3">
        <v>689</v>
      </c>
      <c r="B691" s="3">
        <v>1</v>
      </c>
      <c r="C691" s="3" t="str">
        <f>VLOOKUP(B691,Eras!$A$3:$B$999,2,0)</f>
        <v>Classic</v>
      </c>
      <c r="D691" s="3">
        <v>1</v>
      </c>
      <c r="E691" s="3" t="str">
        <f>VLOOKUP(D691,EpisodeFormats!$A$3:$B$999,2,0)</f>
        <v>Series</v>
      </c>
      <c r="F691" s="3">
        <v>7</v>
      </c>
      <c r="G691" s="3" t="str">
        <f>VLOOKUP(F691,Doctors!$A$3:$B$999,2,0)</f>
        <v>Sylvester McCoy</v>
      </c>
      <c r="H691" s="3">
        <v>26</v>
      </c>
      <c r="I691" s="3">
        <v>1</v>
      </c>
      <c r="J691" s="3" t="str">
        <f>VLOOKUP(I691,SeasonFormats!$A$3:$B$999,2,0)</f>
        <v>Season</v>
      </c>
      <c r="K691" s="3">
        <v>154</v>
      </c>
      <c r="L691" s="3">
        <v>3</v>
      </c>
      <c r="M691" s="3" t="s">
        <v>2</v>
      </c>
      <c r="N691" s="3">
        <v>1</v>
      </c>
      <c r="O691" s="3" t="s">
        <v>9</v>
      </c>
      <c r="P691" s="3">
        <v>8</v>
      </c>
      <c r="Q691" s="7" t="d">
        <v>1989-10-25</v>
      </c>
      <c r="R691" s="3">
        <v>24</v>
      </c>
      <c r="T691" s="4" t="s">
        <v>1082</v>
      </c>
      <c r="U691" s="3" t="str" cm="1">
        <f t="array" ref="U691">_xlfn.TEXTJOIN(",",TRUE,_xlfn.XLOOKUP(_xlfn.FILTERXML("&lt;t&gt;&lt;s&gt;" &amp; SUBSTITUTE(T691,",","&lt;/s&gt;&lt;s&gt;") &amp; "&lt;/s&gt;&lt;/t&gt;", "//s"),Writers!$A$3:$A$999,Writers!$B$3:$B$999,""))</f>
        <v>Ian Briggs</v>
      </c>
      <c r="W691" s="3" t="str">
        <f>IF(V691="","",_xlfn.XLOOKUP(V691,Writers!$A$3:$A$999,Writers!$B$3:$B$999,""))</f>
        <v/>
      </c>
      <c r="X691" s="3">
        <v>4.3</v>
      </c>
      <c r="AA691" s="3">
        <f t="shared" si="30"/>
        <v>5.15</v>
      </c>
      <c r="AB691" s="3" t="str">
        <f t="shared" si="31"/>
        <v/>
      </c>
      <c r="AC691" s="3" t="str">
        <f t="shared" si="32"/>
        <v/>
      </c>
      <c r="AD691" s="3">
        <f>VLOOKUP(YEAR(Q691),Populations!$A$3:$B$999,2,0)</f>
        <v>57076500</v>
      </c>
      <c r="AE691" s="3">
        <f>(Calculations!B1/AD691)</f>
        <v>1.19672600807688</v>
      </c>
      <c r="AG691" s="3">
        <v>1</v>
      </c>
      <c r="AH691" s="3" t="str">
        <f>VLOOKUP(AG691,WikiFormats!$A$3:$B$999,2,0)</f>
        <v>Story</v>
      </c>
      <c r="AI691" s="3" t="s">
        <v>742</v>
      </c>
    </row>
    <row r="692" spans="1:35" s="3" customFormat="1" x14ac:dyDescent="0.55000000000000004">
      <c r="A692" s="3">
        <v>690</v>
      </c>
      <c r="B692" s="3">
        <v>1</v>
      </c>
      <c r="C692" s="3" t="str">
        <f>VLOOKUP(B692,Eras!$A$3:$B$999,2,0)</f>
        <v>Classic</v>
      </c>
      <c r="D692" s="3">
        <v>1</v>
      </c>
      <c r="E692" s="3" t="str">
        <f>VLOOKUP(D692,EpisodeFormats!$A$3:$B$999,2,0)</f>
        <v>Series</v>
      </c>
      <c r="F692" s="3">
        <v>7</v>
      </c>
      <c r="G692" s="3" t="str">
        <f>VLOOKUP(F692,Doctors!$A$3:$B$999,2,0)</f>
        <v>Sylvester McCoy</v>
      </c>
      <c r="H692" s="3">
        <v>26</v>
      </c>
      <c r="I692" s="3">
        <v>1</v>
      </c>
      <c r="J692" s="3" t="str">
        <f>VLOOKUP(I692,SeasonFormats!$A$3:$B$999,2,0)</f>
        <v>Season</v>
      </c>
      <c r="K692" s="3">
        <v>154</v>
      </c>
      <c r="L692" s="3">
        <v>3</v>
      </c>
      <c r="M692" s="3" t="s">
        <v>2</v>
      </c>
      <c r="N692" s="3">
        <v>2</v>
      </c>
      <c r="O692" s="3" t="s">
        <v>10</v>
      </c>
      <c r="P692" s="3">
        <v>9</v>
      </c>
      <c r="Q692" s="7" t="d">
        <v>1989-11-01</v>
      </c>
      <c r="R692" s="3">
        <v>24</v>
      </c>
      <c r="T692" s="4" t="s">
        <v>1082</v>
      </c>
      <c r="U692" s="3" t="str" cm="1">
        <f t="array" ref="U692">_xlfn.TEXTJOIN(",",TRUE,_xlfn.XLOOKUP(_xlfn.FILTERXML("&lt;t&gt;&lt;s&gt;" &amp; SUBSTITUTE(T692,",","&lt;/s&gt;&lt;s&gt;") &amp; "&lt;/s&gt;&lt;/t&gt;", "//s"),Writers!$A$3:$A$999,Writers!$B$3:$B$999,""))</f>
        <v>Ian Briggs</v>
      </c>
      <c r="W692" s="3" t="str">
        <f>IF(V692="","",_xlfn.XLOOKUP(V692,Writers!$A$3:$A$999,Writers!$B$3:$B$999,""))</f>
        <v/>
      </c>
      <c r="X692" s="3">
        <v>4</v>
      </c>
      <c r="AA692" s="3">
        <f t="shared" si="30"/>
        <v>4.79</v>
      </c>
      <c r="AB692" s="3" t="str">
        <f t="shared" si="31"/>
        <v/>
      </c>
      <c r="AC692" s="3" t="str">
        <f t="shared" si="32"/>
        <v/>
      </c>
      <c r="AD692" s="3">
        <f>VLOOKUP(YEAR(Q692),Populations!$A$3:$B$999,2,0)</f>
        <v>57076500</v>
      </c>
      <c r="AE692" s="3">
        <f>(Calculations!B1/AD692)</f>
        <v>1.19672600807688</v>
      </c>
      <c r="AG692" s="3">
        <v>1</v>
      </c>
      <c r="AH692" s="3" t="str">
        <f>VLOOKUP(AG692,WikiFormats!$A$3:$B$999,2,0)</f>
        <v>Story</v>
      </c>
      <c r="AI692" s="3" t="s">
        <v>742</v>
      </c>
    </row>
    <row r="693" spans="1:35" s="3" customFormat="1" x14ac:dyDescent="0.55000000000000004">
      <c r="A693" s="3">
        <v>691</v>
      </c>
      <c r="B693" s="3">
        <v>1</v>
      </c>
      <c r="C693" s="3" t="str">
        <f>VLOOKUP(B693,Eras!$A$3:$B$999,2,0)</f>
        <v>Classic</v>
      </c>
      <c r="D693" s="3">
        <v>1</v>
      </c>
      <c r="E693" s="3" t="str">
        <f>VLOOKUP(D693,EpisodeFormats!$A$3:$B$999,2,0)</f>
        <v>Series</v>
      </c>
      <c r="F693" s="3">
        <v>7</v>
      </c>
      <c r="G693" s="3" t="str">
        <f>VLOOKUP(F693,Doctors!$A$3:$B$999,2,0)</f>
        <v>Sylvester McCoy</v>
      </c>
      <c r="H693" s="3">
        <v>26</v>
      </c>
      <c r="I693" s="3">
        <v>1</v>
      </c>
      <c r="J693" s="3" t="str">
        <f>VLOOKUP(I693,SeasonFormats!$A$3:$B$999,2,0)</f>
        <v>Season</v>
      </c>
      <c r="K693" s="3">
        <v>154</v>
      </c>
      <c r="L693" s="3">
        <v>3</v>
      </c>
      <c r="M693" s="3" t="s">
        <v>2</v>
      </c>
      <c r="N693" s="3">
        <v>3</v>
      </c>
      <c r="O693" s="3" t="s">
        <v>11</v>
      </c>
      <c r="P693" s="3">
        <v>10</v>
      </c>
      <c r="Q693" s="7" t="d">
        <v>1989-11-08</v>
      </c>
      <c r="R693" s="3">
        <v>24</v>
      </c>
      <c r="T693" s="4" t="s">
        <v>1082</v>
      </c>
      <c r="U693" s="3" t="str" cm="1">
        <f t="array" ref="U693">_xlfn.TEXTJOIN(",",TRUE,_xlfn.XLOOKUP(_xlfn.FILTERXML("&lt;t&gt;&lt;s&gt;" &amp; SUBSTITUTE(T693,",","&lt;/s&gt;&lt;s&gt;") &amp; "&lt;/s&gt;&lt;/t&gt;", "//s"),Writers!$A$3:$A$999,Writers!$B$3:$B$999,""))</f>
        <v>Ian Briggs</v>
      </c>
      <c r="W693" s="3" t="str">
        <f>IF(V693="","",_xlfn.XLOOKUP(V693,Writers!$A$3:$A$999,Writers!$B$3:$B$999,""))</f>
        <v/>
      </c>
      <c r="X693" s="3">
        <v>4</v>
      </c>
      <c r="AA693" s="3">
        <f t="shared" si="30"/>
        <v>4.79</v>
      </c>
      <c r="AB693" s="3" t="str">
        <f t="shared" si="31"/>
        <v/>
      </c>
      <c r="AC693" s="3" t="str">
        <f t="shared" si="32"/>
        <v/>
      </c>
      <c r="AD693" s="3">
        <f>VLOOKUP(YEAR(Q693),Populations!$A$3:$B$999,2,0)</f>
        <v>57076500</v>
      </c>
      <c r="AE693" s="3">
        <f>(Calculations!B1/AD693)</f>
        <v>1.19672600807688</v>
      </c>
      <c r="AG693" s="3">
        <v>1</v>
      </c>
      <c r="AH693" s="3" t="str">
        <f>VLOOKUP(AG693,WikiFormats!$A$3:$B$999,2,0)</f>
        <v>Story</v>
      </c>
      <c r="AI693" s="3" t="s">
        <v>742</v>
      </c>
    </row>
    <row r="694" spans="1:35" s="3" customFormat="1" x14ac:dyDescent="0.55000000000000004">
      <c r="A694" s="3">
        <v>692</v>
      </c>
      <c r="B694" s="3">
        <v>1</v>
      </c>
      <c r="C694" s="3" t="str">
        <f>VLOOKUP(B694,Eras!$A$3:$B$999,2,0)</f>
        <v>Classic</v>
      </c>
      <c r="D694" s="3">
        <v>1</v>
      </c>
      <c r="E694" s="3" t="str">
        <f>VLOOKUP(D694,EpisodeFormats!$A$3:$B$999,2,0)</f>
        <v>Series</v>
      </c>
      <c r="F694" s="3">
        <v>7</v>
      </c>
      <c r="G694" s="3" t="str">
        <f>VLOOKUP(F694,Doctors!$A$3:$B$999,2,0)</f>
        <v>Sylvester McCoy</v>
      </c>
      <c r="H694" s="3">
        <v>26</v>
      </c>
      <c r="I694" s="3">
        <v>1</v>
      </c>
      <c r="J694" s="3" t="str">
        <f>VLOOKUP(I694,SeasonFormats!$A$3:$B$999,2,0)</f>
        <v>Season</v>
      </c>
      <c r="K694" s="3">
        <v>154</v>
      </c>
      <c r="L694" s="3">
        <v>3</v>
      </c>
      <c r="M694" s="3" t="s">
        <v>2</v>
      </c>
      <c r="N694" s="3">
        <v>4</v>
      </c>
      <c r="O694" s="3" t="s">
        <v>12</v>
      </c>
      <c r="P694" s="3">
        <v>11</v>
      </c>
      <c r="Q694" s="7" t="d">
        <v>1989-11-15</v>
      </c>
      <c r="R694" s="3">
        <v>24</v>
      </c>
      <c r="T694" s="4" t="s">
        <v>1082</v>
      </c>
      <c r="U694" s="3" t="str" cm="1">
        <f t="array" ref="U694">_xlfn.TEXTJOIN(",",TRUE,_xlfn.XLOOKUP(_xlfn.FILTERXML("&lt;t&gt;&lt;s&gt;" &amp; SUBSTITUTE(T694,",","&lt;/s&gt;&lt;s&gt;") &amp; "&lt;/s&gt;&lt;/t&gt;", "//s"),Writers!$A$3:$A$999,Writers!$B$3:$B$999,""))</f>
        <v>Ian Briggs</v>
      </c>
      <c r="W694" s="3" t="str">
        <f>IF(V694="","",_xlfn.XLOOKUP(V694,Writers!$A$3:$A$999,Writers!$B$3:$B$999,""))</f>
        <v/>
      </c>
      <c r="X694" s="3">
        <v>4.2</v>
      </c>
      <c r="AA694" s="3">
        <f t="shared" si="30"/>
        <v>5.03</v>
      </c>
      <c r="AB694" s="3" t="str">
        <f t="shared" si="31"/>
        <v/>
      </c>
      <c r="AC694" s="3" t="str">
        <f t="shared" si="32"/>
        <v/>
      </c>
      <c r="AD694" s="3">
        <f>VLOOKUP(YEAR(Q694),Populations!$A$3:$B$999,2,0)</f>
        <v>57076500</v>
      </c>
      <c r="AE694" s="3">
        <f>(Calculations!B1/AD694)</f>
        <v>1.19672600807688</v>
      </c>
      <c r="AG694" s="3">
        <v>1</v>
      </c>
      <c r="AH694" s="3" t="str">
        <f>VLOOKUP(AG694,WikiFormats!$A$3:$B$999,2,0)</f>
        <v>Story</v>
      </c>
      <c r="AI694" s="3" t="s">
        <v>742</v>
      </c>
    </row>
    <row r="695" spans="1:35" x14ac:dyDescent="0.55000000000000004">
      <c r="A695">
        <v>693</v>
      </c>
      <c r="B695">
        <v>1</v>
      </c>
      <c r="C695" t="str">
        <f>VLOOKUP(B695,Eras!$A$3:$B$999,2,0)</f>
        <v>Classic</v>
      </c>
      <c r="D695">
        <v>1</v>
      </c>
      <c r="E695" t="str">
        <f>VLOOKUP(D695,EpisodeFormats!$A$3:$B$999,2,0)</f>
        <v>Series</v>
      </c>
      <c r="F695">
        <v>7</v>
      </c>
      <c r="G695" t="str">
        <f>VLOOKUP(F695,Doctors!$A$3:$B$999,2,0)</f>
        <v>Sylvester McCoy</v>
      </c>
      <c r="H695">
        <v>26</v>
      </c>
      <c r="I695">
        <v>1</v>
      </c>
      <c r="J695" t="str">
        <f>VLOOKUP(I695,SeasonFormats!$A$3:$B$999,2,0)</f>
        <v>Season</v>
      </c>
      <c r="K695">
        <v>155</v>
      </c>
      <c r="L695">
        <v>4</v>
      </c>
      <c r="M695" t="s">
        <v>3</v>
      </c>
      <c r="N695">
        <v>1</v>
      </c>
      <c r="O695" t="s">
        <v>9</v>
      </c>
      <c r="P695">
        <v>12</v>
      </c>
      <c r="Q695" s="6" t="d">
        <v>1989-11-22</v>
      </c>
      <c r="R695">
        <v>24</v>
      </c>
      <c r="T695" s="15" t="s">
        <v>1131</v>
      </c>
      <c r="U695" t="str" cm="1">
        <f t="array" ref="U695">_xlfn.TEXTJOIN(",",TRUE,_xlfn.XLOOKUP(_xlfn.FILTERXML("&lt;t&gt;&lt;s&gt;" &amp; SUBSTITUTE(T695,",","&lt;/s&gt;&lt;s&gt;") &amp; "&lt;/s&gt;&lt;/t&gt;", "//s"),Writers!$A$3:$A$999,Writers!$B$3:$B$999,""))</f>
        <v>Rona Munro</v>
      </c>
      <c r="W695" t="str">
        <f>IF(V695="","",_xlfn.XLOOKUP(V695,Writers!$A$3:$A$999,Writers!$B$3:$B$999,""))</f>
        <v/>
      </c>
      <c r="X695">
        <v>5</v>
      </c>
      <c r="AA695">
        <f t="shared" si="30"/>
        <v>5.98</v>
      </c>
      <c r="AB695" t="str">
        <f t="shared" si="31"/>
        <v/>
      </c>
      <c r="AC695" t="str">
        <f t="shared" si="32"/>
        <v/>
      </c>
      <c r="AD695">
        <f>VLOOKUP(YEAR(Q695),Populations!$A$3:$B$999,2,0)</f>
        <v>57076500</v>
      </c>
      <c r="AE695">
        <f>(Calculations!B1/AD695)</f>
        <v>1.19672600807688</v>
      </c>
      <c r="AG695">
        <v>1</v>
      </c>
      <c r="AH695" t="str">
        <f>VLOOKUP(AG695,WikiFormats!$A$3:$B$999,2,0)</f>
        <v>Story</v>
      </c>
      <c r="AI695" t="s">
        <v>743</v>
      </c>
    </row>
    <row r="696" spans="1:35" x14ac:dyDescent="0.55000000000000004">
      <c r="A696">
        <v>694</v>
      </c>
      <c r="B696">
        <v>1</v>
      </c>
      <c r="C696" t="str">
        <f>VLOOKUP(B696,Eras!$A$3:$B$999,2,0)</f>
        <v>Classic</v>
      </c>
      <c r="D696">
        <v>1</v>
      </c>
      <c r="E696" t="str">
        <f>VLOOKUP(D696,EpisodeFormats!$A$3:$B$999,2,0)</f>
        <v>Series</v>
      </c>
      <c r="F696">
        <v>7</v>
      </c>
      <c r="G696" t="str">
        <f>VLOOKUP(F696,Doctors!$A$3:$B$999,2,0)</f>
        <v>Sylvester McCoy</v>
      </c>
      <c r="H696">
        <v>26</v>
      </c>
      <c r="I696">
        <v>1</v>
      </c>
      <c r="J696" t="str">
        <f>VLOOKUP(I696,SeasonFormats!$A$3:$B$999,2,0)</f>
        <v>Season</v>
      </c>
      <c r="K696">
        <v>155</v>
      </c>
      <c r="L696">
        <v>4</v>
      </c>
      <c r="M696" t="s">
        <v>3</v>
      </c>
      <c r="N696">
        <v>2</v>
      </c>
      <c r="O696" t="s">
        <v>10</v>
      </c>
      <c r="P696">
        <v>13</v>
      </c>
      <c r="Q696" s="6" t="d">
        <v>1989-11-29</v>
      </c>
      <c r="R696">
        <v>24</v>
      </c>
      <c r="T696" s="15" t="s">
        <v>1131</v>
      </c>
      <c r="U696" t="str" cm="1">
        <f t="array" ref="U696">_xlfn.TEXTJOIN(",",TRUE,_xlfn.XLOOKUP(_xlfn.FILTERXML("&lt;t&gt;&lt;s&gt;" &amp; SUBSTITUTE(T696,",","&lt;/s&gt;&lt;s&gt;") &amp; "&lt;/s&gt;&lt;/t&gt;", "//s"),Writers!$A$3:$A$999,Writers!$B$3:$B$999,""))</f>
        <v>Rona Munro</v>
      </c>
      <c r="W696" t="str">
        <f>IF(V696="","",_xlfn.XLOOKUP(V696,Writers!$A$3:$A$999,Writers!$B$3:$B$999,""))</f>
        <v/>
      </c>
      <c r="X696">
        <v>4.8</v>
      </c>
      <c r="AA696">
        <f t="shared" si="30"/>
        <v>5.74</v>
      </c>
      <c r="AB696" t="str">
        <f t="shared" si="31"/>
        <v/>
      </c>
      <c r="AC696" t="str">
        <f t="shared" si="32"/>
        <v/>
      </c>
      <c r="AD696">
        <f>VLOOKUP(YEAR(Q696),Populations!$A$3:$B$999,2,0)</f>
        <v>57076500</v>
      </c>
      <c r="AE696">
        <f>(Calculations!B1/AD696)</f>
        <v>1.19672600807688</v>
      </c>
      <c r="AG696">
        <v>1</v>
      </c>
      <c r="AH696" t="str">
        <f>VLOOKUP(AG696,WikiFormats!$A$3:$B$999,2,0)</f>
        <v>Story</v>
      </c>
      <c r="AI696" t="s">
        <v>743</v>
      </c>
    </row>
    <row r="697" spans="1:35" x14ac:dyDescent="0.55000000000000004">
      <c r="A697">
        <v>695</v>
      </c>
      <c r="B697">
        <v>1</v>
      </c>
      <c r="C697" t="str">
        <f>VLOOKUP(B697,Eras!$A$3:$B$999,2,0)</f>
        <v>Classic</v>
      </c>
      <c r="D697">
        <v>1</v>
      </c>
      <c r="E697" t="str">
        <f>VLOOKUP(D697,EpisodeFormats!$A$3:$B$999,2,0)</f>
        <v>Series</v>
      </c>
      <c r="F697">
        <v>7</v>
      </c>
      <c r="G697" t="str">
        <f>VLOOKUP(F697,Doctors!$A$3:$B$999,2,0)</f>
        <v>Sylvester McCoy</v>
      </c>
      <c r="H697">
        <v>26</v>
      </c>
      <c r="I697">
        <v>1</v>
      </c>
      <c r="J697" t="str">
        <f>VLOOKUP(I697,SeasonFormats!$A$3:$B$999,2,0)</f>
        <v>Season</v>
      </c>
      <c r="K697">
        <v>155</v>
      </c>
      <c r="L697">
        <v>4</v>
      </c>
      <c r="M697" t="s">
        <v>3</v>
      </c>
      <c r="N697">
        <v>3</v>
      </c>
      <c r="O697" t="s">
        <v>11</v>
      </c>
      <c r="P697">
        <v>14</v>
      </c>
      <c r="Q697" s="6" t="d">
        <v>1989-12-06</v>
      </c>
      <c r="R697">
        <v>24</v>
      </c>
      <c r="T697" s="15" t="s">
        <v>1131</v>
      </c>
      <c r="U697" t="str" cm="1">
        <f t="array" ref="U697">_xlfn.TEXTJOIN(",",TRUE,_xlfn.XLOOKUP(_xlfn.FILTERXML("&lt;t&gt;&lt;s&gt;" &amp; SUBSTITUTE(T697,",","&lt;/s&gt;&lt;s&gt;") &amp; "&lt;/s&gt;&lt;/t&gt;", "//s"),Writers!$A$3:$A$999,Writers!$B$3:$B$999,""))</f>
        <v>Rona Munro</v>
      </c>
      <c r="W697" t="str">
        <f>IF(V697="","",_xlfn.XLOOKUP(V697,Writers!$A$3:$A$999,Writers!$B$3:$B$999,""))</f>
        <v/>
      </c>
      <c r="X697">
        <v>5</v>
      </c>
      <c r="AA697">
        <f t="shared" si="30"/>
        <v>5.98</v>
      </c>
      <c r="AB697" t="str">
        <f t="shared" si="31"/>
        <v/>
      </c>
      <c r="AC697" t="str">
        <f t="shared" si="32"/>
        <v/>
      </c>
      <c r="AD697">
        <f>VLOOKUP(YEAR(Q697),Populations!$A$3:$B$999,2,0)</f>
        <v>57076500</v>
      </c>
      <c r="AE697">
        <f>(Calculations!B1/AD697)</f>
        <v>1.19672600807688</v>
      </c>
      <c r="AG697">
        <v>1</v>
      </c>
      <c r="AH697" t="str">
        <f>VLOOKUP(AG697,WikiFormats!$A$3:$B$999,2,0)</f>
        <v>Story</v>
      </c>
      <c r="AI697" t="s">
        <v>743</v>
      </c>
    </row>
    <row r="698" spans="1:35" s="9" customFormat="1" x14ac:dyDescent="0.55000000000000004">
      <c r="Q698" s="10"/>
      <c r="T698" s="16"/>
    </row>
    <row r="699" spans="1:35" x14ac:dyDescent="0.55000000000000004">
      <c r="A699">
        <v>696</v>
      </c>
      <c r="B699">
        <v>2</v>
      </c>
      <c r="C699" t="str">
        <f>VLOOKUP(B699,Eras!$A$3:$B$999,2,0)</f>
        <v>Movie/Universal</v>
      </c>
      <c r="D699">
        <v>3</v>
      </c>
      <c r="E699" t="str">
        <f>VLOOKUP(D699,EpisodeFormats!$A$3:$B$999,2,0)</f>
        <v>Movie</v>
      </c>
      <c r="F699">
        <v>8</v>
      </c>
      <c r="G699" t="str">
        <f>VLOOKUP(F699,Doctors!$A$3:$B$999,2,0)</f>
        <v>Paul McGann</v>
      </c>
      <c r="I699">
        <v>2</v>
      </c>
      <c r="J699" t="str">
        <f>VLOOKUP(I699,SeasonFormats!$A$3:$B$999,2,0)</f>
        <v>Movie</v>
      </c>
      <c r="K699">
        <v>156</v>
      </c>
      <c r="M699" t="s">
        <v>923</v>
      </c>
      <c r="N699">
        <v>1</v>
      </c>
      <c r="Q699" s="6" t="d">
        <v>1996-05-27</v>
      </c>
      <c r="R699">
        <v>85</v>
      </c>
      <c r="T699" s="15">
        <v>57</v>
      </c>
      <c r="U699" t="str" cm="1">
        <f t="array" ref="U699">_xlfn.TEXTJOIN(",",TRUE,_xlfn.XLOOKUP(_xlfn.FILTERXML("&lt;t&gt;&lt;s&gt;" &amp; SUBSTITUTE(T699,",","&lt;/s&gt;&lt;s&gt;") &amp; "&lt;/s&gt;&lt;/t&gt;", "//s"),Writers!$A$3:$A$999,Writers!$B$3:$B$999,""))</f>
        <v>Matthew Jacobs</v>
      </c>
      <c r="W699" t="str">
        <f>IF(V699="","",_xlfn.XLOOKUP(V699,Writers!$A$3:$A$999,Writers!$B$3:$B$999,""))</f>
        <v/>
      </c>
      <c r="X699">
        <v>9.08</v>
      </c>
      <c r="AA699">
        <f t="shared" si="30"/>
        <v>10.66</v>
      </c>
      <c r="AB699" t="str">
        <f t="shared" si="31"/>
        <v/>
      </c>
      <c r="AC699" t="str">
        <f t="shared" si="32"/>
        <v/>
      </c>
      <c r="AD699">
        <f>VLOOKUP(YEAR(Q699),Populations!$A$3:$B$999,2,0)</f>
        <v>58164400</v>
      </c>
      <c r="AE699">
        <f>(Calculations!B1/AD699)</f>
        <v>1.17434258756215</v>
      </c>
      <c r="AG699">
        <v>2</v>
      </c>
      <c r="AH699" t="str">
        <f>VLOOKUP(AG699,WikiFormats!$A$3:$B$999,2,0)</f>
        <v>Episode</v>
      </c>
      <c r="AI699" t="s">
        <v>744</v>
      </c>
    </row>
    <row r="700" spans="1:35" s="9" customFormat="1" x14ac:dyDescent="0.55000000000000004">
      <c r="Q700" s="10"/>
      <c r="T700" s="16"/>
    </row>
    <row r="701" spans="1:35" s="3" customFormat="1" x14ac:dyDescent="0.55000000000000004">
      <c r="A701" s="3">
        <v>697</v>
      </c>
      <c r="B701" s="3">
        <v>3</v>
      </c>
      <c r="C701" s="3" t="str">
        <f>VLOOKUP(B701,Eras!$A$3:$B$999,2,0)</f>
        <v>New</v>
      </c>
      <c r="D701" s="3">
        <v>1</v>
      </c>
      <c r="E701" s="3" t="str">
        <f>VLOOKUP(D701,EpisodeFormats!$A$3:$B$999,2,0)</f>
        <v>Series</v>
      </c>
      <c r="F701" s="3">
        <v>9</v>
      </c>
      <c r="G701" s="3" t="str">
        <f>VLOOKUP(F701,Doctors!$A$3:$B$999,2,0)</f>
        <v>Christopher Eccleston</v>
      </c>
      <c r="H701" s="3">
        <v>1</v>
      </c>
      <c r="I701" s="3">
        <v>3</v>
      </c>
      <c r="J701" s="3" t="str">
        <f>VLOOKUP(I701,SeasonFormats!$A$3:$B$999,2,0)</f>
        <v>Series</v>
      </c>
      <c r="K701" s="3">
        <v>157</v>
      </c>
      <c r="L701" s="3">
        <v>1</v>
      </c>
      <c r="M701" s="3" t="s">
        <v>22</v>
      </c>
      <c r="N701" s="3">
        <v>1</v>
      </c>
      <c r="P701" s="3">
        <v>1</v>
      </c>
      <c r="Q701" s="7" t="d">
        <v>2005-03-26</v>
      </c>
      <c r="R701" s="3">
        <v>44</v>
      </c>
      <c r="T701" s="4" t="s">
        <v>1098</v>
      </c>
      <c r="U701" s="3" t="str" cm="1">
        <f t="array" ref="U701">_xlfn.TEXTJOIN(",",TRUE,_xlfn.XLOOKUP(_xlfn.FILTERXML("&lt;t&gt;&lt;s&gt;" &amp; SUBSTITUTE(T701,",","&lt;/s&gt;&lt;s&gt;") &amp; "&lt;/s&gt;&lt;/t&gt;", "//s"),Writers!$A$3:$A$999,Writers!$B$3:$B$999,""))</f>
        <v>Russell T Davies</v>
      </c>
      <c r="W701" s="3" t="str">
        <f>IF(V701="","",_xlfn.XLOOKUP(V701,Writers!$A$3:$A$999,Writers!$B$3:$B$999,""))</f>
        <v/>
      </c>
      <c r="X701" s="3">
        <v>9.9</v>
      </c>
      <c r="Y701" s="3">
        <v>10.81</v>
      </c>
      <c r="AA701" s="3">
        <f t="shared" si="30"/>
        <v>11.19</v>
      </c>
      <c r="AB701" s="3">
        <f t="shared" si="31"/>
        <v>12.22</v>
      </c>
      <c r="AC701" s="3" t="str">
        <f t="shared" si="32"/>
        <v/>
      </c>
      <c r="AD701" s="3">
        <f>VLOOKUP(YEAR(Q701),Populations!$A$3:$B$999,2,0)</f>
        <v>60413300</v>
      </c>
      <c r="AE701" s="3">
        <f>(Calculations!B1/AD701)</f>
        <v>1.1306273949610399</v>
      </c>
      <c r="AG701" s="3">
        <v>2</v>
      </c>
      <c r="AH701" s="3" t="str">
        <f>VLOOKUP(AG701,WikiFormats!$A$3:$B$999,2,0)</f>
        <v>Episode</v>
      </c>
      <c r="AI701" s="3" t="s">
        <v>745</v>
      </c>
    </row>
    <row r="702" spans="1:35" s="3" customFormat="1" x14ac:dyDescent="0.55000000000000004">
      <c r="A702" s="3">
        <v>698</v>
      </c>
      <c r="B702" s="3">
        <v>3</v>
      </c>
      <c r="C702" s="3" t="str">
        <f>VLOOKUP(B702,Eras!$A$3:$B$999,2,0)</f>
        <v>New</v>
      </c>
      <c r="D702" s="3">
        <v>1</v>
      </c>
      <c r="E702" s="3" t="str">
        <f>VLOOKUP(D702,EpisodeFormats!$A$3:$B$999,2,0)</f>
        <v>Series</v>
      </c>
      <c r="F702" s="3">
        <v>9</v>
      </c>
      <c r="G702" s="3" t="str">
        <f>VLOOKUP(F702,Doctors!$A$3:$B$999,2,0)</f>
        <v>Christopher Eccleston</v>
      </c>
      <c r="H702" s="3">
        <v>1</v>
      </c>
      <c r="I702" s="3">
        <v>3</v>
      </c>
      <c r="J702" s="3" t="str">
        <f>VLOOKUP(I702,SeasonFormats!$A$3:$B$999,2,0)</f>
        <v>Series</v>
      </c>
      <c r="K702" s="3">
        <v>158</v>
      </c>
      <c r="L702" s="3">
        <v>2</v>
      </c>
      <c r="M702" s="3" t="s">
        <v>23</v>
      </c>
      <c r="N702" s="3">
        <v>1</v>
      </c>
      <c r="P702" s="3">
        <v>2</v>
      </c>
      <c r="Q702" s="7" t="d">
        <v>2005-04-02</v>
      </c>
      <c r="R702" s="3">
        <v>45</v>
      </c>
      <c r="T702" s="4" t="s">
        <v>1098</v>
      </c>
      <c r="U702" s="3" t="str" cm="1">
        <f t="array" ref="U702">_xlfn.TEXTJOIN(",",TRUE,_xlfn.XLOOKUP(_xlfn.FILTERXML("&lt;t&gt;&lt;s&gt;" &amp; SUBSTITUTE(T702,",","&lt;/s&gt;&lt;s&gt;") &amp; "&lt;/s&gt;&lt;/t&gt;", "//s"),Writers!$A$3:$A$999,Writers!$B$3:$B$999,""))</f>
        <v>Russell T Davies</v>
      </c>
      <c r="W702" s="3" t="str">
        <f>IF(V702="","",_xlfn.XLOOKUP(V702,Writers!$A$3:$A$999,Writers!$B$3:$B$999,""))</f>
        <v/>
      </c>
      <c r="X702" s="3">
        <v>7.3</v>
      </c>
      <c r="Y702" s="3">
        <v>7.97</v>
      </c>
      <c r="AA702" s="3">
        <f t="shared" si="30"/>
        <v>8.25</v>
      </c>
      <c r="AB702" s="3">
        <f t="shared" si="31"/>
        <v>9.01</v>
      </c>
      <c r="AC702" s="3" t="str">
        <f t="shared" si="32"/>
        <v/>
      </c>
      <c r="AD702" s="3">
        <f>VLOOKUP(YEAR(Q702),Populations!$A$3:$B$999,2,0)</f>
        <v>60413300</v>
      </c>
      <c r="AE702" s="3">
        <f>(Calculations!B1/AD702)</f>
        <v>1.1306273949610399</v>
      </c>
      <c r="AG702" s="3">
        <v>2</v>
      </c>
      <c r="AH702" s="3" t="str">
        <f>VLOOKUP(AG702,WikiFormats!$A$3:$B$999,2,0)</f>
        <v>Episode</v>
      </c>
      <c r="AI702" s="3" t="s">
        <v>746</v>
      </c>
    </row>
    <row r="703" spans="1:35" s="3" customFormat="1" x14ac:dyDescent="0.55000000000000004">
      <c r="A703" s="3">
        <v>699</v>
      </c>
      <c r="B703" s="3">
        <v>3</v>
      </c>
      <c r="C703" s="3" t="str">
        <f>VLOOKUP(B703,Eras!$A$3:$B$999,2,0)</f>
        <v>New</v>
      </c>
      <c r="D703" s="3">
        <v>1</v>
      </c>
      <c r="E703" s="3" t="str">
        <f>VLOOKUP(D703,EpisodeFormats!$A$3:$B$999,2,0)</f>
        <v>Series</v>
      </c>
      <c r="F703" s="3">
        <v>9</v>
      </c>
      <c r="G703" s="3" t="str">
        <f>VLOOKUP(F703,Doctors!$A$3:$B$999,2,0)</f>
        <v>Christopher Eccleston</v>
      </c>
      <c r="H703" s="3">
        <v>1</v>
      </c>
      <c r="I703" s="3">
        <v>3</v>
      </c>
      <c r="J703" s="3" t="str">
        <f>VLOOKUP(I703,SeasonFormats!$A$3:$B$999,2,0)</f>
        <v>Series</v>
      </c>
      <c r="K703" s="3">
        <v>159</v>
      </c>
      <c r="L703" s="3">
        <v>3</v>
      </c>
      <c r="M703" s="3" t="s">
        <v>24</v>
      </c>
      <c r="N703" s="3">
        <v>1</v>
      </c>
      <c r="P703" s="3">
        <v>3</v>
      </c>
      <c r="Q703" s="7" t="d">
        <v>2005-04-09</v>
      </c>
      <c r="R703" s="3">
        <v>45</v>
      </c>
      <c r="T703" s="4" t="s">
        <v>1117</v>
      </c>
      <c r="U703" s="3" t="str" cm="1">
        <f t="array" ref="U703">_xlfn.TEXTJOIN(",",TRUE,_xlfn.XLOOKUP(_xlfn.FILTERXML("&lt;t&gt;&lt;s&gt;" &amp; SUBSTITUTE(T703,",","&lt;/s&gt;&lt;s&gt;") &amp; "&lt;/s&gt;&lt;/t&gt;", "//s"),Writers!$A$3:$A$999,Writers!$B$3:$B$999,""))</f>
        <v>Mark Gatiss</v>
      </c>
      <c r="W703" s="3" t="str">
        <f>IF(V703="","",_xlfn.XLOOKUP(V703,Writers!$A$3:$A$999,Writers!$B$3:$B$999,""))</f>
        <v/>
      </c>
      <c r="X703" s="3">
        <v>8.3000000000000007</v>
      </c>
      <c r="Y703" s="3">
        <v>8.86</v>
      </c>
      <c r="AA703" s="3">
        <f t="shared" si="30"/>
        <v>9.3800000000000008</v>
      </c>
      <c r="AB703" s="3">
        <f t="shared" si="31"/>
        <v>10.02</v>
      </c>
      <c r="AC703" s="3" t="str">
        <f t="shared" si="32"/>
        <v/>
      </c>
      <c r="AD703" s="3">
        <f>VLOOKUP(YEAR(Q703),Populations!$A$3:$B$999,2,0)</f>
        <v>60413300</v>
      </c>
      <c r="AE703" s="3">
        <f>(Calculations!B1/AD703)</f>
        <v>1.1306273949610399</v>
      </c>
      <c r="AG703" s="3">
        <v>2</v>
      </c>
      <c r="AH703" s="3" t="str">
        <f>VLOOKUP(AG703,WikiFormats!$A$3:$B$999,2,0)</f>
        <v>Episode</v>
      </c>
      <c r="AI703" s="3" t="s">
        <v>747</v>
      </c>
    </row>
    <row r="704" spans="1:35" s="3" customFormat="1" x14ac:dyDescent="0.55000000000000004">
      <c r="A704" s="3">
        <v>700</v>
      </c>
      <c r="B704" s="3">
        <v>3</v>
      </c>
      <c r="C704" s="3" t="str">
        <f>VLOOKUP(B704,Eras!$A$3:$B$999,2,0)</f>
        <v>New</v>
      </c>
      <c r="D704" s="3">
        <v>1</v>
      </c>
      <c r="E704" s="3" t="str">
        <f>VLOOKUP(D704,EpisodeFormats!$A$3:$B$999,2,0)</f>
        <v>Series</v>
      </c>
      <c r="F704" s="3">
        <v>9</v>
      </c>
      <c r="G704" s="3" t="str">
        <f>VLOOKUP(F704,Doctors!$A$3:$B$999,2,0)</f>
        <v>Christopher Eccleston</v>
      </c>
      <c r="H704" s="3">
        <v>1</v>
      </c>
      <c r="I704" s="3">
        <v>3</v>
      </c>
      <c r="J704" s="3" t="str">
        <f>VLOOKUP(I704,SeasonFormats!$A$3:$B$999,2,0)</f>
        <v>Series</v>
      </c>
      <c r="K704" s="3">
        <v>160</v>
      </c>
      <c r="L704" s="3">
        <v>4</v>
      </c>
      <c r="M704" s="3" t="s">
        <v>25</v>
      </c>
      <c r="N704" s="3">
        <v>1</v>
      </c>
      <c r="P704" s="3">
        <v>4</v>
      </c>
      <c r="Q704" s="7" t="d">
        <v>2005-04-16</v>
      </c>
      <c r="R704" s="3">
        <v>45</v>
      </c>
      <c r="T704" s="4" t="s">
        <v>1098</v>
      </c>
      <c r="U704" s="3" t="str" cm="1">
        <f t="array" ref="U704">_xlfn.TEXTJOIN(",",TRUE,_xlfn.XLOOKUP(_xlfn.FILTERXML("&lt;t&gt;&lt;s&gt;" &amp; SUBSTITUTE(T704,",","&lt;/s&gt;&lt;s&gt;") &amp; "&lt;/s&gt;&lt;/t&gt;", "//s"),Writers!$A$3:$A$999,Writers!$B$3:$B$999,""))</f>
        <v>Russell T Davies</v>
      </c>
      <c r="W704" s="3" t="str">
        <f>IF(V704="","",_xlfn.XLOOKUP(V704,Writers!$A$3:$A$999,Writers!$B$3:$B$999,""))</f>
        <v/>
      </c>
      <c r="X704" s="3">
        <v>7</v>
      </c>
      <c r="Y704" s="3">
        <v>7.63</v>
      </c>
      <c r="AA704" s="3">
        <f t="shared" si="30"/>
        <v>7.91</v>
      </c>
      <c r="AB704" s="3">
        <f t="shared" si="31"/>
        <v>8.6300000000000008</v>
      </c>
      <c r="AC704" s="3" t="str">
        <f t="shared" si="32"/>
        <v/>
      </c>
      <c r="AD704" s="3">
        <f>VLOOKUP(YEAR(Q704),Populations!$A$3:$B$999,2,0)</f>
        <v>60413300</v>
      </c>
      <c r="AE704" s="3">
        <f>(Calculations!B1/AD704)</f>
        <v>1.1306273949610399</v>
      </c>
      <c r="AG704" s="3">
        <v>2</v>
      </c>
      <c r="AH704" s="3" t="str">
        <f>VLOOKUP(AG704,WikiFormats!$A$3:$B$999,2,0)</f>
        <v>Episode</v>
      </c>
      <c r="AI704" s="3" t="s">
        <v>748</v>
      </c>
    </row>
    <row r="705" spans="1:35" s="3" customFormat="1" x14ac:dyDescent="0.55000000000000004">
      <c r="A705" s="3">
        <v>701</v>
      </c>
      <c r="B705" s="3">
        <v>3</v>
      </c>
      <c r="C705" s="3" t="str">
        <f>VLOOKUP(B705,Eras!$A$3:$B$999,2,0)</f>
        <v>New</v>
      </c>
      <c r="D705" s="3">
        <v>1</v>
      </c>
      <c r="E705" s="3" t="str">
        <f>VLOOKUP(D705,EpisodeFormats!$A$3:$B$999,2,0)</f>
        <v>Series</v>
      </c>
      <c r="F705" s="3">
        <v>9</v>
      </c>
      <c r="G705" s="3" t="str">
        <f>VLOOKUP(F705,Doctors!$A$3:$B$999,2,0)</f>
        <v>Christopher Eccleston</v>
      </c>
      <c r="H705" s="3">
        <v>1</v>
      </c>
      <c r="I705" s="3">
        <v>3</v>
      </c>
      <c r="J705" s="3" t="str">
        <f>VLOOKUP(I705,SeasonFormats!$A$3:$B$999,2,0)</f>
        <v>Series</v>
      </c>
      <c r="K705" s="3">
        <v>160</v>
      </c>
      <c r="L705" s="3">
        <v>4</v>
      </c>
      <c r="M705" s="3" t="s">
        <v>26</v>
      </c>
      <c r="N705" s="3">
        <v>2</v>
      </c>
      <c r="P705" s="3">
        <v>5</v>
      </c>
      <c r="Q705" s="7" t="d">
        <v>2005-04-23</v>
      </c>
      <c r="R705" s="3">
        <v>43</v>
      </c>
      <c r="T705" s="4" t="s">
        <v>1098</v>
      </c>
      <c r="U705" s="3" t="str" cm="1">
        <f t="array" ref="U705">_xlfn.TEXTJOIN(",",TRUE,_xlfn.XLOOKUP(_xlfn.FILTERXML("&lt;t&gt;&lt;s&gt;" &amp; SUBSTITUTE(T705,",","&lt;/s&gt;&lt;s&gt;") &amp; "&lt;/s&gt;&lt;/t&gt;", "//s"),Writers!$A$3:$A$999,Writers!$B$3:$B$999,""))</f>
        <v>Russell T Davies</v>
      </c>
      <c r="W705" s="3" t="str">
        <f>IF(V705="","",_xlfn.XLOOKUP(V705,Writers!$A$3:$A$999,Writers!$B$3:$B$999,""))</f>
        <v/>
      </c>
      <c r="X705" s="3">
        <v>7.33</v>
      </c>
      <c r="Y705" s="3">
        <v>7.98</v>
      </c>
      <c r="AA705" s="3">
        <f t="shared" si="30"/>
        <v>8.2899999999999991</v>
      </c>
      <c r="AB705" s="3">
        <f t="shared" si="31"/>
        <v>9.02</v>
      </c>
      <c r="AC705" s="3" t="str">
        <f t="shared" si="32"/>
        <v/>
      </c>
      <c r="AD705" s="3">
        <f>VLOOKUP(YEAR(Q705),Populations!$A$3:$B$999,2,0)</f>
        <v>60413300</v>
      </c>
      <c r="AE705" s="3">
        <f>(Calculations!B1/AD705)</f>
        <v>1.1306273949610399</v>
      </c>
      <c r="AF705" s="3" t="s">
        <v>529</v>
      </c>
      <c r="AG705" s="3">
        <v>2</v>
      </c>
      <c r="AH705" s="3" t="str">
        <f>VLOOKUP(AG705,WikiFormats!$A$3:$B$999,2,0)</f>
        <v>Episode</v>
      </c>
      <c r="AI705" s="3" t="s">
        <v>749</v>
      </c>
    </row>
    <row r="706" spans="1:35" s="3" customFormat="1" x14ac:dyDescent="0.55000000000000004">
      <c r="A706" s="3">
        <v>702</v>
      </c>
      <c r="B706" s="3">
        <v>3</v>
      </c>
      <c r="C706" s="3" t="str">
        <f>VLOOKUP(B706,Eras!$A$3:$B$999,2,0)</f>
        <v>New</v>
      </c>
      <c r="D706" s="3">
        <v>1</v>
      </c>
      <c r="E706" s="3" t="str">
        <f>VLOOKUP(D706,EpisodeFormats!$A$3:$B$999,2,0)</f>
        <v>Series</v>
      </c>
      <c r="F706" s="3">
        <v>9</v>
      </c>
      <c r="G706" s="3" t="str">
        <f>VLOOKUP(F706,Doctors!$A$3:$B$999,2,0)</f>
        <v>Christopher Eccleston</v>
      </c>
      <c r="H706" s="3">
        <v>1</v>
      </c>
      <c r="I706" s="3">
        <v>3</v>
      </c>
      <c r="J706" s="3" t="str">
        <f>VLOOKUP(I706,SeasonFormats!$A$3:$B$999,2,0)</f>
        <v>Series</v>
      </c>
      <c r="K706" s="3">
        <v>161</v>
      </c>
      <c r="L706" s="3">
        <v>5</v>
      </c>
      <c r="M706" s="3" t="s">
        <v>27</v>
      </c>
      <c r="N706" s="3">
        <v>1</v>
      </c>
      <c r="P706" s="3">
        <v>6</v>
      </c>
      <c r="Q706" s="7" t="d">
        <v>2005-04-30</v>
      </c>
      <c r="R706" s="3">
        <v>45</v>
      </c>
      <c r="T706" s="4" t="s">
        <v>1163</v>
      </c>
      <c r="U706" s="3" t="str" cm="1">
        <f t="array" ref="U706">_xlfn.TEXTJOIN(",",TRUE,_xlfn.XLOOKUP(_xlfn.FILTERXML("&lt;t&gt;&lt;s&gt;" &amp; SUBSTITUTE(T706,",","&lt;/s&gt;&lt;s&gt;") &amp; "&lt;/s&gt;&lt;/t&gt;", "//s"),Writers!$A$3:$A$999,Writers!$B$3:$B$999,""))</f>
        <v>Robert Shearman</v>
      </c>
      <c r="W706" s="3" t="str">
        <f>IF(V706="","",_xlfn.XLOOKUP(V706,Writers!$A$3:$A$999,Writers!$B$3:$B$999,""))</f>
        <v/>
      </c>
      <c r="X706" s="3">
        <v>7.73</v>
      </c>
      <c r="Y706" s="3">
        <v>8.6300000000000008</v>
      </c>
      <c r="AA706" s="3">
        <f t="shared" si="30"/>
        <v>8.74</v>
      </c>
      <c r="AB706" s="3">
        <f t="shared" si="31"/>
        <v>9.76</v>
      </c>
      <c r="AC706" s="3" t="str">
        <f t="shared" si="32"/>
        <v/>
      </c>
      <c r="AD706" s="3">
        <f>VLOOKUP(YEAR(Q706),Populations!$A$3:$B$999,2,0)</f>
        <v>60413300</v>
      </c>
      <c r="AE706" s="3">
        <f>(Calculations!B1/AD706)</f>
        <v>1.1306273949610399</v>
      </c>
      <c r="AF706" s="3" t="s">
        <v>530</v>
      </c>
      <c r="AG706" s="3">
        <v>2</v>
      </c>
      <c r="AH706" s="3" t="str">
        <f>VLOOKUP(AG706,WikiFormats!$A$3:$B$999,2,0)</f>
        <v>Episode</v>
      </c>
      <c r="AI706" s="3" t="s">
        <v>750</v>
      </c>
    </row>
    <row r="707" spans="1:35" s="3" customFormat="1" x14ac:dyDescent="0.55000000000000004">
      <c r="A707" s="3">
        <v>703</v>
      </c>
      <c r="B707" s="3">
        <v>3</v>
      </c>
      <c r="C707" s="3" t="str">
        <f>VLOOKUP(B707,Eras!$A$3:$B$999,2,0)</f>
        <v>New</v>
      </c>
      <c r="D707" s="3">
        <v>1</v>
      </c>
      <c r="E707" s="3" t="str">
        <f>VLOOKUP(D707,EpisodeFormats!$A$3:$B$999,2,0)</f>
        <v>Series</v>
      </c>
      <c r="F707" s="3">
        <v>9</v>
      </c>
      <c r="G707" s="3" t="str">
        <f>VLOOKUP(F707,Doctors!$A$3:$B$999,2,0)</f>
        <v>Christopher Eccleston</v>
      </c>
      <c r="H707" s="3">
        <v>1</v>
      </c>
      <c r="I707" s="3">
        <v>3</v>
      </c>
      <c r="J707" s="3" t="str">
        <f>VLOOKUP(I707,SeasonFormats!$A$3:$B$999,2,0)</f>
        <v>Series</v>
      </c>
      <c r="K707" s="3">
        <v>162</v>
      </c>
      <c r="L707" s="3">
        <v>6</v>
      </c>
      <c r="M707" s="3" t="s">
        <v>28</v>
      </c>
      <c r="N707" s="3">
        <v>1</v>
      </c>
      <c r="P707" s="3">
        <v>7</v>
      </c>
      <c r="Q707" s="7" t="d">
        <v>2005-05-07</v>
      </c>
      <c r="R707" s="3">
        <v>44</v>
      </c>
      <c r="T707" s="4" t="s">
        <v>1098</v>
      </c>
      <c r="U707" s="3" t="str" cm="1">
        <f t="array" ref="U707">_xlfn.TEXTJOIN(",",TRUE,_xlfn.XLOOKUP(_xlfn.FILTERXML("&lt;t&gt;&lt;s&gt;" &amp; SUBSTITUTE(T707,",","&lt;/s&gt;&lt;s&gt;") &amp; "&lt;/s&gt;&lt;/t&gt;", "//s"),Writers!$A$3:$A$999,Writers!$B$3:$B$999,""))</f>
        <v>Russell T Davies</v>
      </c>
      <c r="W707" s="3" t="str">
        <f>IF(V707="","",_xlfn.XLOOKUP(V707,Writers!$A$3:$A$999,Writers!$B$3:$B$999,""))</f>
        <v/>
      </c>
      <c r="X707" s="3">
        <v>7.51</v>
      </c>
      <c r="Y707" s="3">
        <v>8.01</v>
      </c>
      <c r="AA707" s="3">
        <f t="shared" si="30"/>
        <v>8.49</v>
      </c>
      <c r="AB707" s="3">
        <f t="shared" si="31"/>
        <v>9.06</v>
      </c>
      <c r="AC707" s="3" t="str">
        <f t="shared" si="32"/>
        <v/>
      </c>
      <c r="AD707" s="3">
        <f>VLOOKUP(YEAR(Q707),Populations!$A$3:$B$999,2,0)</f>
        <v>60413300</v>
      </c>
      <c r="AE707" s="3">
        <f>(Calculations!B1/AD707)</f>
        <v>1.1306273949610399</v>
      </c>
      <c r="AG707" s="3">
        <v>2</v>
      </c>
      <c r="AH707" s="3" t="str">
        <f>VLOOKUP(AG707,WikiFormats!$A$3:$B$999,2,0)</f>
        <v>Episode</v>
      </c>
      <c r="AI707" s="3" t="s">
        <v>751</v>
      </c>
    </row>
    <row r="708" spans="1:35" s="3" customFormat="1" x14ac:dyDescent="0.55000000000000004">
      <c r="A708" s="3">
        <v>704</v>
      </c>
      <c r="B708" s="3">
        <v>3</v>
      </c>
      <c r="C708" s="3" t="str">
        <f>VLOOKUP(B708,Eras!$A$3:$B$999,2,0)</f>
        <v>New</v>
      </c>
      <c r="D708" s="3">
        <v>1</v>
      </c>
      <c r="E708" s="3" t="str">
        <f>VLOOKUP(D708,EpisodeFormats!$A$3:$B$999,2,0)</f>
        <v>Series</v>
      </c>
      <c r="F708" s="3">
        <v>9</v>
      </c>
      <c r="G708" s="3" t="str">
        <f>VLOOKUP(F708,Doctors!$A$3:$B$999,2,0)</f>
        <v>Christopher Eccleston</v>
      </c>
      <c r="H708" s="3">
        <v>1</v>
      </c>
      <c r="I708" s="3">
        <v>3</v>
      </c>
      <c r="J708" s="3" t="str">
        <f>VLOOKUP(I708,SeasonFormats!$A$3:$B$999,2,0)</f>
        <v>Series</v>
      </c>
      <c r="K708" s="3">
        <v>163</v>
      </c>
      <c r="L708" s="3">
        <v>7</v>
      </c>
      <c r="M708" s="3" t="s">
        <v>29</v>
      </c>
      <c r="N708" s="3">
        <v>1</v>
      </c>
      <c r="P708" s="3">
        <v>8</v>
      </c>
      <c r="Q708" s="7" t="d">
        <v>2005-05-14</v>
      </c>
      <c r="R708" s="3">
        <v>43</v>
      </c>
      <c r="T708" s="4" t="s">
        <v>1094</v>
      </c>
      <c r="U708" s="3" t="str" cm="1">
        <f t="array" ref="U708">_xlfn.TEXTJOIN(",",TRUE,_xlfn.XLOOKUP(_xlfn.FILTERXML("&lt;t&gt;&lt;s&gt;" &amp; SUBSTITUTE(T708,",","&lt;/s&gt;&lt;s&gt;") &amp; "&lt;/s&gt;&lt;/t&gt;", "//s"),Writers!$A$3:$A$999,Writers!$B$3:$B$999,""))</f>
        <v>Paul Cornell</v>
      </c>
      <c r="W708" s="3" t="str">
        <f>IF(V708="","",_xlfn.XLOOKUP(V708,Writers!$A$3:$A$999,Writers!$B$3:$B$999,""))</f>
        <v/>
      </c>
      <c r="X708" s="3">
        <v>7.47</v>
      </c>
      <c r="Y708" s="3">
        <v>8.06</v>
      </c>
      <c r="AA708" s="3">
        <f t="shared" ref="AA708:AA771" si="33">IF(ISBLANK(X708),"",ROUND(X708*AE708,2))</f>
        <v>8.4499999999999993</v>
      </c>
      <c r="AB708" s="3">
        <f t="shared" ref="AB708:AB771" si="34">IF(ISBLANK(Y708),"",ROUND(Y708*AE708,2))</f>
        <v>9.11</v>
      </c>
      <c r="AC708" s="3" t="str">
        <f t="shared" ref="AC708:AC771" si="35">IF(ISBLANK(Z708),"",ROUND(Z708*AE708,2))</f>
        <v/>
      </c>
      <c r="AD708" s="3">
        <f>VLOOKUP(YEAR(Q708),Populations!$A$3:$B$999,2,0)</f>
        <v>60413300</v>
      </c>
      <c r="AE708" s="3">
        <f>(Calculations!B1/AD708)</f>
        <v>1.1306273949610399</v>
      </c>
      <c r="AG708" s="3">
        <v>2</v>
      </c>
      <c r="AH708" s="3" t="str">
        <f>VLOOKUP(AG708,WikiFormats!$A$3:$B$999,2,0)</f>
        <v>Episode</v>
      </c>
      <c r="AI708" s="3" t="s">
        <v>752</v>
      </c>
    </row>
    <row r="709" spans="1:35" s="3" customFormat="1" x14ac:dyDescent="0.55000000000000004">
      <c r="A709" s="3">
        <v>705</v>
      </c>
      <c r="B709" s="3">
        <v>3</v>
      </c>
      <c r="C709" s="3" t="str">
        <f>VLOOKUP(B709,Eras!$A$3:$B$999,2,0)</f>
        <v>New</v>
      </c>
      <c r="D709" s="3">
        <v>1</v>
      </c>
      <c r="E709" s="3" t="str">
        <f>VLOOKUP(D709,EpisodeFormats!$A$3:$B$999,2,0)</f>
        <v>Series</v>
      </c>
      <c r="F709" s="3">
        <v>9</v>
      </c>
      <c r="G709" s="3" t="str">
        <f>VLOOKUP(F709,Doctors!$A$3:$B$999,2,0)</f>
        <v>Christopher Eccleston</v>
      </c>
      <c r="H709" s="3">
        <v>1</v>
      </c>
      <c r="I709" s="3">
        <v>3</v>
      </c>
      <c r="J709" s="3" t="str">
        <f>VLOOKUP(I709,SeasonFormats!$A$3:$B$999,2,0)</f>
        <v>Series</v>
      </c>
      <c r="K709" s="3">
        <v>164</v>
      </c>
      <c r="L709" s="3">
        <v>8</v>
      </c>
      <c r="M709" s="3" t="s">
        <v>30</v>
      </c>
      <c r="N709" s="3">
        <v>1</v>
      </c>
      <c r="P709" s="3">
        <v>9</v>
      </c>
      <c r="Q709" s="7" t="d">
        <v>2005-05-21</v>
      </c>
      <c r="R709" s="3">
        <v>42</v>
      </c>
      <c r="T709" s="4" t="s">
        <v>1153</v>
      </c>
      <c r="U709" s="3" t="str" cm="1">
        <f t="array" ref="U709">_xlfn.TEXTJOIN(",",TRUE,_xlfn.XLOOKUP(_xlfn.FILTERXML("&lt;t&gt;&lt;s&gt;" &amp; SUBSTITUTE(T709,",","&lt;/s&gt;&lt;s&gt;") &amp; "&lt;/s&gt;&lt;/t&gt;", "//s"),Writers!$A$3:$A$999,Writers!$B$3:$B$999,""))</f>
        <v>Steven Moffat</v>
      </c>
      <c r="W709" s="3" t="str">
        <f>IF(V709="","",_xlfn.XLOOKUP(V709,Writers!$A$3:$A$999,Writers!$B$3:$B$999,""))</f>
        <v/>
      </c>
      <c r="X709" s="3">
        <v>6.6</v>
      </c>
      <c r="Y709" s="3">
        <v>7.11</v>
      </c>
      <c r="AA709" s="3">
        <f t="shared" si="33"/>
        <v>7.46</v>
      </c>
      <c r="AB709" s="3">
        <f t="shared" si="34"/>
        <v>8.0399999999999991</v>
      </c>
      <c r="AC709" s="3" t="str">
        <f t="shared" si="35"/>
        <v/>
      </c>
      <c r="AD709" s="3">
        <f>VLOOKUP(YEAR(Q709),Populations!$A$3:$B$999,2,0)</f>
        <v>60413300</v>
      </c>
      <c r="AE709" s="3">
        <f>(Calculations!B1/AD709)</f>
        <v>1.1306273949610399</v>
      </c>
      <c r="AG709" s="3">
        <v>2</v>
      </c>
      <c r="AH709" s="3" t="str">
        <f>VLOOKUP(AG709,WikiFormats!$A$3:$B$999,2,0)</f>
        <v>Episode</v>
      </c>
      <c r="AI709" s="3" t="s">
        <v>753</v>
      </c>
    </row>
    <row r="710" spans="1:35" s="3" customFormat="1" x14ac:dyDescent="0.55000000000000004">
      <c r="A710" s="3">
        <v>706</v>
      </c>
      <c r="B710" s="3">
        <v>3</v>
      </c>
      <c r="C710" s="3" t="str">
        <f>VLOOKUP(B710,Eras!$A$3:$B$999,2,0)</f>
        <v>New</v>
      </c>
      <c r="D710" s="3">
        <v>1</v>
      </c>
      <c r="E710" s="3" t="str">
        <f>VLOOKUP(D710,EpisodeFormats!$A$3:$B$999,2,0)</f>
        <v>Series</v>
      </c>
      <c r="F710" s="3">
        <v>9</v>
      </c>
      <c r="G710" s="3" t="str">
        <f>VLOOKUP(F710,Doctors!$A$3:$B$999,2,0)</f>
        <v>Christopher Eccleston</v>
      </c>
      <c r="H710" s="3">
        <v>1</v>
      </c>
      <c r="I710" s="3">
        <v>3</v>
      </c>
      <c r="J710" s="3" t="str">
        <f>VLOOKUP(I710,SeasonFormats!$A$3:$B$999,2,0)</f>
        <v>Series</v>
      </c>
      <c r="K710" s="3">
        <v>164</v>
      </c>
      <c r="L710" s="3">
        <v>8</v>
      </c>
      <c r="M710" s="3" t="s">
        <v>31</v>
      </c>
      <c r="N710" s="3">
        <v>2</v>
      </c>
      <c r="P710" s="3">
        <v>10</v>
      </c>
      <c r="Q710" s="7" t="d">
        <v>2005-05-28</v>
      </c>
      <c r="R710" s="3">
        <v>43</v>
      </c>
      <c r="T710" s="4" t="s">
        <v>1153</v>
      </c>
      <c r="U710" s="3" t="str" cm="1">
        <f t="array" ref="U710">_xlfn.TEXTJOIN(",",TRUE,_xlfn.XLOOKUP(_xlfn.FILTERXML("&lt;t&gt;&lt;s&gt;" &amp; SUBSTITUTE(T710,",","&lt;/s&gt;&lt;s&gt;") &amp; "&lt;/s&gt;&lt;/t&gt;", "//s"),Writers!$A$3:$A$999,Writers!$B$3:$B$999,""))</f>
        <v>Steven Moffat</v>
      </c>
      <c r="W710" s="3" t="str">
        <f>IF(V710="","",_xlfn.XLOOKUP(V710,Writers!$A$3:$A$999,Writers!$B$3:$B$999,""))</f>
        <v/>
      </c>
      <c r="X710" s="3">
        <v>6.17</v>
      </c>
      <c r="Y710" s="3">
        <v>6.86</v>
      </c>
      <c r="AA710" s="3">
        <f t="shared" si="33"/>
        <v>6.98</v>
      </c>
      <c r="AB710" s="3">
        <f t="shared" si="34"/>
        <v>7.76</v>
      </c>
      <c r="AC710" s="3" t="str">
        <f t="shared" si="35"/>
        <v/>
      </c>
      <c r="AD710" s="3">
        <f>VLOOKUP(YEAR(Q710),Populations!$A$3:$B$999,2,0)</f>
        <v>60413300</v>
      </c>
      <c r="AE710" s="3">
        <f>(Calculations!B1/AD710)</f>
        <v>1.1306273949610399</v>
      </c>
      <c r="AG710" s="3">
        <v>2</v>
      </c>
      <c r="AH710" s="3" t="str">
        <f>VLOOKUP(AG710,WikiFormats!$A$3:$B$999,2,0)</f>
        <v>Episode</v>
      </c>
      <c r="AI710" s="3" t="s">
        <v>754</v>
      </c>
    </row>
    <row r="711" spans="1:35" s="3" customFormat="1" x14ac:dyDescent="0.55000000000000004">
      <c r="A711" s="3">
        <v>707</v>
      </c>
      <c r="B711" s="3">
        <v>3</v>
      </c>
      <c r="C711" s="3" t="str">
        <f>VLOOKUP(B711,Eras!$A$3:$B$999,2,0)</f>
        <v>New</v>
      </c>
      <c r="D711" s="3">
        <v>1</v>
      </c>
      <c r="E711" s="3" t="str">
        <f>VLOOKUP(D711,EpisodeFormats!$A$3:$B$999,2,0)</f>
        <v>Series</v>
      </c>
      <c r="F711" s="3">
        <v>9</v>
      </c>
      <c r="G711" s="3" t="str">
        <f>VLOOKUP(F711,Doctors!$A$3:$B$999,2,0)</f>
        <v>Christopher Eccleston</v>
      </c>
      <c r="H711" s="3">
        <v>1</v>
      </c>
      <c r="I711" s="3">
        <v>3</v>
      </c>
      <c r="J711" s="3" t="str">
        <f>VLOOKUP(I711,SeasonFormats!$A$3:$B$999,2,0)</f>
        <v>Series</v>
      </c>
      <c r="K711" s="3">
        <v>165</v>
      </c>
      <c r="L711" s="3">
        <v>9</v>
      </c>
      <c r="M711" s="3" t="s">
        <v>32</v>
      </c>
      <c r="N711" s="3">
        <v>1</v>
      </c>
      <c r="P711" s="3">
        <v>11</v>
      </c>
      <c r="Q711" s="7" t="d">
        <v>2005-06-04</v>
      </c>
      <c r="R711" s="3">
        <v>43</v>
      </c>
      <c r="T711" s="4" t="s">
        <v>1098</v>
      </c>
      <c r="U711" s="3" t="str" cm="1">
        <f t="array" ref="U711">_xlfn.TEXTJOIN(",",TRUE,_xlfn.XLOOKUP(_xlfn.FILTERXML("&lt;t&gt;&lt;s&gt;" &amp; SUBSTITUTE(T711,",","&lt;/s&gt;&lt;s&gt;") &amp; "&lt;/s&gt;&lt;/t&gt;", "//s"),Writers!$A$3:$A$999,Writers!$B$3:$B$999,""))</f>
        <v>Russell T Davies</v>
      </c>
      <c r="W711" s="3" t="str">
        <f>IF(V711="","",_xlfn.XLOOKUP(V711,Writers!$A$3:$A$999,Writers!$B$3:$B$999,""))</f>
        <v/>
      </c>
      <c r="X711" s="3">
        <v>7.13</v>
      </c>
      <c r="Y711" s="3">
        <v>7.68</v>
      </c>
      <c r="AA711" s="3">
        <f t="shared" si="33"/>
        <v>8.06</v>
      </c>
      <c r="AB711" s="3">
        <f t="shared" si="34"/>
        <v>8.68</v>
      </c>
      <c r="AC711" s="3" t="str">
        <f t="shared" si="35"/>
        <v/>
      </c>
      <c r="AD711" s="3">
        <f>VLOOKUP(YEAR(Q711),Populations!$A$3:$B$999,2,0)</f>
        <v>60413300</v>
      </c>
      <c r="AE711" s="3">
        <f>(Calculations!B1/AD711)</f>
        <v>1.1306273949610399</v>
      </c>
      <c r="AG711" s="3">
        <v>2</v>
      </c>
      <c r="AH711" s="3" t="str">
        <f>VLOOKUP(AG711,WikiFormats!$A$3:$B$999,2,0)</f>
        <v>Episode</v>
      </c>
      <c r="AI711" s="3" t="s">
        <v>755</v>
      </c>
    </row>
    <row r="712" spans="1:35" s="3" customFormat="1" x14ac:dyDescent="0.55000000000000004">
      <c r="A712" s="3">
        <v>708</v>
      </c>
      <c r="B712" s="3">
        <v>3</v>
      </c>
      <c r="C712" s="3" t="str">
        <f>VLOOKUP(B712,Eras!$A$3:$B$999,2,0)</f>
        <v>New</v>
      </c>
      <c r="D712" s="3">
        <v>1</v>
      </c>
      <c r="E712" s="3" t="str">
        <f>VLOOKUP(D712,EpisodeFormats!$A$3:$B$999,2,0)</f>
        <v>Series</v>
      </c>
      <c r="F712" s="3">
        <v>9</v>
      </c>
      <c r="G712" s="3" t="str">
        <f>VLOOKUP(F712,Doctors!$A$3:$B$999,2,0)</f>
        <v>Christopher Eccleston</v>
      </c>
      <c r="H712" s="3">
        <v>1</v>
      </c>
      <c r="I712" s="3">
        <v>3</v>
      </c>
      <c r="J712" s="3" t="str">
        <f>VLOOKUP(I712,SeasonFormats!$A$3:$B$999,2,0)</f>
        <v>Series</v>
      </c>
      <c r="K712" s="3">
        <v>166</v>
      </c>
      <c r="L712" s="3">
        <v>10</v>
      </c>
      <c r="M712" s="3" t="s">
        <v>33</v>
      </c>
      <c r="N712" s="3">
        <v>1</v>
      </c>
      <c r="P712" s="3">
        <v>12</v>
      </c>
      <c r="Q712" s="7" t="d">
        <v>2005-06-11</v>
      </c>
      <c r="R712" s="3">
        <v>43</v>
      </c>
      <c r="T712" s="4" t="s">
        <v>1098</v>
      </c>
      <c r="U712" s="3" t="str" cm="1">
        <f t="array" ref="U712">_xlfn.TEXTJOIN(",",TRUE,_xlfn.XLOOKUP(_xlfn.FILTERXML("&lt;t&gt;&lt;s&gt;" &amp; SUBSTITUTE(T712,",","&lt;/s&gt;&lt;s&gt;") &amp; "&lt;/s&gt;&lt;/t&gt;", "//s"),Writers!$A$3:$A$999,Writers!$B$3:$B$999,""))</f>
        <v>Russell T Davies</v>
      </c>
      <c r="W712" s="3" t="str">
        <f>IF(V712="","",_xlfn.XLOOKUP(V712,Writers!$A$3:$A$999,Writers!$B$3:$B$999,""))</f>
        <v/>
      </c>
      <c r="X712" s="3">
        <v>6.16</v>
      </c>
      <c r="Y712" s="3">
        <v>6.81</v>
      </c>
      <c r="AA712" s="3">
        <f t="shared" si="33"/>
        <v>6.96</v>
      </c>
      <c r="AB712" s="3">
        <f t="shared" si="34"/>
        <v>7.7</v>
      </c>
      <c r="AC712" s="3" t="str">
        <f t="shared" si="35"/>
        <v/>
      </c>
      <c r="AD712" s="3">
        <f>VLOOKUP(YEAR(Q712),Populations!$A$3:$B$999,2,0)</f>
        <v>60413300</v>
      </c>
      <c r="AE712" s="3">
        <f>(Calculations!B1/AD712)</f>
        <v>1.1306273949610399</v>
      </c>
      <c r="AF712" s="3" t="s">
        <v>529</v>
      </c>
      <c r="AG712" s="3">
        <v>2</v>
      </c>
      <c r="AH712" s="3" t="str">
        <f>VLOOKUP(AG712,WikiFormats!$A$3:$B$999,2,0)</f>
        <v>Episode</v>
      </c>
      <c r="AI712" s="3" t="s">
        <v>756</v>
      </c>
    </row>
    <row r="713" spans="1:35" s="3" customFormat="1" x14ac:dyDescent="0.55000000000000004">
      <c r="A713" s="3">
        <v>709</v>
      </c>
      <c r="B713" s="3">
        <v>3</v>
      </c>
      <c r="C713" s="3" t="str">
        <f>VLOOKUP(B713,Eras!$A$3:$B$999,2,0)</f>
        <v>New</v>
      </c>
      <c r="D713" s="3">
        <v>1</v>
      </c>
      <c r="E713" s="3" t="str">
        <f>VLOOKUP(D713,EpisodeFormats!$A$3:$B$999,2,0)</f>
        <v>Series</v>
      </c>
      <c r="F713" s="3">
        <v>9</v>
      </c>
      <c r="G713" s="3" t="str">
        <f>VLOOKUP(F713,Doctors!$A$3:$B$999,2,0)</f>
        <v>Christopher Eccleston</v>
      </c>
      <c r="H713" s="3">
        <v>1</v>
      </c>
      <c r="I713" s="3">
        <v>3</v>
      </c>
      <c r="J713" s="3" t="str">
        <f>VLOOKUP(I713,SeasonFormats!$A$3:$B$999,2,0)</f>
        <v>Series</v>
      </c>
      <c r="K713" s="3">
        <v>166</v>
      </c>
      <c r="L713" s="3">
        <v>10</v>
      </c>
      <c r="M713" s="3" t="s">
        <v>34</v>
      </c>
      <c r="N713" s="3">
        <v>2</v>
      </c>
      <c r="P713" s="3">
        <v>13</v>
      </c>
      <c r="Q713" s="7" t="d">
        <v>2005-06-18</v>
      </c>
      <c r="R713" s="3">
        <v>46</v>
      </c>
      <c r="T713" s="4" t="s">
        <v>1098</v>
      </c>
      <c r="U713" s="3" t="str" cm="1">
        <f t="array" ref="U713">_xlfn.TEXTJOIN(",",TRUE,_xlfn.XLOOKUP(_xlfn.FILTERXML("&lt;t&gt;&lt;s&gt;" &amp; SUBSTITUTE(T713,",","&lt;/s&gt;&lt;s&gt;") &amp; "&lt;/s&gt;&lt;/t&gt;", "//s"),Writers!$A$3:$A$999,Writers!$B$3:$B$999,""))</f>
        <v>Russell T Davies</v>
      </c>
      <c r="W713" s="3" t="str">
        <f>IF(V713="","",_xlfn.XLOOKUP(V713,Writers!$A$3:$A$999,Writers!$B$3:$B$999,""))</f>
        <v/>
      </c>
      <c r="X713" s="3">
        <v>6.2</v>
      </c>
      <c r="Y713" s="3">
        <v>6.91</v>
      </c>
      <c r="AA713" s="3">
        <f t="shared" si="33"/>
        <v>7.01</v>
      </c>
      <c r="AB713" s="3">
        <f t="shared" si="34"/>
        <v>7.81</v>
      </c>
      <c r="AC713" s="3" t="str">
        <f t="shared" si="35"/>
        <v/>
      </c>
      <c r="AD713" s="3">
        <f>VLOOKUP(YEAR(Q713),Populations!$A$3:$B$999,2,0)</f>
        <v>60413300</v>
      </c>
      <c r="AE713" s="3">
        <f>(Calculations!B1/AD713)</f>
        <v>1.1306273949610399</v>
      </c>
      <c r="AG713" s="3">
        <v>2</v>
      </c>
      <c r="AH713" s="3" t="str">
        <f>VLOOKUP(AG713,WikiFormats!$A$3:$B$999,2,0)</f>
        <v>Episode</v>
      </c>
      <c r="AI713" s="3" t="s">
        <v>757</v>
      </c>
    </row>
    <row r="714" spans="1:35" x14ac:dyDescent="0.55000000000000004">
      <c r="A714">
        <v>710</v>
      </c>
      <c r="B714">
        <v>3</v>
      </c>
      <c r="C714" t="str">
        <f>VLOOKUP(B714,Eras!$A$3:$B$999,2,0)</f>
        <v>New</v>
      </c>
      <c r="D714">
        <v>2</v>
      </c>
      <c r="E714" t="str">
        <f>VLOOKUP(D714,EpisodeFormats!$A$3:$B$999,2,0)</f>
        <v>Special</v>
      </c>
      <c r="F714">
        <v>10</v>
      </c>
      <c r="G714" t="str">
        <f>VLOOKUP(F714,Doctors!$A$3:$B$999,2,0)</f>
        <v>David Tennant</v>
      </c>
      <c r="I714">
        <v>4</v>
      </c>
      <c r="J714" t="str">
        <f>VLOOKUP(I714,SeasonFormats!$A$3:$B$999,2,0)</f>
        <v>Special</v>
      </c>
      <c r="K714">
        <v>167</v>
      </c>
      <c r="M714" t="s">
        <v>35</v>
      </c>
      <c r="N714">
        <v>1</v>
      </c>
      <c r="Q714" s="6" t="d">
        <v>2005-12-25</v>
      </c>
      <c r="R714">
        <v>59</v>
      </c>
      <c r="T714" s="15" t="s">
        <v>1098</v>
      </c>
      <c r="U714" t="str" cm="1">
        <f t="array" ref="U714">_xlfn.TEXTJOIN(",",TRUE,_xlfn.XLOOKUP(_xlfn.FILTERXML("&lt;t&gt;&lt;s&gt;" &amp; SUBSTITUTE(T714,",","&lt;/s&gt;&lt;s&gt;") &amp; "&lt;/s&gt;&lt;/t&gt;", "//s"),Writers!$A$3:$A$999,Writers!$B$3:$B$999,""))</f>
        <v>Russell T Davies</v>
      </c>
      <c r="W714" t="str">
        <f>IF(V714="","",_xlfn.XLOOKUP(V714,Writers!$A$3:$A$999,Writers!$B$3:$B$999,""))</f>
        <v/>
      </c>
      <c r="X714">
        <v>9.4</v>
      </c>
      <c r="Y714">
        <v>9.84</v>
      </c>
      <c r="AA714">
        <f t="shared" si="33"/>
        <v>10.63</v>
      </c>
      <c r="AB714">
        <f t="shared" si="34"/>
        <v>11.13</v>
      </c>
      <c r="AC714" t="str">
        <f t="shared" si="35"/>
        <v/>
      </c>
      <c r="AD714">
        <f>VLOOKUP(YEAR(Q714),Populations!$A$3:$B$999,2,0)</f>
        <v>60413300</v>
      </c>
      <c r="AE714">
        <f>(Calculations!B1/AD714)</f>
        <v>1.1306273949610399</v>
      </c>
      <c r="AG714">
        <v>2</v>
      </c>
      <c r="AH714" t="str">
        <f>VLOOKUP(AG714,WikiFormats!$A$3:$B$999,2,0)</f>
        <v>Episode</v>
      </c>
      <c r="AI714" t="s">
        <v>758</v>
      </c>
    </row>
    <row r="715" spans="1:35" s="3" customFormat="1" x14ac:dyDescent="0.55000000000000004">
      <c r="A715" s="3">
        <v>711</v>
      </c>
      <c r="B715" s="3">
        <v>3</v>
      </c>
      <c r="C715" s="3" t="str">
        <f>VLOOKUP(B715,Eras!$A$3:$B$999,2,0)</f>
        <v>New</v>
      </c>
      <c r="D715" s="3">
        <v>1</v>
      </c>
      <c r="E715" s="3" t="str">
        <f>VLOOKUP(D715,EpisodeFormats!$A$3:$B$999,2,0)</f>
        <v>Series</v>
      </c>
      <c r="F715" s="3">
        <v>10</v>
      </c>
      <c r="G715" s="3" t="str">
        <f>VLOOKUP(F715,Doctors!$A$3:$B$999,2,0)</f>
        <v>David Tennant</v>
      </c>
      <c r="H715" s="3">
        <v>2</v>
      </c>
      <c r="I715" s="3">
        <v>3</v>
      </c>
      <c r="J715" s="3" t="str">
        <f>VLOOKUP(I715,SeasonFormats!$A$3:$B$999,2,0)</f>
        <v>Series</v>
      </c>
      <c r="K715" s="3">
        <v>168</v>
      </c>
      <c r="L715" s="3">
        <v>1</v>
      </c>
      <c r="M715" s="3" t="s">
        <v>48</v>
      </c>
      <c r="N715" s="3">
        <v>1</v>
      </c>
      <c r="P715" s="3">
        <v>1</v>
      </c>
      <c r="Q715" s="7" t="d">
        <v>2006-04-15</v>
      </c>
      <c r="R715" s="3">
        <v>44</v>
      </c>
      <c r="T715" s="4" t="s">
        <v>1098</v>
      </c>
      <c r="U715" s="3" t="str" cm="1">
        <f t="array" ref="U715">_xlfn.TEXTJOIN(",",TRUE,_xlfn.XLOOKUP(_xlfn.FILTERXML("&lt;t&gt;&lt;s&gt;" &amp; SUBSTITUTE(T715,",","&lt;/s&gt;&lt;s&gt;") &amp; "&lt;/s&gt;&lt;/t&gt;", "//s"),Writers!$A$3:$A$999,Writers!$B$3:$B$999,""))</f>
        <v>Russell T Davies</v>
      </c>
      <c r="W715" s="3" t="str">
        <f>IF(V715="","",_xlfn.XLOOKUP(V715,Writers!$A$3:$A$999,Writers!$B$3:$B$999,""))</f>
        <v/>
      </c>
      <c r="X715" s="3">
        <v>8.3000000000000007</v>
      </c>
      <c r="Y715" s="3">
        <v>8.6199999999999992</v>
      </c>
      <c r="AA715" s="3">
        <f t="shared" si="33"/>
        <v>9.32</v>
      </c>
      <c r="AB715" s="3">
        <f t="shared" si="34"/>
        <v>9.68</v>
      </c>
      <c r="AC715" s="3" t="str">
        <f t="shared" si="35"/>
        <v/>
      </c>
      <c r="AD715" s="3">
        <f>VLOOKUP(YEAR(Q715),Populations!$A$3:$B$999,2,0)</f>
        <v>60827000</v>
      </c>
      <c r="AE715" s="3">
        <f>(Calculations!B1/AD715)</f>
        <v>1.1229377085833601</v>
      </c>
      <c r="AG715" s="3">
        <v>2</v>
      </c>
      <c r="AH715" s="3" t="str">
        <f>VLOOKUP(AG715,WikiFormats!$A$3:$B$999,2,0)</f>
        <v>Episode</v>
      </c>
      <c r="AI715" s="3" t="s">
        <v>759</v>
      </c>
    </row>
    <row r="716" spans="1:35" s="3" customFormat="1" x14ac:dyDescent="0.55000000000000004">
      <c r="A716" s="3">
        <v>712</v>
      </c>
      <c r="B716" s="3">
        <v>3</v>
      </c>
      <c r="C716" s="3" t="str">
        <f>VLOOKUP(B716,Eras!$A$3:$B$999,2,0)</f>
        <v>New</v>
      </c>
      <c r="D716" s="3">
        <v>1</v>
      </c>
      <c r="E716" s="3" t="str">
        <f>VLOOKUP(D716,EpisodeFormats!$A$3:$B$999,2,0)</f>
        <v>Series</v>
      </c>
      <c r="F716" s="3">
        <v>10</v>
      </c>
      <c r="G716" s="3" t="str">
        <f>VLOOKUP(F716,Doctors!$A$3:$B$999,2,0)</f>
        <v>David Tennant</v>
      </c>
      <c r="H716" s="3">
        <v>2</v>
      </c>
      <c r="I716" s="3">
        <v>3</v>
      </c>
      <c r="J716" s="3" t="str">
        <f>VLOOKUP(I716,SeasonFormats!$A$3:$B$999,2,0)</f>
        <v>Series</v>
      </c>
      <c r="K716" s="3">
        <v>169</v>
      </c>
      <c r="L716" s="3">
        <v>2</v>
      </c>
      <c r="M716" s="3" t="s">
        <v>36</v>
      </c>
      <c r="N716" s="3">
        <v>1</v>
      </c>
      <c r="P716" s="3">
        <v>2</v>
      </c>
      <c r="Q716" s="7" t="d">
        <v>2006-04-22</v>
      </c>
      <c r="R716" s="3">
        <v>45</v>
      </c>
      <c r="T716" s="4" t="s">
        <v>1098</v>
      </c>
      <c r="U716" s="3" t="str" cm="1">
        <f t="array" ref="U716">_xlfn.TEXTJOIN(",",TRUE,_xlfn.XLOOKUP(_xlfn.FILTERXML("&lt;t&gt;&lt;s&gt;" &amp; SUBSTITUTE(T716,",","&lt;/s&gt;&lt;s&gt;") &amp; "&lt;/s&gt;&lt;/t&gt;", "//s"),Writers!$A$3:$A$999,Writers!$B$3:$B$999,""))</f>
        <v>Russell T Davies</v>
      </c>
      <c r="W716" s="3" t="str">
        <f>IF(V716="","",_xlfn.XLOOKUP(V716,Writers!$A$3:$A$999,Writers!$B$3:$B$999,""))</f>
        <v/>
      </c>
      <c r="X716" s="3">
        <v>8.73</v>
      </c>
      <c r="Y716" s="3">
        <v>9.24</v>
      </c>
      <c r="AA716" s="3">
        <f t="shared" si="33"/>
        <v>9.8000000000000007</v>
      </c>
      <c r="AB716" s="3">
        <f t="shared" si="34"/>
        <v>10.38</v>
      </c>
      <c r="AC716" s="3" t="str">
        <f t="shared" si="35"/>
        <v/>
      </c>
      <c r="AD716" s="3">
        <f>VLOOKUP(YEAR(Q716),Populations!$A$3:$B$999,2,0)</f>
        <v>60827000</v>
      </c>
      <c r="AE716" s="3">
        <f>(Calculations!B1/AD716)</f>
        <v>1.1229377085833601</v>
      </c>
      <c r="AF716" s="3" t="s">
        <v>531</v>
      </c>
      <c r="AG716" s="3">
        <v>2</v>
      </c>
      <c r="AH716" s="3" t="str">
        <f>VLOOKUP(AG716,WikiFormats!$A$3:$B$999,2,0)</f>
        <v>Episode</v>
      </c>
      <c r="AI716" s="3" t="s">
        <v>760</v>
      </c>
    </row>
    <row r="717" spans="1:35" s="3" customFormat="1" x14ac:dyDescent="0.55000000000000004">
      <c r="A717" s="3">
        <v>713</v>
      </c>
      <c r="B717" s="3">
        <v>3</v>
      </c>
      <c r="C717" s="3" t="str">
        <f>VLOOKUP(B717,Eras!$A$3:$B$999,2,0)</f>
        <v>New</v>
      </c>
      <c r="D717" s="3">
        <v>1</v>
      </c>
      <c r="E717" s="3" t="str">
        <f>VLOOKUP(D717,EpisodeFormats!$A$3:$B$999,2,0)</f>
        <v>Series</v>
      </c>
      <c r="F717" s="3">
        <v>10</v>
      </c>
      <c r="G717" s="3" t="str">
        <f>VLOOKUP(F717,Doctors!$A$3:$B$999,2,0)</f>
        <v>David Tennant</v>
      </c>
      <c r="H717" s="3">
        <v>2</v>
      </c>
      <c r="I717" s="3">
        <v>3</v>
      </c>
      <c r="J717" s="3" t="str">
        <f>VLOOKUP(I717,SeasonFormats!$A$3:$B$999,2,0)</f>
        <v>Series</v>
      </c>
      <c r="K717" s="3">
        <v>170</v>
      </c>
      <c r="L717" s="3">
        <v>3</v>
      </c>
      <c r="M717" s="3" t="s">
        <v>37</v>
      </c>
      <c r="N717" s="3">
        <v>1</v>
      </c>
      <c r="P717" s="3">
        <v>3</v>
      </c>
      <c r="Q717" s="7" t="d">
        <v>2006-04-29</v>
      </c>
      <c r="R717" s="3">
        <v>44</v>
      </c>
      <c r="T717" s="4" t="s">
        <v>1177</v>
      </c>
      <c r="U717" s="3" t="str" cm="1">
        <f t="array" ref="U717">_xlfn.TEXTJOIN(",",TRUE,_xlfn.XLOOKUP(_xlfn.FILTERXML("&lt;t&gt;&lt;s&gt;" &amp; SUBSTITUTE(T717,",","&lt;/s&gt;&lt;s&gt;") &amp; "&lt;/s&gt;&lt;/t&gt;", "//s"),Writers!$A$3:$A$999,Writers!$B$3:$B$999,""))</f>
        <v>Toby Whithouse</v>
      </c>
      <c r="W717" s="3" t="str">
        <f>IF(V717="","",_xlfn.XLOOKUP(V717,Writers!$A$3:$A$999,Writers!$B$3:$B$999,""))</f>
        <v/>
      </c>
      <c r="X717" s="3">
        <v>7.89</v>
      </c>
      <c r="Y717" s="3">
        <v>8.31</v>
      </c>
      <c r="AA717" s="3">
        <f t="shared" si="33"/>
        <v>8.86</v>
      </c>
      <c r="AB717" s="3">
        <f t="shared" si="34"/>
        <v>9.33</v>
      </c>
      <c r="AC717" s="3" t="str">
        <f t="shared" si="35"/>
        <v/>
      </c>
      <c r="AD717" s="3">
        <f>VLOOKUP(YEAR(Q717),Populations!$A$3:$B$999,2,0)</f>
        <v>60827000</v>
      </c>
      <c r="AE717" s="3">
        <f>(Calculations!B1/AD717)</f>
        <v>1.1229377085833601</v>
      </c>
      <c r="AF717" s="3" t="s">
        <v>532</v>
      </c>
      <c r="AG717" s="3">
        <v>2</v>
      </c>
      <c r="AH717" s="3" t="str">
        <f>VLOOKUP(AG717,WikiFormats!$A$3:$B$999,2,0)</f>
        <v>Episode</v>
      </c>
      <c r="AI717" s="3" t="s">
        <v>761</v>
      </c>
    </row>
    <row r="718" spans="1:35" s="3" customFormat="1" x14ac:dyDescent="0.55000000000000004">
      <c r="A718" s="3">
        <v>714</v>
      </c>
      <c r="B718" s="3">
        <v>3</v>
      </c>
      <c r="C718" s="3" t="str">
        <f>VLOOKUP(B718,Eras!$A$3:$B$999,2,0)</f>
        <v>New</v>
      </c>
      <c r="D718" s="3">
        <v>1</v>
      </c>
      <c r="E718" s="3" t="str">
        <f>VLOOKUP(D718,EpisodeFormats!$A$3:$B$999,2,0)</f>
        <v>Series</v>
      </c>
      <c r="F718" s="3">
        <v>10</v>
      </c>
      <c r="G718" s="3" t="str">
        <f>VLOOKUP(F718,Doctors!$A$3:$B$999,2,0)</f>
        <v>David Tennant</v>
      </c>
      <c r="H718" s="3">
        <v>2</v>
      </c>
      <c r="I718" s="3">
        <v>3</v>
      </c>
      <c r="J718" s="3" t="str">
        <f>VLOOKUP(I718,SeasonFormats!$A$3:$B$999,2,0)</f>
        <v>Series</v>
      </c>
      <c r="K718" s="3">
        <v>171</v>
      </c>
      <c r="L718" s="3">
        <v>4</v>
      </c>
      <c r="M718" s="3" t="s">
        <v>38</v>
      </c>
      <c r="N718" s="3">
        <v>1</v>
      </c>
      <c r="P718" s="3">
        <v>4</v>
      </c>
      <c r="Q718" s="7" t="d">
        <v>2006-05-06</v>
      </c>
      <c r="R718" s="3">
        <v>45</v>
      </c>
      <c r="T718" s="4" t="s">
        <v>1153</v>
      </c>
      <c r="U718" s="3" t="str" cm="1">
        <f t="array" ref="U718">_xlfn.TEXTJOIN(",",TRUE,_xlfn.XLOOKUP(_xlfn.FILTERXML("&lt;t&gt;&lt;s&gt;" &amp; SUBSTITUTE(T718,",","&lt;/s&gt;&lt;s&gt;") &amp; "&lt;/s&gt;&lt;/t&gt;", "//s"),Writers!$A$3:$A$999,Writers!$B$3:$B$999,""))</f>
        <v>Steven Moffat</v>
      </c>
      <c r="W718" s="3" t="str">
        <f>IF(V718="","",_xlfn.XLOOKUP(V718,Writers!$A$3:$A$999,Writers!$B$3:$B$999,""))</f>
        <v/>
      </c>
      <c r="X718" s="3">
        <v>7.39</v>
      </c>
      <c r="Y718" s="3">
        <v>7.9</v>
      </c>
      <c r="AA718" s="3">
        <f t="shared" si="33"/>
        <v>8.3000000000000007</v>
      </c>
      <c r="AB718" s="3">
        <f t="shared" si="34"/>
        <v>8.8699999999999992</v>
      </c>
      <c r="AC718" s="3" t="str">
        <f t="shared" si="35"/>
        <v/>
      </c>
      <c r="AD718" s="3">
        <f>VLOOKUP(YEAR(Q718),Populations!$A$3:$B$999,2,0)</f>
        <v>60827000</v>
      </c>
      <c r="AE718" s="3">
        <f>(Calculations!B1/AD718)</f>
        <v>1.1229377085833601</v>
      </c>
      <c r="AF718" s="3" t="s">
        <v>531</v>
      </c>
      <c r="AG718" s="3">
        <v>2</v>
      </c>
      <c r="AH718" s="3" t="str">
        <f>VLOOKUP(AG718,WikiFormats!$A$3:$B$999,2,0)</f>
        <v>Episode</v>
      </c>
      <c r="AI718" s="3" t="s">
        <v>762</v>
      </c>
    </row>
    <row r="719" spans="1:35" s="3" customFormat="1" x14ac:dyDescent="0.55000000000000004">
      <c r="A719" s="3">
        <v>715</v>
      </c>
      <c r="B719" s="3">
        <v>3</v>
      </c>
      <c r="C719" s="3" t="str">
        <f>VLOOKUP(B719,Eras!$A$3:$B$999,2,0)</f>
        <v>New</v>
      </c>
      <c r="D719" s="3">
        <v>1</v>
      </c>
      <c r="E719" s="3" t="str">
        <f>VLOOKUP(D719,EpisodeFormats!$A$3:$B$999,2,0)</f>
        <v>Series</v>
      </c>
      <c r="F719" s="3">
        <v>10</v>
      </c>
      <c r="G719" s="3" t="str">
        <f>VLOOKUP(F719,Doctors!$A$3:$B$999,2,0)</f>
        <v>David Tennant</v>
      </c>
      <c r="H719" s="3">
        <v>2</v>
      </c>
      <c r="I719" s="3">
        <v>3</v>
      </c>
      <c r="J719" s="3" t="str">
        <f>VLOOKUP(I719,SeasonFormats!$A$3:$B$999,2,0)</f>
        <v>Series</v>
      </c>
      <c r="K719" s="3">
        <v>172</v>
      </c>
      <c r="L719" s="3">
        <v>5</v>
      </c>
      <c r="M719" s="3" t="s">
        <v>39</v>
      </c>
      <c r="N719" s="3">
        <v>1</v>
      </c>
      <c r="P719" s="3">
        <v>5</v>
      </c>
      <c r="Q719" s="7" t="d">
        <v>2006-05-13</v>
      </c>
      <c r="R719" s="3">
        <v>46</v>
      </c>
      <c r="T719" s="4" t="s">
        <v>1138</v>
      </c>
      <c r="U719" s="3" t="str" cm="1">
        <f t="array" ref="U719">_xlfn.TEXTJOIN(",",TRUE,_xlfn.XLOOKUP(_xlfn.FILTERXML("&lt;t&gt;&lt;s&gt;" &amp; SUBSTITUTE(T719,",","&lt;/s&gt;&lt;s&gt;") &amp; "&lt;/s&gt;&lt;/t&gt;", "//s"),Writers!$A$3:$A$999,Writers!$B$3:$B$999,""))</f>
        <v>Tom MacRae</v>
      </c>
      <c r="W719" s="3" t="str">
        <f>IF(V719="","",_xlfn.XLOOKUP(V719,Writers!$A$3:$A$999,Writers!$B$3:$B$999,""))</f>
        <v/>
      </c>
      <c r="X719" s="3">
        <v>8.6</v>
      </c>
      <c r="Y719" s="3">
        <v>9.2200000000000006</v>
      </c>
      <c r="AA719" s="3">
        <f t="shared" si="33"/>
        <v>9.66</v>
      </c>
      <c r="AB719" s="3">
        <f t="shared" si="34"/>
        <v>10.35</v>
      </c>
      <c r="AC719" s="3" t="str">
        <f t="shared" si="35"/>
        <v/>
      </c>
      <c r="AD719" s="3">
        <f>VLOOKUP(YEAR(Q719),Populations!$A$3:$B$999,2,0)</f>
        <v>60827000</v>
      </c>
      <c r="AE719" s="3">
        <f>(Calculations!B1/AD719)</f>
        <v>1.1229377085833601</v>
      </c>
      <c r="AG719" s="3">
        <v>2</v>
      </c>
      <c r="AH719" s="3" t="str">
        <f>VLOOKUP(AG719,WikiFormats!$A$3:$B$999,2,0)</f>
        <v>Episode</v>
      </c>
      <c r="AI719" s="3" t="s">
        <v>763</v>
      </c>
    </row>
    <row r="720" spans="1:35" s="3" customFormat="1" x14ac:dyDescent="0.55000000000000004">
      <c r="A720" s="3">
        <v>716</v>
      </c>
      <c r="B720" s="3">
        <v>3</v>
      </c>
      <c r="C720" s="3" t="str">
        <f>VLOOKUP(B720,Eras!$A$3:$B$999,2,0)</f>
        <v>New</v>
      </c>
      <c r="D720" s="3">
        <v>1</v>
      </c>
      <c r="E720" s="3" t="str">
        <f>VLOOKUP(D720,EpisodeFormats!$A$3:$B$999,2,0)</f>
        <v>Series</v>
      </c>
      <c r="F720" s="3">
        <v>10</v>
      </c>
      <c r="G720" s="3" t="str">
        <f>VLOOKUP(F720,Doctors!$A$3:$B$999,2,0)</f>
        <v>David Tennant</v>
      </c>
      <c r="H720" s="3">
        <v>2</v>
      </c>
      <c r="I720" s="3">
        <v>3</v>
      </c>
      <c r="J720" s="3" t="str">
        <f>VLOOKUP(I720,SeasonFormats!$A$3:$B$999,2,0)</f>
        <v>Series</v>
      </c>
      <c r="K720" s="3">
        <v>172</v>
      </c>
      <c r="L720" s="3">
        <v>5</v>
      </c>
      <c r="M720" s="3" t="s">
        <v>40</v>
      </c>
      <c r="N720" s="3">
        <v>2</v>
      </c>
      <c r="P720" s="3">
        <v>6</v>
      </c>
      <c r="Q720" s="7" t="d">
        <v>2006-05-20</v>
      </c>
      <c r="R720" s="3">
        <v>46</v>
      </c>
      <c r="T720" s="4" t="s">
        <v>1138</v>
      </c>
      <c r="U720" s="3" t="str" cm="1">
        <f t="array" ref="U720">_xlfn.TEXTJOIN(",",TRUE,_xlfn.XLOOKUP(_xlfn.FILTERXML("&lt;t&gt;&lt;s&gt;" &amp; SUBSTITUTE(T720,",","&lt;/s&gt;&lt;s&gt;") &amp; "&lt;/s&gt;&lt;/t&gt;", "//s"),Writers!$A$3:$A$999,Writers!$B$3:$B$999,""))</f>
        <v>Tom MacRae</v>
      </c>
      <c r="W720" s="3" t="str">
        <f>IF(V720="","",_xlfn.XLOOKUP(V720,Writers!$A$3:$A$999,Writers!$B$3:$B$999,""))</f>
        <v/>
      </c>
      <c r="X720" s="3">
        <v>6.85</v>
      </c>
      <c r="Y720" s="3">
        <v>7.63</v>
      </c>
      <c r="AA720" s="3">
        <f t="shared" si="33"/>
        <v>7.69</v>
      </c>
      <c r="AB720" s="3">
        <f t="shared" si="34"/>
        <v>8.57</v>
      </c>
      <c r="AC720" s="3" t="str">
        <f t="shared" si="35"/>
        <v/>
      </c>
      <c r="AD720" s="3">
        <f>VLOOKUP(YEAR(Q720),Populations!$A$3:$B$999,2,0)</f>
        <v>60827000</v>
      </c>
      <c r="AE720" s="3">
        <f>(Calculations!B1/AD720)</f>
        <v>1.1229377085833601</v>
      </c>
      <c r="AG720" s="3">
        <v>2</v>
      </c>
      <c r="AH720" s="3" t="str">
        <f>VLOOKUP(AG720,WikiFormats!$A$3:$B$999,2,0)</f>
        <v>Episode</v>
      </c>
      <c r="AI720" s="3" t="s">
        <v>764</v>
      </c>
    </row>
    <row r="721" spans="1:35" s="3" customFormat="1" x14ac:dyDescent="0.55000000000000004">
      <c r="A721" s="3">
        <v>717</v>
      </c>
      <c r="B721" s="3">
        <v>3</v>
      </c>
      <c r="C721" s="3" t="str">
        <f>VLOOKUP(B721,Eras!$A$3:$B$999,2,0)</f>
        <v>New</v>
      </c>
      <c r="D721" s="3">
        <v>1</v>
      </c>
      <c r="E721" s="3" t="str">
        <f>VLOOKUP(D721,EpisodeFormats!$A$3:$B$999,2,0)</f>
        <v>Series</v>
      </c>
      <c r="F721" s="3">
        <v>10</v>
      </c>
      <c r="G721" s="3" t="str">
        <f>VLOOKUP(F721,Doctors!$A$3:$B$999,2,0)</f>
        <v>David Tennant</v>
      </c>
      <c r="H721" s="3">
        <v>2</v>
      </c>
      <c r="I721" s="3">
        <v>3</v>
      </c>
      <c r="J721" s="3" t="str">
        <f>VLOOKUP(I721,SeasonFormats!$A$3:$B$999,2,0)</f>
        <v>Series</v>
      </c>
      <c r="K721" s="3">
        <v>173</v>
      </c>
      <c r="L721" s="3">
        <v>6</v>
      </c>
      <c r="M721" s="3" t="s">
        <v>41</v>
      </c>
      <c r="N721" s="3">
        <v>1</v>
      </c>
      <c r="P721" s="3">
        <v>7</v>
      </c>
      <c r="Q721" s="7" t="d">
        <v>2006-05-27</v>
      </c>
      <c r="R721" s="3">
        <v>45</v>
      </c>
      <c r="T721" s="4" t="s">
        <v>1117</v>
      </c>
      <c r="U721" s="3" t="str" cm="1">
        <f t="array" ref="U721">_xlfn.TEXTJOIN(",",TRUE,_xlfn.XLOOKUP(_xlfn.FILTERXML("&lt;t&gt;&lt;s&gt;" &amp; SUBSTITUTE(T721,",","&lt;/s&gt;&lt;s&gt;") &amp; "&lt;/s&gt;&lt;/t&gt;", "//s"),Writers!$A$3:$A$999,Writers!$B$3:$B$999,""))</f>
        <v>Mark Gatiss</v>
      </c>
      <c r="W721" s="3" t="str">
        <f>IF(V721="","",_xlfn.XLOOKUP(V721,Writers!$A$3:$A$999,Writers!$B$3:$B$999,""))</f>
        <v/>
      </c>
      <c r="X721" s="3">
        <v>6.32</v>
      </c>
      <c r="Y721" s="3">
        <v>6.76</v>
      </c>
      <c r="AA721" s="3">
        <f t="shared" si="33"/>
        <v>7.1</v>
      </c>
      <c r="AB721" s="3">
        <f t="shared" si="34"/>
        <v>7.59</v>
      </c>
      <c r="AC721" s="3" t="str">
        <f t="shared" si="35"/>
        <v/>
      </c>
      <c r="AD721" s="3">
        <f>VLOOKUP(YEAR(Q721),Populations!$A$3:$B$999,2,0)</f>
        <v>60827000</v>
      </c>
      <c r="AE721" s="3">
        <f>(Calculations!B1/AD721)</f>
        <v>1.1229377085833601</v>
      </c>
      <c r="AG721" s="3">
        <v>2</v>
      </c>
      <c r="AH721" s="3" t="str">
        <f>VLOOKUP(AG721,WikiFormats!$A$3:$B$999,2,0)</f>
        <v>Episode</v>
      </c>
      <c r="AI721" s="3" t="s">
        <v>765</v>
      </c>
    </row>
    <row r="722" spans="1:35" s="3" customFormat="1" x14ac:dyDescent="0.55000000000000004">
      <c r="A722" s="3">
        <v>718</v>
      </c>
      <c r="B722" s="3">
        <v>3</v>
      </c>
      <c r="C722" s="3" t="str">
        <f>VLOOKUP(B722,Eras!$A$3:$B$999,2,0)</f>
        <v>New</v>
      </c>
      <c r="D722" s="3">
        <v>1</v>
      </c>
      <c r="E722" s="3" t="str">
        <f>VLOOKUP(D722,EpisodeFormats!$A$3:$B$999,2,0)</f>
        <v>Series</v>
      </c>
      <c r="F722" s="3">
        <v>10</v>
      </c>
      <c r="G722" s="3" t="str">
        <f>VLOOKUP(F722,Doctors!$A$3:$B$999,2,0)</f>
        <v>David Tennant</v>
      </c>
      <c r="H722" s="3">
        <v>2</v>
      </c>
      <c r="I722" s="3">
        <v>3</v>
      </c>
      <c r="J722" s="3" t="str">
        <f>VLOOKUP(I722,SeasonFormats!$A$3:$B$999,2,0)</f>
        <v>Series</v>
      </c>
      <c r="K722" s="3">
        <v>174</v>
      </c>
      <c r="L722" s="3">
        <v>7</v>
      </c>
      <c r="M722" s="3" t="s">
        <v>42</v>
      </c>
      <c r="N722" s="3">
        <v>1</v>
      </c>
      <c r="P722" s="3">
        <v>8</v>
      </c>
      <c r="Q722" s="7" t="d">
        <v>2006-06-03</v>
      </c>
      <c r="R722" s="3">
        <v>45</v>
      </c>
      <c r="T722" s="4" t="s">
        <v>1134</v>
      </c>
      <c r="U722" s="3" t="str" cm="1">
        <f t="array" ref="U722">_xlfn.TEXTJOIN(",",TRUE,_xlfn.XLOOKUP(_xlfn.FILTERXML("&lt;t&gt;&lt;s&gt;" &amp; SUBSTITUTE(T722,",","&lt;/s&gt;&lt;s&gt;") &amp; "&lt;/s&gt;&lt;/t&gt;", "//s"),Writers!$A$3:$A$999,Writers!$B$3:$B$999,""))</f>
        <v>Matt Jones</v>
      </c>
      <c r="W722" s="3" t="str">
        <f>IF(V722="","",_xlfn.XLOOKUP(V722,Writers!$A$3:$A$999,Writers!$B$3:$B$999,""))</f>
        <v/>
      </c>
      <c r="X722" s="3">
        <v>5.94</v>
      </c>
      <c r="Y722" s="3">
        <v>6.32</v>
      </c>
      <c r="AA722" s="3">
        <f t="shared" si="33"/>
        <v>6.67</v>
      </c>
      <c r="AB722" s="3">
        <f t="shared" si="34"/>
        <v>7.1</v>
      </c>
      <c r="AC722" s="3" t="str">
        <f t="shared" si="35"/>
        <v/>
      </c>
      <c r="AD722" s="3">
        <f>VLOOKUP(YEAR(Q722),Populations!$A$3:$B$999,2,0)</f>
        <v>60827000</v>
      </c>
      <c r="AE722" s="3">
        <f>(Calculations!B1/AD722)</f>
        <v>1.1229377085833601</v>
      </c>
      <c r="AG722" s="3">
        <v>2</v>
      </c>
      <c r="AH722" s="3" t="str">
        <f>VLOOKUP(AG722,WikiFormats!$A$3:$B$999,2,0)</f>
        <v>Episode</v>
      </c>
      <c r="AI722" s="3" t="s">
        <v>766</v>
      </c>
    </row>
    <row r="723" spans="1:35" s="3" customFormat="1" x14ac:dyDescent="0.55000000000000004">
      <c r="A723" s="3">
        <v>719</v>
      </c>
      <c r="B723" s="3">
        <v>3</v>
      </c>
      <c r="C723" s="3" t="str">
        <f>VLOOKUP(B723,Eras!$A$3:$B$999,2,0)</f>
        <v>New</v>
      </c>
      <c r="D723" s="3">
        <v>1</v>
      </c>
      <c r="E723" s="3" t="str">
        <f>VLOOKUP(D723,EpisodeFormats!$A$3:$B$999,2,0)</f>
        <v>Series</v>
      </c>
      <c r="F723" s="3">
        <v>10</v>
      </c>
      <c r="G723" s="3" t="str">
        <f>VLOOKUP(F723,Doctors!$A$3:$B$999,2,0)</f>
        <v>David Tennant</v>
      </c>
      <c r="H723" s="3">
        <v>2</v>
      </c>
      <c r="I723" s="3">
        <v>3</v>
      </c>
      <c r="J723" s="3" t="str">
        <f>VLOOKUP(I723,SeasonFormats!$A$3:$B$999,2,0)</f>
        <v>Series</v>
      </c>
      <c r="K723" s="3">
        <v>174</v>
      </c>
      <c r="L723" s="3">
        <v>7</v>
      </c>
      <c r="M723" s="3" t="s">
        <v>43</v>
      </c>
      <c r="N723" s="3">
        <v>2</v>
      </c>
      <c r="P723" s="3">
        <v>9</v>
      </c>
      <c r="Q723" s="7" t="d">
        <v>2006-06-10</v>
      </c>
      <c r="R723" s="3">
        <v>47</v>
      </c>
      <c r="T723" s="4" t="s">
        <v>1134</v>
      </c>
      <c r="U723" s="3" t="str" cm="1">
        <f t="array" ref="U723">_xlfn.TEXTJOIN(",",TRUE,_xlfn.XLOOKUP(_xlfn.FILTERXML("&lt;t&gt;&lt;s&gt;" &amp; SUBSTITUTE(T723,",","&lt;/s&gt;&lt;s&gt;") &amp; "&lt;/s&gt;&lt;/t&gt;", "//s"),Writers!$A$3:$A$999,Writers!$B$3:$B$999,""))</f>
        <v>Matt Jones</v>
      </c>
      <c r="W723" s="3" t="str">
        <f>IF(V723="","",_xlfn.XLOOKUP(V723,Writers!$A$3:$A$999,Writers!$B$3:$B$999,""))</f>
        <v/>
      </c>
      <c r="X723" s="3">
        <v>5.5</v>
      </c>
      <c r="Y723" s="3">
        <v>6.08</v>
      </c>
      <c r="AA723" s="3">
        <f t="shared" si="33"/>
        <v>6.18</v>
      </c>
      <c r="AB723" s="3">
        <f t="shared" si="34"/>
        <v>6.83</v>
      </c>
      <c r="AC723" s="3" t="str">
        <f t="shared" si="35"/>
        <v/>
      </c>
      <c r="AD723" s="3">
        <f>VLOOKUP(YEAR(Q723),Populations!$A$3:$B$999,2,0)</f>
        <v>60827000</v>
      </c>
      <c r="AE723" s="3">
        <f>(Calculations!B1/AD723)</f>
        <v>1.1229377085833601</v>
      </c>
      <c r="AG723" s="3">
        <v>2</v>
      </c>
      <c r="AH723" s="3" t="str">
        <f>VLOOKUP(AG723,WikiFormats!$A$3:$B$999,2,0)</f>
        <v>Episode</v>
      </c>
      <c r="AI723" s="3" t="s">
        <v>767</v>
      </c>
    </row>
    <row r="724" spans="1:35" s="3" customFormat="1" x14ac:dyDescent="0.55000000000000004">
      <c r="A724" s="3">
        <v>720</v>
      </c>
      <c r="B724" s="3">
        <v>3</v>
      </c>
      <c r="C724" s="3" t="str">
        <f>VLOOKUP(B724,Eras!$A$3:$B$999,2,0)</f>
        <v>New</v>
      </c>
      <c r="D724" s="3">
        <v>1</v>
      </c>
      <c r="E724" s="3" t="str">
        <f>VLOOKUP(D724,EpisodeFormats!$A$3:$B$999,2,0)</f>
        <v>Series</v>
      </c>
      <c r="F724" s="3">
        <v>10</v>
      </c>
      <c r="G724" s="3" t="str">
        <f>VLOOKUP(F724,Doctors!$A$3:$B$999,2,0)</f>
        <v>David Tennant</v>
      </c>
      <c r="H724" s="3">
        <v>2</v>
      </c>
      <c r="I724" s="3">
        <v>3</v>
      </c>
      <c r="J724" s="3" t="str">
        <f>VLOOKUP(I724,SeasonFormats!$A$3:$B$999,2,0)</f>
        <v>Series</v>
      </c>
      <c r="K724" s="3">
        <v>175</v>
      </c>
      <c r="L724" s="3">
        <v>8</v>
      </c>
      <c r="M724" s="3" t="s">
        <v>44</v>
      </c>
      <c r="N724" s="3">
        <v>1</v>
      </c>
      <c r="P724" s="3">
        <v>10</v>
      </c>
      <c r="Q724" s="7" t="d">
        <v>2006-06-17</v>
      </c>
      <c r="R724" s="3">
        <v>45</v>
      </c>
      <c r="T724" s="4" t="s">
        <v>1098</v>
      </c>
      <c r="U724" s="3" t="str" cm="1">
        <f t="array" ref="U724">_xlfn.TEXTJOIN(",",TRUE,_xlfn.XLOOKUP(_xlfn.FILTERXML("&lt;t&gt;&lt;s&gt;" &amp; SUBSTITUTE(T724,",","&lt;/s&gt;&lt;s&gt;") &amp; "&lt;/s&gt;&lt;/t&gt;", "//s"),Writers!$A$3:$A$999,Writers!$B$3:$B$999,""))</f>
        <v>Russell T Davies</v>
      </c>
      <c r="W724" s="3" t="str">
        <f>IF(V724="","",_xlfn.XLOOKUP(V724,Writers!$A$3:$A$999,Writers!$B$3:$B$999,""))</f>
        <v/>
      </c>
      <c r="X724" s="3">
        <v>6.22</v>
      </c>
      <c r="Y724" s="3">
        <v>6.66</v>
      </c>
      <c r="AA724" s="3">
        <f t="shared" si="33"/>
        <v>6.98</v>
      </c>
      <c r="AB724" s="3">
        <f t="shared" si="34"/>
        <v>7.48</v>
      </c>
      <c r="AC724" s="3" t="str">
        <f t="shared" si="35"/>
        <v/>
      </c>
      <c r="AD724" s="3">
        <f>VLOOKUP(YEAR(Q724),Populations!$A$3:$B$999,2,0)</f>
        <v>60827000</v>
      </c>
      <c r="AE724" s="3">
        <f>(Calculations!B1/AD724)</f>
        <v>1.1229377085833601</v>
      </c>
      <c r="AG724" s="3">
        <v>2</v>
      </c>
      <c r="AH724" s="3" t="str">
        <f>VLOOKUP(AG724,WikiFormats!$A$3:$B$999,2,0)</f>
        <v>Episode</v>
      </c>
      <c r="AI724" s="3" t="s">
        <v>768</v>
      </c>
    </row>
    <row r="725" spans="1:35" s="3" customFormat="1" x14ac:dyDescent="0.55000000000000004">
      <c r="A725" s="3">
        <v>721</v>
      </c>
      <c r="B725" s="3">
        <v>3</v>
      </c>
      <c r="C725" s="3" t="str">
        <f>VLOOKUP(B725,Eras!$A$3:$B$999,2,0)</f>
        <v>New</v>
      </c>
      <c r="D725" s="3">
        <v>1</v>
      </c>
      <c r="E725" s="3" t="str">
        <f>VLOOKUP(D725,EpisodeFormats!$A$3:$B$999,2,0)</f>
        <v>Series</v>
      </c>
      <c r="F725" s="3">
        <v>10</v>
      </c>
      <c r="G725" s="3" t="str">
        <f>VLOOKUP(F725,Doctors!$A$3:$B$999,2,0)</f>
        <v>David Tennant</v>
      </c>
      <c r="H725" s="3">
        <v>2</v>
      </c>
      <c r="I725" s="3">
        <v>3</v>
      </c>
      <c r="J725" s="3" t="str">
        <f>VLOOKUP(I725,SeasonFormats!$A$3:$B$999,2,0)</f>
        <v>Series</v>
      </c>
      <c r="K725" s="3">
        <v>176</v>
      </c>
      <c r="L725" s="3">
        <v>9</v>
      </c>
      <c r="M725" s="3" t="s">
        <v>45</v>
      </c>
      <c r="N725" s="3">
        <v>1</v>
      </c>
      <c r="P725" s="3">
        <v>11</v>
      </c>
      <c r="Q725" s="7" t="d">
        <v>2006-06-24</v>
      </c>
      <c r="R725" s="3">
        <v>44</v>
      </c>
      <c r="T725" s="4" t="s">
        <v>1108</v>
      </c>
      <c r="U725" s="3" t="str" cm="1">
        <f t="array" ref="U725">_xlfn.TEXTJOIN(",",TRUE,_xlfn.XLOOKUP(_xlfn.FILTERXML("&lt;t&gt;&lt;s&gt;" &amp; SUBSTITUTE(T725,",","&lt;/s&gt;&lt;s&gt;") &amp; "&lt;/s&gt;&lt;/t&gt;", "//s"),Writers!$A$3:$A$999,Writers!$B$3:$B$999,""))</f>
        <v>Matthew Graham</v>
      </c>
      <c r="W725" s="3" t="str">
        <f>IF(V725="","",_xlfn.XLOOKUP(V725,Writers!$A$3:$A$999,Writers!$B$3:$B$999,""))</f>
        <v/>
      </c>
      <c r="X725" s="3">
        <v>6.6</v>
      </c>
      <c r="Y725" s="3">
        <v>7.14</v>
      </c>
      <c r="AA725" s="3">
        <f t="shared" si="33"/>
        <v>7.41</v>
      </c>
      <c r="AB725" s="3">
        <f t="shared" si="34"/>
        <v>8.02</v>
      </c>
      <c r="AC725" s="3" t="str">
        <f t="shared" si="35"/>
        <v/>
      </c>
      <c r="AD725" s="3">
        <f>VLOOKUP(YEAR(Q725),Populations!$A$3:$B$999,2,0)</f>
        <v>60827000</v>
      </c>
      <c r="AE725" s="3">
        <f>(Calculations!B1/AD725)</f>
        <v>1.1229377085833601</v>
      </c>
      <c r="AG725" s="3">
        <v>2</v>
      </c>
      <c r="AH725" s="3" t="str">
        <f>VLOOKUP(AG725,WikiFormats!$A$3:$B$999,2,0)</f>
        <v>Episode</v>
      </c>
      <c r="AI725" s="3" t="s">
        <v>769</v>
      </c>
    </row>
    <row r="726" spans="1:35" s="3" customFormat="1" x14ac:dyDescent="0.55000000000000004">
      <c r="A726" s="3">
        <v>722</v>
      </c>
      <c r="B726" s="3">
        <v>3</v>
      </c>
      <c r="C726" s="3" t="str">
        <f>VLOOKUP(B726,Eras!$A$3:$B$999,2,0)</f>
        <v>New</v>
      </c>
      <c r="D726" s="3">
        <v>1</v>
      </c>
      <c r="E726" s="3" t="str">
        <f>VLOOKUP(D726,EpisodeFormats!$A$3:$B$999,2,0)</f>
        <v>Series</v>
      </c>
      <c r="F726" s="3">
        <v>10</v>
      </c>
      <c r="G726" s="3" t="str">
        <f>VLOOKUP(F726,Doctors!$A$3:$B$999,2,0)</f>
        <v>David Tennant</v>
      </c>
      <c r="H726" s="3">
        <v>2</v>
      </c>
      <c r="I726" s="3">
        <v>3</v>
      </c>
      <c r="J726" s="3" t="str">
        <f>VLOOKUP(I726,SeasonFormats!$A$3:$B$999,2,0)</f>
        <v>Series</v>
      </c>
      <c r="K726" s="3">
        <v>177</v>
      </c>
      <c r="L726" s="3">
        <v>10</v>
      </c>
      <c r="M726" s="3" t="s">
        <v>46</v>
      </c>
      <c r="N726" s="3">
        <v>1</v>
      </c>
      <c r="P726" s="3">
        <v>12</v>
      </c>
      <c r="Q726" s="7" t="d">
        <v>2006-07-01</v>
      </c>
      <c r="R726" s="3">
        <v>43</v>
      </c>
      <c r="T726" s="4" t="s">
        <v>1098</v>
      </c>
      <c r="U726" s="3" t="str" cm="1">
        <f t="array" ref="U726">_xlfn.TEXTJOIN(",",TRUE,_xlfn.XLOOKUP(_xlfn.FILTERXML("&lt;t&gt;&lt;s&gt;" &amp; SUBSTITUTE(T726,",","&lt;/s&gt;&lt;s&gt;") &amp; "&lt;/s&gt;&lt;/t&gt;", "//s"),Writers!$A$3:$A$999,Writers!$B$3:$B$999,""))</f>
        <v>Russell T Davies</v>
      </c>
      <c r="W726" s="3" t="str">
        <f>IF(V726="","",_xlfn.XLOOKUP(V726,Writers!$A$3:$A$999,Writers!$B$3:$B$999,""))</f>
        <v/>
      </c>
      <c r="X726" s="3">
        <v>7.68</v>
      </c>
      <c r="Y726" s="3">
        <v>8.19</v>
      </c>
      <c r="AA726" s="3">
        <f t="shared" si="33"/>
        <v>8.6199999999999992</v>
      </c>
      <c r="AB726" s="3">
        <f t="shared" si="34"/>
        <v>9.1999999999999993</v>
      </c>
      <c r="AC726" s="3" t="str">
        <f t="shared" si="35"/>
        <v/>
      </c>
      <c r="AD726" s="3">
        <f>VLOOKUP(YEAR(Q726),Populations!$A$3:$B$999,2,0)</f>
        <v>60827000</v>
      </c>
      <c r="AE726" s="3">
        <f>(Calculations!B1/AD726)</f>
        <v>1.1229377085833601</v>
      </c>
      <c r="AF726" s="3" t="s">
        <v>531</v>
      </c>
      <c r="AG726" s="3">
        <v>2</v>
      </c>
      <c r="AH726" s="3" t="str">
        <f>VLOOKUP(AG726,WikiFormats!$A$3:$B$999,2,0)</f>
        <v>Episode</v>
      </c>
      <c r="AI726" s="3" t="s">
        <v>770</v>
      </c>
    </row>
    <row r="727" spans="1:35" s="3" customFormat="1" x14ac:dyDescent="0.55000000000000004">
      <c r="A727" s="3">
        <v>723</v>
      </c>
      <c r="B727" s="3">
        <v>3</v>
      </c>
      <c r="C727" s="3" t="str">
        <f>VLOOKUP(B727,Eras!$A$3:$B$999,2,0)</f>
        <v>New</v>
      </c>
      <c r="D727" s="3">
        <v>1</v>
      </c>
      <c r="E727" s="3" t="str">
        <f>VLOOKUP(D727,EpisodeFormats!$A$3:$B$999,2,0)</f>
        <v>Series</v>
      </c>
      <c r="F727" s="3">
        <v>10</v>
      </c>
      <c r="G727" s="3" t="str">
        <f>VLOOKUP(F727,Doctors!$A$3:$B$999,2,0)</f>
        <v>David Tennant</v>
      </c>
      <c r="H727" s="3">
        <v>2</v>
      </c>
      <c r="I727" s="3">
        <v>3</v>
      </c>
      <c r="J727" s="3" t="str">
        <f>VLOOKUP(I727,SeasonFormats!$A$3:$B$999,2,0)</f>
        <v>Series</v>
      </c>
      <c r="K727" s="3">
        <v>177</v>
      </c>
      <c r="L727" s="3">
        <v>10</v>
      </c>
      <c r="M727" s="3" t="s">
        <v>47</v>
      </c>
      <c r="N727" s="3">
        <v>2</v>
      </c>
      <c r="P727" s="3">
        <v>13</v>
      </c>
      <c r="Q727" s="7" t="d">
        <v>2006-07-08</v>
      </c>
      <c r="R727" s="3">
        <v>46</v>
      </c>
      <c r="T727" s="4" t="s">
        <v>1098</v>
      </c>
      <c r="U727" s="3" t="str" cm="1">
        <f t="array" ref="U727">_xlfn.TEXTJOIN(",",TRUE,_xlfn.XLOOKUP(_xlfn.FILTERXML("&lt;t&gt;&lt;s&gt;" &amp; SUBSTITUTE(T727,",","&lt;/s&gt;&lt;s&gt;") &amp; "&lt;/s&gt;&lt;/t&gt;", "//s"),Writers!$A$3:$A$999,Writers!$B$3:$B$999,""))</f>
        <v>Russell T Davies</v>
      </c>
      <c r="W727" s="3" t="str">
        <f>IF(V727="","",_xlfn.XLOOKUP(V727,Writers!$A$3:$A$999,Writers!$B$3:$B$999,""))</f>
        <v/>
      </c>
      <c r="X727" s="3">
        <v>7.71</v>
      </c>
      <c r="Y727" s="3">
        <v>8.2200000000000006</v>
      </c>
      <c r="AA727" s="3">
        <f t="shared" si="33"/>
        <v>8.66</v>
      </c>
      <c r="AB727" s="3">
        <f t="shared" si="34"/>
        <v>9.23</v>
      </c>
      <c r="AC727" s="3" t="str">
        <f t="shared" si="35"/>
        <v/>
      </c>
      <c r="AD727" s="3">
        <f>VLOOKUP(YEAR(Q727),Populations!$A$3:$B$999,2,0)</f>
        <v>60827000</v>
      </c>
      <c r="AE727" s="3">
        <f>(Calculations!B1/AD727)</f>
        <v>1.1229377085833601</v>
      </c>
      <c r="AF727" s="3" t="s">
        <v>531</v>
      </c>
      <c r="AG727" s="3">
        <v>2</v>
      </c>
      <c r="AH727" s="3" t="str">
        <f>VLOOKUP(AG727,WikiFormats!$A$3:$B$999,2,0)</f>
        <v>Episode</v>
      </c>
      <c r="AI727" s="3" t="s">
        <v>771</v>
      </c>
    </row>
    <row r="728" spans="1:35" x14ac:dyDescent="0.55000000000000004">
      <c r="A728">
        <v>724</v>
      </c>
      <c r="B728">
        <v>3</v>
      </c>
      <c r="C728" t="str">
        <f>VLOOKUP(B728,Eras!$A$3:$B$999,2,0)</f>
        <v>New</v>
      </c>
      <c r="D728">
        <v>2</v>
      </c>
      <c r="E728" t="str">
        <f>VLOOKUP(D728,EpisodeFormats!$A$3:$B$999,2,0)</f>
        <v>Special</v>
      </c>
      <c r="F728">
        <v>10</v>
      </c>
      <c r="G728" t="str">
        <f>VLOOKUP(F728,Doctors!$A$3:$B$999,2,0)</f>
        <v>David Tennant</v>
      </c>
      <c r="I728">
        <v>4</v>
      </c>
      <c r="J728" t="str">
        <f>VLOOKUP(I728,SeasonFormats!$A$3:$B$999,2,0)</f>
        <v>Special</v>
      </c>
      <c r="K728">
        <v>178</v>
      </c>
      <c r="M728" t="s">
        <v>49</v>
      </c>
      <c r="N728">
        <v>1</v>
      </c>
      <c r="Q728" s="6" t="d">
        <v>2006-12-25</v>
      </c>
      <c r="R728">
        <v>59</v>
      </c>
      <c r="T728" s="15" t="s">
        <v>1098</v>
      </c>
      <c r="U728" t="str" cm="1">
        <f t="array" ref="U728">_xlfn.TEXTJOIN(",",TRUE,_xlfn.XLOOKUP(_xlfn.FILTERXML("&lt;t&gt;&lt;s&gt;" &amp; SUBSTITUTE(T728,",","&lt;/s&gt;&lt;s&gt;") &amp; "&lt;/s&gt;&lt;/t&gt;", "//s"),Writers!$A$3:$A$999,Writers!$B$3:$B$999,""))</f>
        <v>Russell T Davies</v>
      </c>
      <c r="W728" t="str">
        <f>IF(V728="","",_xlfn.XLOOKUP(V728,Writers!$A$3:$A$999,Writers!$B$3:$B$999,""))</f>
        <v/>
      </c>
      <c r="X728">
        <v>8.6999999999999993</v>
      </c>
      <c r="Y728">
        <v>9.35</v>
      </c>
      <c r="AA728">
        <f t="shared" si="33"/>
        <v>9.77</v>
      </c>
      <c r="AB728">
        <f t="shared" si="34"/>
        <v>10.5</v>
      </c>
      <c r="AC728" t="str">
        <f t="shared" si="35"/>
        <v/>
      </c>
      <c r="AD728">
        <f>VLOOKUP(YEAR(Q728),Populations!$A$3:$B$999,2,0)</f>
        <v>60827000</v>
      </c>
      <c r="AE728">
        <f>(Calculations!B1/AD728)</f>
        <v>1.1229377085833601</v>
      </c>
      <c r="AF728" t="s">
        <v>519</v>
      </c>
      <c r="AG728">
        <v>2</v>
      </c>
      <c r="AH728" t="str">
        <f>VLOOKUP(AG728,WikiFormats!$A$3:$B$999,2,0)</f>
        <v>Episode</v>
      </c>
      <c r="AI728" t="s">
        <v>772</v>
      </c>
    </row>
    <row r="729" spans="1:35" s="3" customFormat="1" x14ac:dyDescent="0.55000000000000004">
      <c r="A729" s="3">
        <v>725</v>
      </c>
      <c r="B729" s="3">
        <v>3</v>
      </c>
      <c r="C729" s="3" t="str">
        <f>VLOOKUP(B729,Eras!$A$3:$B$999,2,0)</f>
        <v>New</v>
      </c>
      <c r="D729" s="3">
        <v>1</v>
      </c>
      <c r="E729" s="3" t="str">
        <f>VLOOKUP(D729,EpisodeFormats!$A$3:$B$999,2,0)</f>
        <v>Series</v>
      </c>
      <c r="F729" s="3">
        <v>10</v>
      </c>
      <c r="G729" s="3" t="str">
        <f>VLOOKUP(F729,Doctors!$A$3:$B$999,2,0)</f>
        <v>David Tennant</v>
      </c>
      <c r="H729" s="3">
        <v>3</v>
      </c>
      <c r="I729" s="3">
        <v>3</v>
      </c>
      <c r="J729" s="3" t="str">
        <f>VLOOKUP(I729,SeasonFormats!$A$3:$B$999,2,0)</f>
        <v>Series</v>
      </c>
      <c r="K729" s="3">
        <v>179</v>
      </c>
      <c r="L729" s="3">
        <v>1</v>
      </c>
      <c r="M729" s="3" t="s">
        <v>50</v>
      </c>
      <c r="N729" s="3">
        <v>1</v>
      </c>
      <c r="P729" s="3">
        <v>1</v>
      </c>
      <c r="Q729" s="7" t="d">
        <v>2007-03-31</v>
      </c>
      <c r="R729" s="3">
        <v>44</v>
      </c>
      <c r="T729" s="4" t="s">
        <v>1098</v>
      </c>
      <c r="U729" s="3" t="str" cm="1">
        <f t="array" ref="U729">_xlfn.TEXTJOIN(",",TRUE,_xlfn.XLOOKUP(_xlfn.FILTERXML("&lt;t&gt;&lt;s&gt;" &amp; SUBSTITUTE(T729,",","&lt;/s&gt;&lt;s&gt;") &amp; "&lt;/s&gt;&lt;/t&gt;", "//s"),Writers!$A$3:$A$999,Writers!$B$3:$B$999,""))</f>
        <v>Russell T Davies</v>
      </c>
      <c r="W729" s="3" t="str">
        <f>IF(V729="","",_xlfn.XLOOKUP(V729,Writers!$A$3:$A$999,Writers!$B$3:$B$999,""))</f>
        <v/>
      </c>
      <c r="X729" s="3">
        <v>8.19</v>
      </c>
      <c r="Y729" s="3">
        <v>8.7100000000000009</v>
      </c>
      <c r="AA729" s="3">
        <f t="shared" si="33"/>
        <v>9.1199999999999992</v>
      </c>
      <c r="AB729" s="3">
        <f t="shared" si="34"/>
        <v>9.6999999999999993</v>
      </c>
      <c r="AC729" s="3" t="str">
        <f t="shared" si="35"/>
        <v/>
      </c>
      <c r="AD729" s="3">
        <f>VLOOKUP(YEAR(Q729),Populations!$A$3:$B$999,2,0)</f>
        <v>61319100</v>
      </c>
      <c r="AE729" s="3">
        <f>(Calculations!B1/AD729)</f>
        <v>1.1139258730151</v>
      </c>
      <c r="AF729" s="3" t="s">
        <v>521</v>
      </c>
      <c r="AG729" s="3">
        <v>2</v>
      </c>
      <c r="AH729" s="3" t="str">
        <f>VLOOKUP(AG729,WikiFormats!$A$3:$B$999,2,0)</f>
        <v>Episode</v>
      </c>
      <c r="AI729" s="3" t="s">
        <v>773</v>
      </c>
    </row>
    <row r="730" spans="1:35" s="3" customFormat="1" x14ac:dyDescent="0.55000000000000004">
      <c r="A730" s="3">
        <v>726</v>
      </c>
      <c r="B730" s="3">
        <v>3</v>
      </c>
      <c r="C730" s="3" t="str">
        <f>VLOOKUP(B730,Eras!$A$3:$B$999,2,0)</f>
        <v>New</v>
      </c>
      <c r="D730" s="3">
        <v>1</v>
      </c>
      <c r="E730" s="3" t="str">
        <f>VLOOKUP(D730,EpisodeFormats!$A$3:$B$999,2,0)</f>
        <v>Series</v>
      </c>
      <c r="F730" s="3">
        <v>10</v>
      </c>
      <c r="G730" s="3" t="str">
        <f>VLOOKUP(F730,Doctors!$A$3:$B$999,2,0)</f>
        <v>David Tennant</v>
      </c>
      <c r="H730" s="3">
        <v>3</v>
      </c>
      <c r="I730" s="3">
        <v>3</v>
      </c>
      <c r="J730" s="3" t="str">
        <f>VLOOKUP(I730,SeasonFormats!$A$3:$B$999,2,0)</f>
        <v>Series</v>
      </c>
      <c r="K730" s="3">
        <v>180</v>
      </c>
      <c r="L730" s="3">
        <v>2</v>
      </c>
      <c r="M730" s="3" t="s">
        <v>51</v>
      </c>
      <c r="N730" s="3">
        <v>1</v>
      </c>
      <c r="P730" s="3">
        <v>2</v>
      </c>
      <c r="Q730" s="7" t="d">
        <v>2007-04-07</v>
      </c>
      <c r="R730" s="3">
        <v>46</v>
      </c>
      <c r="T730" s="4" t="s">
        <v>1148</v>
      </c>
      <c r="U730" s="3" t="str" cm="1">
        <f t="array" ref="U730">_xlfn.TEXTJOIN(",",TRUE,_xlfn.XLOOKUP(_xlfn.FILTERXML("&lt;t&gt;&lt;s&gt;" &amp; SUBSTITUTE(T730,",","&lt;/s&gt;&lt;s&gt;") &amp; "&lt;/s&gt;&lt;/t&gt;", "//s"),Writers!$A$3:$A$999,Writers!$B$3:$B$999,""))</f>
        <v>Gareth Roberts</v>
      </c>
      <c r="W730" s="3" t="str">
        <f>IF(V730="","",_xlfn.XLOOKUP(V730,Writers!$A$3:$A$999,Writers!$B$3:$B$999,""))</f>
        <v/>
      </c>
      <c r="X730" s="3">
        <v>6.71</v>
      </c>
      <c r="Y730" s="3">
        <v>7.23</v>
      </c>
      <c r="AA730" s="3">
        <f t="shared" si="33"/>
        <v>7.47</v>
      </c>
      <c r="AB730" s="3">
        <f t="shared" si="34"/>
        <v>8.0500000000000007</v>
      </c>
      <c r="AC730" s="3" t="str">
        <f t="shared" si="35"/>
        <v/>
      </c>
      <c r="AD730" s="3">
        <f>VLOOKUP(YEAR(Q730),Populations!$A$3:$B$999,2,0)</f>
        <v>61319100</v>
      </c>
      <c r="AE730" s="3">
        <f>(Calculations!B1/AD730)</f>
        <v>1.1139258730151</v>
      </c>
      <c r="AF730" s="3" t="s">
        <v>533</v>
      </c>
      <c r="AG730" s="3">
        <v>2</v>
      </c>
      <c r="AH730" s="3" t="str">
        <f>VLOOKUP(AG730,WikiFormats!$A$3:$B$999,2,0)</f>
        <v>Episode</v>
      </c>
      <c r="AI730" s="3" t="s">
        <v>774</v>
      </c>
    </row>
    <row r="731" spans="1:35" s="3" customFormat="1" x14ac:dyDescent="0.55000000000000004">
      <c r="A731" s="3">
        <v>727</v>
      </c>
      <c r="B731" s="3">
        <v>3</v>
      </c>
      <c r="C731" s="3" t="str">
        <f>VLOOKUP(B731,Eras!$A$3:$B$999,2,0)</f>
        <v>New</v>
      </c>
      <c r="D731" s="3">
        <v>1</v>
      </c>
      <c r="E731" s="3" t="str">
        <f>VLOOKUP(D731,EpisodeFormats!$A$3:$B$999,2,0)</f>
        <v>Series</v>
      </c>
      <c r="F731" s="3">
        <v>10</v>
      </c>
      <c r="G731" s="3" t="str">
        <f>VLOOKUP(F731,Doctors!$A$3:$B$999,2,0)</f>
        <v>David Tennant</v>
      </c>
      <c r="H731" s="3">
        <v>3</v>
      </c>
      <c r="I731" s="3">
        <v>3</v>
      </c>
      <c r="J731" s="3" t="str">
        <f>VLOOKUP(I731,SeasonFormats!$A$3:$B$999,2,0)</f>
        <v>Series</v>
      </c>
      <c r="K731" s="3">
        <v>181</v>
      </c>
      <c r="L731" s="3">
        <v>3</v>
      </c>
      <c r="M731" s="3" t="s">
        <v>52</v>
      </c>
      <c r="N731" s="3">
        <v>1</v>
      </c>
      <c r="P731" s="3">
        <v>3</v>
      </c>
      <c r="Q731" s="7" t="d">
        <v>2007-04-14</v>
      </c>
      <c r="R731" s="3">
        <v>45</v>
      </c>
      <c r="T731" s="4" t="s">
        <v>1098</v>
      </c>
      <c r="U731" s="3" t="str" cm="1">
        <f t="array" ref="U731">_xlfn.TEXTJOIN(",",TRUE,_xlfn.XLOOKUP(_xlfn.FILTERXML("&lt;t&gt;&lt;s&gt;" &amp; SUBSTITUTE(T731,",","&lt;/s&gt;&lt;s&gt;") &amp; "&lt;/s&gt;&lt;/t&gt;", "//s"),Writers!$A$3:$A$999,Writers!$B$3:$B$999,""))</f>
        <v>Russell T Davies</v>
      </c>
      <c r="W731" s="3" t="str">
        <f>IF(V731="","",_xlfn.XLOOKUP(V731,Writers!$A$3:$A$999,Writers!$B$3:$B$999,""))</f>
        <v/>
      </c>
      <c r="X731" s="3">
        <v>8</v>
      </c>
      <c r="Y731" s="3">
        <v>8.41</v>
      </c>
      <c r="AA731" s="3">
        <f t="shared" si="33"/>
        <v>8.91</v>
      </c>
      <c r="AB731" s="3">
        <f t="shared" si="34"/>
        <v>9.3699999999999992</v>
      </c>
      <c r="AC731" s="3" t="str">
        <f t="shared" si="35"/>
        <v/>
      </c>
      <c r="AD731" s="3">
        <f>VLOOKUP(YEAR(Q731),Populations!$A$3:$B$999,2,0)</f>
        <v>61319100</v>
      </c>
      <c r="AE731" s="3">
        <f>(Calculations!B1/AD731)</f>
        <v>1.1139258730151</v>
      </c>
      <c r="AG731" s="3">
        <v>2</v>
      </c>
      <c r="AH731" s="3" t="str">
        <f>VLOOKUP(AG731,WikiFormats!$A$3:$B$999,2,0)</f>
        <v>Episode</v>
      </c>
      <c r="AI731" s="3" t="s">
        <v>775</v>
      </c>
    </row>
    <row r="732" spans="1:35" s="3" customFormat="1" x14ac:dyDescent="0.55000000000000004">
      <c r="A732" s="3">
        <v>728</v>
      </c>
      <c r="B732" s="3">
        <v>3</v>
      </c>
      <c r="C732" s="3" t="str">
        <f>VLOOKUP(B732,Eras!$A$3:$B$999,2,0)</f>
        <v>New</v>
      </c>
      <c r="D732" s="3">
        <v>1</v>
      </c>
      <c r="E732" s="3" t="str">
        <f>VLOOKUP(D732,EpisodeFormats!$A$3:$B$999,2,0)</f>
        <v>Series</v>
      </c>
      <c r="F732" s="3">
        <v>10</v>
      </c>
      <c r="G732" s="3" t="str">
        <f>VLOOKUP(F732,Doctors!$A$3:$B$999,2,0)</f>
        <v>David Tennant</v>
      </c>
      <c r="H732" s="3">
        <v>3</v>
      </c>
      <c r="I732" s="3">
        <v>3</v>
      </c>
      <c r="J732" s="3" t="str">
        <f>VLOOKUP(I732,SeasonFormats!$A$3:$B$999,2,0)</f>
        <v>Series</v>
      </c>
      <c r="K732" s="3">
        <v>182</v>
      </c>
      <c r="L732" s="3">
        <v>4</v>
      </c>
      <c r="M732" s="3" t="s">
        <v>53</v>
      </c>
      <c r="N732" s="3">
        <v>1</v>
      </c>
      <c r="P732" s="3">
        <v>4</v>
      </c>
      <c r="Q732" s="7" t="d">
        <v>2007-04-21</v>
      </c>
      <c r="R732" s="3">
        <v>47</v>
      </c>
      <c r="T732" s="4" t="s">
        <v>1164</v>
      </c>
      <c r="U732" s="3" t="str" cm="1">
        <f t="array" ref="U732">_xlfn.TEXTJOIN(",",TRUE,_xlfn.XLOOKUP(_xlfn.FILTERXML("&lt;t&gt;&lt;s&gt;" &amp; SUBSTITUTE(T732,",","&lt;/s&gt;&lt;s&gt;") &amp; "&lt;/s&gt;&lt;/t&gt;", "//s"),Writers!$A$3:$A$999,Writers!$B$3:$B$999,""))</f>
        <v>Helen Raynor</v>
      </c>
      <c r="W732" s="3" t="str">
        <f>IF(V732="","",_xlfn.XLOOKUP(V732,Writers!$A$3:$A$999,Writers!$B$3:$B$999,""))</f>
        <v/>
      </c>
      <c r="X732" s="3">
        <v>6.17</v>
      </c>
      <c r="Y732" s="3">
        <v>6.69</v>
      </c>
      <c r="AA732" s="3">
        <f t="shared" si="33"/>
        <v>6.87</v>
      </c>
      <c r="AB732" s="3">
        <f t="shared" si="34"/>
        <v>7.45</v>
      </c>
      <c r="AC732" s="3" t="str">
        <f t="shared" si="35"/>
        <v/>
      </c>
      <c r="AD732" s="3">
        <f>VLOOKUP(YEAR(Q732),Populations!$A$3:$B$999,2,0)</f>
        <v>61319100</v>
      </c>
      <c r="AE732" s="3">
        <f>(Calculations!B1/AD732)</f>
        <v>1.1139258730151</v>
      </c>
      <c r="AF732" s="3" t="s">
        <v>534</v>
      </c>
      <c r="AG732" s="3">
        <v>2</v>
      </c>
      <c r="AH732" s="3" t="str">
        <f>VLOOKUP(AG732,WikiFormats!$A$3:$B$999,2,0)</f>
        <v>Episode</v>
      </c>
      <c r="AI732" s="3" t="s">
        <v>776</v>
      </c>
    </row>
    <row r="733" spans="1:35" s="3" customFormat="1" x14ac:dyDescent="0.55000000000000004">
      <c r="A733" s="3">
        <v>729</v>
      </c>
      <c r="B733" s="3">
        <v>3</v>
      </c>
      <c r="C733" s="3" t="str">
        <f>VLOOKUP(B733,Eras!$A$3:$B$999,2,0)</f>
        <v>New</v>
      </c>
      <c r="D733" s="3">
        <v>1</v>
      </c>
      <c r="E733" s="3" t="str">
        <f>VLOOKUP(D733,EpisodeFormats!$A$3:$B$999,2,0)</f>
        <v>Series</v>
      </c>
      <c r="F733" s="3">
        <v>10</v>
      </c>
      <c r="G733" s="3" t="str">
        <f>VLOOKUP(F733,Doctors!$A$3:$B$999,2,0)</f>
        <v>David Tennant</v>
      </c>
      <c r="H733" s="3">
        <v>3</v>
      </c>
      <c r="I733" s="3">
        <v>3</v>
      </c>
      <c r="J733" s="3" t="str">
        <f>VLOOKUP(I733,SeasonFormats!$A$3:$B$999,2,0)</f>
        <v>Series</v>
      </c>
      <c r="K733" s="3">
        <v>182</v>
      </c>
      <c r="L733" s="3">
        <v>4</v>
      </c>
      <c r="M733" s="3" t="s">
        <v>54</v>
      </c>
      <c r="N733" s="3">
        <v>2</v>
      </c>
      <c r="P733" s="3">
        <v>5</v>
      </c>
      <c r="Q733" s="7" t="d">
        <v>2007-04-28</v>
      </c>
      <c r="R733" s="3">
        <v>46</v>
      </c>
      <c r="T733" s="4" t="s">
        <v>1164</v>
      </c>
      <c r="U733" s="3" t="str" cm="1">
        <f t="array" ref="U733">_xlfn.TEXTJOIN(",",TRUE,_xlfn.XLOOKUP(_xlfn.FILTERXML("&lt;t&gt;&lt;s&gt;" &amp; SUBSTITUTE(T733,",","&lt;/s&gt;&lt;s&gt;") &amp; "&lt;/s&gt;&lt;/t&gt;", "//s"),Writers!$A$3:$A$999,Writers!$B$3:$B$999,""))</f>
        <v>Helen Raynor</v>
      </c>
      <c r="W733" s="3" t="str">
        <f>IF(V733="","",_xlfn.XLOOKUP(V733,Writers!$A$3:$A$999,Writers!$B$3:$B$999,""))</f>
        <v/>
      </c>
      <c r="X733" s="3">
        <v>6.45</v>
      </c>
      <c r="Y733" s="3">
        <v>6.97</v>
      </c>
      <c r="AA733" s="3">
        <f t="shared" si="33"/>
        <v>7.18</v>
      </c>
      <c r="AB733" s="3">
        <f t="shared" si="34"/>
        <v>7.76</v>
      </c>
      <c r="AC733" s="3" t="str">
        <f t="shared" si="35"/>
        <v/>
      </c>
      <c r="AD733" s="3">
        <f>VLOOKUP(YEAR(Q733),Populations!$A$3:$B$999,2,0)</f>
        <v>61319100</v>
      </c>
      <c r="AE733" s="3">
        <f>(Calculations!B1/AD733)</f>
        <v>1.1139258730151</v>
      </c>
      <c r="AF733" s="3" t="s">
        <v>534</v>
      </c>
      <c r="AG733" s="3">
        <v>2</v>
      </c>
      <c r="AH733" s="3" t="str">
        <f>VLOOKUP(AG733,WikiFormats!$A$3:$B$999,2,0)</f>
        <v>Episode</v>
      </c>
      <c r="AI733" s="3" t="s">
        <v>777</v>
      </c>
    </row>
    <row r="734" spans="1:35" s="3" customFormat="1" x14ac:dyDescent="0.55000000000000004">
      <c r="A734" s="3">
        <v>730</v>
      </c>
      <c r="B734" s="3">
        <v>3</v>
      </c>
      <c r="C734" s="3" t="str">
        <f>VLOOKUP(B734,Eras!$A$3:$B$999,2,0)</f>
        <v>New</v>
      </c>
      <c r="D734" s="3">
        <v>1</v>
      </c>
      <c r="E734" s="3" t="str">
        <f>VLOOKUP(D734,EpisodeFormats!$A$3:$B$999,2,0)</f>
        <v>Series</v>
      </c>
      <c r="F734" s="3">
        <v>10</v>
      </c>
      <c r="G734" s="3" t="str">
        <f>VLOOKUP(F734,Doctors!$A$3:$B$999,2,0)</f>
        <v>David Tennant</v>
      </c>
      <c r="H734" s="3">
        <v>3</v>
      </c>
      <c r="I734" s="3">
        <v>3</v>
      </c>
      <c r="J734" s="3" t="str">
        <f>VLOOKUP(I734,SeasonFormats!$A$3:$B$999,2,0)</f>
        <v>Series</v>
      </c>
      <c r="K734" s="3">
        <v>183</v>
      </c>
      <c r="L734" s="3">
        <v>5</v>
      </c>
      <c r="M734" s="3" t="s">
        <v>55</v>
      </c>
      <c r="N734" s="3">
        <v>1</v>
      </c>
      <c r="P734" s="3">
        <v>6</v>
      </c>
      <c r="Q734" s="7" t="d">
        <v>2007-05-05</v>
      </c>
      <c r="R734" s="3">
        <v>43</v>
      </c>
      <c r="T734" s="4" t="s">
        <v>1118</v>
      </c>
      <c r="U734" s="3" t="str" cm="1">
        <f t="array" ref="U734">_xlfn.TEXTJOIN(",",TRUE,_xlfn.XLOOKUP(_xlfn.FILTERXML("&lt;t&gt;&lt;s&gt;" &amp; SUBSTITUTE(T734,",","&lt;/s&gt;&lt;s&gt;") &amp; "&lt;/s&gt;&lt;/t&gt;", "//s"),Writers!$A$3:$A$999,Writers!$B$3:$B$999,""))</f>
        <v>Stephen Greenhorn</v>
      </c>
      <c r="W734" s="3" t="str">
        <f>IF(V734="","",_xlfn.XLOOKUP(V734,Writers!$A$3:$A$999,Writers!$B$3:$B$999,""))</f>
        <v/>
      </c>
      <c r="X734" s="3">
        <v>6.67</v>
      </c>
      <c r="Y734" s="3">
        <v>7.19</v>
      </c>
      <c r="AA734" s="3">
        <f t="shared" si="33"/>
        <v>7.43</v>
      </c>
      <c r="AB734" s="3">
        <f t="shared" si="34"/>
        <v>8.01</v>
      </c>
      <c r="AC734" s="3" t="str">
        <f t="shared" si="35"/>
        <v/>
      </c>
      <c r="AD734" s="3">
        <f>VLOOKUP(YEAR(Q734),Populations!$A$3:$B$999,2,0)</f>
        <v>61319100</v>
      </c>
      <c r="AE734" s="3">
        <f>(Calculations!B1/AD734)</f>
        <v>1.1139258730151</v>
      </c>
      <c r="AF734" s="3" t="s">
        <v>534</v>
      </c>
      <c r="AG734" s="3">
        <v>2</v>
      </c>
      <c r="AH734" s="3" t="str">
        <f>VLOOKUP(AG734,WikiFormats!$A$3:$B$999,2,0)</f>
        <v>Episode</v>
      </c>
      <c r="AI734" s="3" t="s">
        <v>778</v>
      </c>
    </row>
    <row r="735" spans="1:35" s="3" customFormat="1" x14ac:dyDescent="0.55000000000000004">
      <c r="A735" s="3">
        <v>731</v>
      </c>
      <c r="B735" s="3">
        <v>3</v>
      </c>
      <c r="C735" s="3" t="str">
        <f>VLOOKUP(B735,Eras!$A$3:$B$999,2,0)</f>
        <v>New</v>
      </c>
      <c r="D735" s="3">
        <v>1</v>
      </c>
      <c r="E735" s="3" t="str">
        <f>VLOOKUP(D735,EpisodeFormats!$A$3:$B$999,2,0)</f>
        <v>Series</v>
      </c>
      <c r="F735" s="3">
        <v>10</v>
      </c>
      <c r="G735" s="3" t="str">
        <f>VLOOKUP(F735,Doctors!$A$3:$B$999,2,0)</f>
        <v>David Tennant</v>
      </c>
      <c r="H735" s="3">
        <v>3</v>
      </c>
      <c r="I735" s="3">
        <v>3</v>
      </c>
      <c r="J735" s="3" t="str">
        <f>VLOOKUP(I735,SeasonFormats!$A$3:$B$999,2,0)</f>
        <v>Series</v>
      </c>
      <c r="K735" s="3">
        <v>184</v>
      </c>
      <c r="L735" s="3">
        <v>6</v>
      </c>
      <c r="M735" s="4">
        <v>42</v>
      </c>
      <c r="N735" s="3">
        <v>1</v>
      </c>
      <c r="P735" s="3">
        <v>7</v>
      </c>
      <c r="Q735" s="7" t="d">
        <v>2007-05-19</v>
      </c>
      <c r="R735" s="3">
        <v>45</v>
      </c>
      <c r="T735" s="4" t="s">
        <v>1084</v>
      </c>
      <c r="U735" s="3" t="str" cm="1">
        <f t="array" ref="U735">_xlfn.TEXTJOIN(",",TRUE,_xlfn.XLOOKUP(_xlfn.FILTERXML("&lt;t&gt;&lt;s&gt;" &amp; SUBSTITUTE(T735,",","&lt;/s&gt;&lt;s&gt;") &amp; "&lt;/s&gt;&lt;/t&gt;", "//s"),Writers!$A$3:$A$999,Writers!$B$3:$B$999,""))</f>
        <v>Chris Chibnall</v>
      </c>
      <c r="W735" s="3" t="str">
        <f>IF(V735="","",_xlfn.XLOOKUP(V735,Writers!$A$3:$A$999,Writers!$B$3:$B$999,""))</f>
        <v/>
      </c>
      <c r="X735" s="3">
        <v>6.89</v>
      </c>
      <c r="Y735" s="3">
        <v>7.41</v>
      </c>
      <c r="AA735" s="3">
        <f t="shared" si="33"/>
        <v>7.67</v>
      </c>
      <c r="AB735" s="3">
        <f t="shared" si="34"/>
        <v>8.25</v>
      </c>
      <c r="AC735" s="3" t="str">
        <f t="shared" si="35"/>
        <v/>
      </c>
      <c r="AD735" s="3">
        <f>VLOOKUP(YEAR(Q735),Populations!$A$3:$B$999,2,0)</f>
        <v>61319100</v>
      </c>
      <c r="AE735" s="3">
        <f>(Calculations!B1/AD735)</f>
        <v>1.1139258730151</v>
      </c>
      <c r="AF735" s="3" t="s">
        <v>534</v>
      </c>
      <c r="AG735" s="3">
        <v>2</v>
      </c>
      <c r="AH735" s="3" t="str">
        <f>VLOOKUP(AG735,WikiFormats!$A$3:$B$999,2,0)</f>
        <v>Episode</v>
      </c>
      <c r="AI735" s="3" t="s">
        <v>779</v>
      </c>
    </row>
    <row r="736" spans="1:35" s="3" customFormat="1" x14ac:dyDescent="0.55000000000000004">
      <c r="A736" s="3">
        <v>732</v>
      </c>
      <c r="B736" s="3">
        <v>3</v>
      </c>
      <c r="C736" s="3" t="str">
        <f>VLOOKUP(B736,Eras!$A$3:$B$999,2,0)</f>
        <v>New</v>
      </c>
      <c r="D736" s="3">
        <v>1</v>
      </c>
      <c r="E736" s="3" t="str">
        <f>VLOOKUP(D736,EpisodeFormats!$A$3:$B$999,2,0)</f>
        <v>Series</v>
      </c>
      <c r="F736" s="3">
        <v>10</v>
      </c>
      <c r="G736" s="3" t="str">
        <f>VLOOKUP(F736,Doctors!$A$3:$B$999,2,0)</f>
        <v>David Tennant</v>
      </c>
      <c r="H736" s="3">
        <v>3</v>
      </c>
      <c r="I736" s="3">
        <v>3</v>
      </c>
      <c r="J736" s="3" t="str">
        <f>VLOOKUP(I736,SeasonFormats!$A$3:$B$999,2,0)</f>
        <v>Series</v>
      </c>
      <c r="K736" s="3">
        <v>185</v>
      </c>
      <c r="L736" s="3">
        <v>7</v>
      </c>
      <c r="M736" s="3" t="s">
        <v>56</v>
      </c>
      <c r="N736" s="3">
        <v>1</v>
      </c>
      <c r="P736" s="3">
        <v>8</v>
      </c>
      <c r="Q736" s="7" t="d">
        <v>2007-05-26</v>
      </c>
      <c r="R736" s="3">
        <v>45</v>
      </c>
      <c r="T736" s="4" t="s">
        <v>1094</v>
      </c>
      <c r="U736" s="3" t="str" cm="1">
        <f t="array" ref="U736">_xlfn.TEXTJOIN(",",TRUE,_xlfn.XLOOKUP(_xlfn.FILTERXML("&lt;t&gt;&lt;s&gt;" &amp; SUBSTITUTE(T736,",","&lt;/s&gt;&lt;s&gt;") &amp; "&lt;/s&gt;&lt;/t&gt;", "//s"),Writers!$A$3:$A$999,Writers!$B$3:$B$999,""))</f>
        <v>Paul Cornell</v>
      </c>
      <c r="W736" s="3" t="str">
        <f>IF(V736="","",_xlfn.XLOOKUP(V736,Writers!$A$3:$A$999,Writers!$B$3:$B$999,""))</f>
        <v/>
      </c>
      <c r="X736" s="3">
        <v>7.22</v>
      </c>
      <c r="Y736" s="3">
        <v>7.74</v>
      </c>
      <c r="AA736" s="3">
        <f t="shared" si="33"/>
        <v>8.0399999999999991</v>
      </c>
      <c r="AB736" s="3">
        <f t="shared" si="34"/>
        <v>8.6199999999999992</v>
      </c>
      <c r="AC736" s="3" t="str">
        <f t="shared" si="35"/>
        <v/>
      </c>
      <c r="AD736" s="3">
        <f>VLOOKUP(YEAR(Q736),Populations!$A$3:$B$999,2,0)</f>
        <v>61319100</v>
      </c>
      <c r="AE736" s="3">
        <f>(Calculations!B1/AD736)</f>
        <v>1.1139258730151</v>
      </c>
      <c r="AF736" s="3" t="s">
        <v>534</v>
      </c>
      <c r="AG736" s="3">
        <v>2</v>
      </c>
      <c r="AH736" s="3" t="str">
        <f>VLOOKUP(AG736,WikiFormats!$A$3:$B$999,2,0)</f>
        <v>Episode</v>
      </c>
      <c r="AI736" s="3" t="s">
        <v>780</v>
      </c>
    </row>
    <row r="737" spans="1:35" s="3" customFormat="1" x14ac:dyDescent="0.55000000000000004">
      <c r="A737" s="3">
        <v>733</v>
      </c>
      <c r="B737" s="3">
        <v>3</v>
      </c>
      <c r="C737" s="3" t="str">
        <f>VLOOKUP(B737,Eras!$A$3:$B$999,2,0)</f>
        <v>New</v>
      </c>
      <c r="D737" s="3">
        <v>1</v>
      </c>
      <c r="E737" s="3" t="str">
        <f>VLOOKUP(D737,EpisodeFormats!$A$3:$B$999,2,0)</f>
        <v>Series</v>
      </c>
      <c r="F737" s="3">
        <v>10</v>
      </c>
      <c r="G737" s="3" t="str">
        <f>VLOOKUP(F737,Doctors!$A$3:$B$999,2,0)</f>
        <v>David Tennant</v>
      </c>
      <c r="H737" s="3">
        <v>3</v>
      </c>
      <c r="I737" s="3">
        <v>3</v>
      </c>
      <c r="J737" s="3" t="str">
        <f>VLOOKUP(I737,SeasonFormats!$A$3:$B$999,2,0)</f>
        <v>Series</v>
      </c>
      <c r="K737" s="3">
        <v>185</v>
      </c>
      <c r="L737" s="3">
        <v>7</v>
      </c>
      <c r="M737" s="3" t="s">
        <v>57</v>
      </c>
      <c r="N737" s="3">
        <v>2</v>
      </c>
      <c r="P737" s="3">
        <v>9</v>
      </c>
      <c r="Q737" s="7" t="d">
        <v>2007-06-02</v>
      </c>
      <c r="R737" s="3">
        <v>43</v>
      </c>
      <c r="T737" s="4" t="s">
        <v>1094</v>
      </c>
      <c r="U737" s="3" t="str" cm="1">
        <f t="array" ref="U737">_xlfn.TEXTJOIN(",",TRUE,_xlfn.XLOOKUP(_xlfn.FILTERXML("&lt;t&gt;&lt;s&gt;" &amp; SUBSTITUTE(T737,",","&lt;/s&gt;&lt;s&gt;") &amp; "&lt;/s&gt;&lt;/t&gt;", "//s"),Writers!$A$3:$A$999,Writers!$B$3:$B$999,""))</f>
        <v>Paul Cornell</v>
      </c>
      <c r="W737" s="3" t="str">
        <f>IF(V737="","",_xlfn.XLOOKUP(V737,Writers!$A$3:$A$999,Writers!$B$3:$B$999,""))</f>
        <v/>
      </c>
      <c r="X737" s="3">
        <v>6.69</v>
      </c>
      <c r="Y737" s="3">
        <v>7.21</v>
      </c>
      <c r="AA737" s="3">
        <f t="shared" si="33"/>
        <v>7.45</v>
      </c>
      <c r="AB737" s="3">
        <f t="shared" si="34"/>
        <v>8.0299999999999994</v>
      </c>
      <c r="AC737" s="3" t="str">
        <f t="shared" si="35"/>
        <v/>
      </c>
      <c r="AD737" s="3">
        <f>VLOOKUP(YEAR(Q737),Populations!$A$3:$B$999,2,0)</f>
        <v>61319100</v>
      </c>
      <c r="AE737" s="3">
        <f>(Calculations!B1/AD737)</f>
        <v>1.1139258730151</v>
      </c>
      <c r="AF737" s="3" t="s">
        <v>534</v>
      </c>
      <c r="AG737" s="3">
        <v>2</v>
      </c>
      <c r="AH737" s="3" t="str">
        <f>VLOOKUP(AG737,WikiFormats!$A$3:$B$999,2,0)</f>
        <v>Episode</v>
      </c>
      <c r="AI737" s="3" t="s">
        <v>781</v>
      </c>
    </row>
    <row r="738" spans="1:35" s="3" customFormat="1" x14ac:dyDescent="0.55000000000000004">
      <c r="A738" s="3">
        <v>734</v>
      </c>
      <c r="B738" s="3">
        <v>3</v>
      </c>
      <c r="C738" s="3" t="str">
        <f>VLOOKUP(B738,Eras!$A$3:$B$999,2,0)</f>
        <v>New</v>
      </c>
      <c r="D738" s="3">
        <v>1</v>
      </c>
      <c r="E738" s="3" t="str">
        <f>VLOOKUP(D738,EpisodeFormats!$A$3:$B$999,2,0)</f>
        <v>Series</v>
      </c>
      <c r="F738" s="3">
        <v>10</v>
      </c>
      <c r="G738" s="3" t="str">
        <f>VLOOKUP(F738,Doctors!$A$3:$B$999,2,0)</f>
        <v>David Tennant</v>
      </c>
      <c r="H738" s="3">
        <v>3</v>
      </c>
      <c r="I738" s="3">
        <v>3</v>
      </c>
      <c r="J738" s="3" t="str">
        <f>VLOOKUP(I738,SeasonFormats!$A$3:$B$999,2,0)</f>
        <v>Series</v>
      </c>
      <c r="K738" s="3">
        <v>186</v>
      </c>
      <c r="L738" s="3">
        <v>8</v>
      </c>
      <c r="M738" s="3" t="s">
        <v>58</v>
      </c>
      <c r="N738" s="3">
        <v>1</v>
      </c>
      <c r="P738" s="3">
        <v>10</v>
      </c>
      <c r="Q738" s="7" t="d">
        <v>2007-06-09</v>
      </c>
      <c r="R738" s="3">
        <v>44</v>
      </c>
      <c r="T738" s="4" t="s">
        <v>1153</v>
      </c>
      <c r="U738" s="3" t="str" cm="1">
        <f t="array" ref="U738">_xlfn.TEXTJOIN(",",TRUE,_xlfn.XLOOKUP(_xlfn.FILTERXML("&lt;t&gt;&lt;s&gt;" &amp; SUBSTITUTE(T738,",","&lt;/s&gt;&lt;s&gt;") &amp; "&lt;/s&gt;&lt;/t&gt;", "//s"),Writers!$A$3:$A$999,Writers!$B$3:$B$999,""))</f>
        <v>Steven Moffat</v>
      </c>
      <c r="W738" s="3" t="str">
        <f>IF(V738="","",_xlfn.XLOOKUP(V738,Writers!$A$3:$A$999,Writers!$B$3:$B$999,""))</f>
        <v/>
      </c>
      <c r="X738" s="3">
        <v>6.1</v>
      </c>
      <c r="Y738" s="3">
        <v>6.62</v>
      </c>
      <c r="AA738" s="3">
        <f t="shared" si="33"/>
        <v>6.79</v>
      </c>
      <c r="AB738" s="3">
        <f t="shared" si="34"/>
        <v>7.37</v>
      </c>
      <c r="AC738" s="3" t="str">
        <f t="shared" si="35"/>
        <v/>
      </c>
      <c r="AD738" s="3">
        <f>VLOOKUP(YEAR(Q738),Populations!$A$3:$B$999,2,0)</f>
        <v>61319100</v>
      </c>
      <c r="AE738" s="3">
        <f>(Calculations!B1/AD738)</f>
        <v>1.1139258730151</v>
      </c>
      <c r="AG738" s="3">
        <v>2</v>
      </c>
      <c r="AH738" s="3" t="str">
        <f>VLOOKUP(AG738,WikiFormats!$A$3:$B$999,2,0)</f>
        <v>Episode</v>
      </c>
      <c r="AI738" s="3" t="s">
        <v>782</v>
      </c>
    </row>
    <row r="739" spans="1:35" s="3" customFormat="1" x14ac:dyDescent="0.55000000000000004">
      <c r="A739" s="3">
        <v>735</v>
      </c>
      <c r="B739" s="3">
        <v>3</v>
      </c>
      <c r="C739" s="3" t="str">
        <f>VLOOKUP(B739,Eras!$A$3:$B$999,2,0)</f>
        <v>New</v>
      </c>
      <c r="D739" s="3">
        <v>1</v>
      </c>
      <c r="E739" s="3" t="str">
        <f>VLOOKUP(D739,EpisodeFormats!$A$3:$B$999,2,0)</f>
        <v>Series</v>
      </c>
      <c r="F739" s="3">
        <v>10</v>
      </c>
      <c r="G739" s="3" t="str">
        <f>VLOOKUP(F739,Doctors!$A$3:$B$999,2,0)</f>
        <v>David Tennant</v>
      </c>
      <c r="H739" s="3">
        <v>3</v>
      </c>
      <c r="I739" s="3">
        <v>3</v>
      </c>
      <c r="J739" s="3" t="str">
        <f>VLOOKUP(I739,SeasonFormats!$A$3:$B$999,2,0)</f>
        <v>Series</v>
      </c>
      <c r="K739" s="3">
        <v>187</v>
      </c>
      <c r="L739" s="3">
        <v>9</v>
      </c>
      <c r="M739" s="3" t="s">
        <v>59</v>
      </c>
      <c r="N739" s="3">
        <v>1</v>
      </c>
      <c r="P739" s="3">
        <v>11</v>
      </c>
      <c r="Q739" s="7" t="d">
        <v>2007-06-16</v>
      </c>
      <c r="R739" s="3">
        <v>46</v>
      </c>
      <c r="T739" s="4" t="s">
        <v>1098</v>
      </c>
      <c r="U739" s="3" t="str" cm="1">
        <f t="array" ref="U739">_xlfn.TEXTJOIN(",",TRUE,_xlfn.XLOOKUP(_xlfn.FILTERXML("&lt;t&gt;&lt;s&gt;" &amp; SUBSTITUTE(T739,",","&lt;/s&gt;&lt;s&gt;") &amp; "&lt;/s&gt;&lt;/t&gt;", "//s"),Writers!$A$3:$A$999,Writers!$B$3:$B$999,""))</f>
        <v>Russell T Davies</v>
      </c>
      <c r="W739" s="3" t="str">
        <f>IF(V739="","",_xlfn.XLOOKUP(V739,Writers!$A$3:$A$999,Writers!$B$3:$B$999,""))</f>
        <v/>
      </c>
      <c r="X739" s="3">
        <v>7.3</v>
      </c>
      <c r="Y739" s="3">
        <v>7.84</v>
      </c>
      <c r="AA739" s="3">
        <f t="shared" si="33"/>
        <v>8.1300000000000008</v>
      </c>
      <c r="AB739" s="3">
        <f t="shared" si="34"/>
        <v>8.73</v>
      </c>
      <c r="AC739" s="3" t="str">
        <f t="shared" si="35"/>
        <v/>
      </c>
      <c r="AD739" s="3">
        <f>VLOOKUP(YEAR(Q739),Populations!$A$3:$B$999,2,0)</f>
        <v>61319100</v>
      </c>
      <c r="AE739" s="3">
        <f>(Calculations!B1/AD739)</f>
        <v>1.1139258730151</v>
      </c>
      <c r="AG739" s="3">
        <v>2</v>
      </c>
      <c r="AH739" s="3" t="str">
        <f>VLOOKUP(AG739,WikiFormats!$A$3:$B$999,2,0)</f>
        <v>Episode</v>
      </c>
      <c r="AI739" s="3" t="s">
        <v>783</v>
      </c>
    </row>
    <row r="740" spans="1:35" s="3" customFormat="1" x14ac:dyDescent="0.55000000000000004">
      <c r="A740" s="3">
        <v>736</v>
      </c>
      <c r="B740" s="3">
        <v>3</v>
      </c>
      <c r="C740" s="3" t="str">
        <f>VLOOKUP(B740,Eras!$A$3:$B$999,2,0)</f>
        <v>New</v>
      </c>
      <c r="D740" s="3">
        <v>1</v>
      </c>
      <c r="E740" s="3" t="str">
        <f>VLOOKUP(D740,EpisodeFormats!$A$3:$B$999,2,0)</f>
        <v>Series</v>
      </c>
      <c r="F740" s="3">
        <v>10</v>
      </c>
      <c r="G740" s="3" t="str">
        <f>VLOOKUP(F740,Doctors!$A$3:$B$999,2,0)</f>
        <v>David Tennant</v>
      </c>
      <c r="H740" s="3">
        <v>3</v>
      </c>
      <c r="I740" s="3">
        <v>3</v>
      </c>
      <c r="J740" s="3" t="str">
        <f>VLOOKUP(I740,SeasonFormats!$A$3:$B$999,2,0)</f>
        <v>Series</v>
      </c>
      <c r="K740" s="3">
        <v>187</v>
      </c>
      <c r="L740" s="3">
        <v>9</v>
      </c>
      <c r="M740" s="3" t="s">
        <v>60</v>
      </c>
      <c r="N740" s="3">
        <v>2</v>
      </c>
      <c r="P740" s="3">
        <v>12</v>
      </c>
      <c r="Q740" s="7" t="d">
        <v>2007-06-23</v>
      </c>
      <c r="R740" s="3">
        <v>46</v>
      </c>
      <c r="T740" s="4" t="s">
        <v>1098</v>
      </c>
      <c r="U740" s="3" t="str" cm="1">
        <f t="array" ref="U740">_xlfn.TEXTJOIN(",",TRUE,_xlfn.XLOOKUP(_xlfn.FILTERXML("&lt;t&gt;&lt;s&gt;" &amp; SUBSTITUTE(T740,",","&lt;/s&gt;&lt;s&gt;") &amp; "&lt;/s&gt;&lt;/t&gt;", "//s"),Writers!$A$3:$A$999,Writers!$B$3:$B$999,""))</f>
        <v>Russell T Davies</v>
      </c>
      <c r="W740" s="3" t="str">
        <f>IF(V740="","",_xlfn.XLOOKUP(V740,Writers!$A$3:$A$999,Writers!$B$3:$B$999,""))</f>
        <v/>
      </c>
      <c r="X740" s="3">
        <v>6.99</v>
      </c>
      <c r="Y740" s="3">
        <v>7.51</v>
      </c>
      <c r="AA740" s="3">
        <f t="shared" si="33"/>
        <v>7.79</v>
      </c>
      <c r="AB740" s="3">
        <f t="shared" si="34"/>
        <v>8.3699999999999992</v>
      </c>
      <c r="AC740" s="3" t="str">
        <f t="shared" si="35"/>
        <v/>
      </c>
      <c r="AD740" s="3">
        <f>VLOOKUP(YEAR(Q740),Populations!$A$3:$B$999,2,0)</f>
        <v>61319100</v>
      </c>
      <c r="AE740" s="3">
        <f>(Calculations!B1/AD740)</f>
        <v>1.1139258730151</v>
      </c>
      <c r="AF740" s="3" t="s">
        <v>534</v>
      </c>
      <c r="AG740" s="3">
        <v>2</v>
      </c>
      <c r="AH740" s="3" t="str">
        <f>VLOOKUP(AG740,WikiFormats!$A$3:$B$999,2,0)</f>
        <v>Episode</v>
      </c>
      <c r="AI740" s="3" t="s">
        <v>784</v>
      </c>
    </row>
    <row r="741" spans="1:35" s="3" customFormat="1" x14ac:dyDescent="0.55000000000000004">
      <c r="A741" s="3">
        <v>737</v>
      </c>
      <c r="B741" s="3">
        <v>3</v>
      </c>
      <c r="C741" s="3" t="str">
        <f>VLOOKUP(B741,Eras!$A$3:$B$999,2,0)</f>
        <v>New</v>
      </c>
      <c r="D741" s="3">
        <v>1</v>
      </c>
      <c r="E741" s="3" t="str">
        <f>VLOOKUP(D741,EpisodeFormats!$A$3:$B$999,2,0)</f>
        <v>Series</v>
      </c>
      <c r="F741" s="3">
        <v>10</v>
      </c>
      <c r="G741" s="3" t="str">
        <f>VLOOKUP(F741,Doctors!$A$3:$B$999,2,0)</f>
        <v>David Tennant</v>
      </c>
      <c r="H741" s="3">
        <v>3</v>
      </c>
      <c r="I741" s="3">
        <v>3</v>
      </c>
      <c r="J741" s="3" t="str">
        <f>VLOOKUP(I741,SeasonFormats!$A$3:$B$999,2,0)</f>
        <v>Series</v>
      </c>
      <c r="K741" s="3">
        <v>187</v>
      </c>
      <c r="L741" s="3">
        <v>9</v>
      </c>
      <c r="M741" s="3" t="s">
        <v>61</v>
      </c>
      <c r="N741" s="3">
        <v>3</v>
      </c>
      <c r="P741" s="3">
        <v>13</v>
      </c>
      <c r="Q741" s="7" t="d">
        <v>2007-06-30</v>
      </c>
      <c r="R741" s="3">
        <v>51</v>
      </c>
      <c r="T741" s="4" t="s">
        <v>1098</v>
      </c>
      <c r="U741" s="3" t="str" cm="1">
        <f t="array" ref="U741">_xlfn.TEXTJOIN(",",TRUE,_xlfn.XLOOKUP(_xlfn.FILTERXML("&lt;t&gt;&lt;s&gt;" &amp; SUBSTITUTE(T741,",","&lt;/s&gt;&lt;s&gt;") &amp; "&lt;/s&gt;&lt;/t&gt;", "//s"),Writers!$A$3:$A$999,Writers!$B$3:$B$999,""))</f>
        <v>Russell T Davies</v>
      </c>
      <c r="W741" s="3" t="str">
        <f>IF(V741="","",_xlfn.XLOOKUP(V741,Writers!$A$3:$A$999,Writers!$B$3:$B$999,""))</f>
        <v/>
      </c>
      <c r="X741" s="3">
        <v>8</v>
      </c>
      <c r="Y741" s="3">
        <v>8.61</v>
      </c>
      <c r="AA741" s="3">
        <f t="shared" si="33"/>
        <v>8.91</v>
      </c>
      <c r="AB741" s="3">
        <f t="shared" si="34"/>
        <v>9.59</v>
      </c>
      <c r="AC741" s="3" t="str">
        <f t="shared" si="35"/>
        <v/>
      </c>
      <c r="AD741" s="3">
        <f>VLOOKUP(YEAR(Q741),Populations!$A$3:$B$999,2,0)</f>
        <v>61319100</v>
      </c>
      <c r="AE741" s="3">
        <f>(Calculations!B1/AD741)</f>
        <v>1.1139258730151</v>
      </c>
      <c r="AG741" s="3">
        <v>2</v>
      </c>
      <c r="AH741" s="3" t="str">
        <f>VLOOKUP(AG741,WikiFormats!$A$3:$B$999,2,0)</f>
        <v>Episode</v>
      </c>
      <c r="AI741" s="3" t="s">
        <v>785</v>
      </c>
    </row>
    <row r="742" spans="1:35" x14ac:dyDescent="0.55000000000000004">
      <c r="A742">
        <v>738</v>
      </c>
      <c r="B742">
        <v>3</v>
      </c>
      <c r="C742" t="str">
        <f>VLOOKUP(B742,Eras!$A$3:$B$999,2,0)</f>
        <v>New</v>
      </c>
      <c r="D742">
        <v>2</v>
      </c>
      <c r="E742" t="str">
        <f>VLOOKUP(D742,EpisodeFormats!$A$3:$B$999,2,0)</f>
        <v>Special</v>
      </c>
      <c r="F742">
        <v>10</v>
      </c>
      <c r="G742" t="str">
        <f>VLOOKUP(F742,Doctors!$A$3:$B$999,2,0)</f>
        <v>David Tennant</v>
      </c>
      <c r="I742">
        <v>4</v>
      </c>
      <c r="J742" t="str">
        <f>VLOOKUP(I742,SeasonFormats!$A$3:$B$999,2,0)</f>
        <v>Special</v>
      </c>
      <c r="K742">
        <v>188</v>
      </c>
      <c r="M742" t="s">
        <v>62</v>
      </c>
      <c r="N742">
        <v>1</v>
      </c>
      <c r="Q742" s="6" t="d">
        <v>2007-12-25</v>
      </c>
      <c r="R742">
        <v>72</v>
      </c>
      <c r="T742" s="15" t="s">
        <v>1098</v>
      </c>
      <c r="U742" t="str" cm="1">
        <f t="array" ref="U742">_xlfn.TEXTJOIN(",",TRUE,_xlfn.XLOOKUP(_xlfn.FILTERXML("&lt;t&gt;&lt;s&gt;" &amp; SUBSTITUTE(T742,",","&lt;/s&gt;&lt;s&gt;") &amp; "&lt;/s&gt;&lt;/t&gt;", "//s"),Writers!$A$3:$A$999,Writers!$B$3:$B$999,""))</f>
        <v>Russell T Davies</v>
      </c>
      <c r="W742" t="str">
        <f>IF(V742="","",_xlfn.XLOOKUP(V742,Writers!$A$3:$A$999,Writers!$B$3:$B$999,""))</f>
        <v/>
      </c>
      <c r="X742">
        <v>12.2</v>
      </c>
      <c r="Y742">
        <v>13.31</v>
      </c>
      <c r="AA742">
        <f t="shared" si="33"/>
        <v>13.59</v>
      </c>
      <c r="AB742">
        <f t="shared" si="34"/>
        <v>14.83</v>
      </c>
      <c r="AC742" t="str">
        <f t="shared" si="35"/>
        <v/>
      </c>
      <c r="AD742">
        <f>VLOOKUP(YEAR(Q742),Populations!$A$3:$B$999,2,0)</f>
        <v>61319100</v>
      </c>
      <c r="AE742">
        <f>(Calculations!B1/AD742)</f>
        <v>1.1139258730151</v>
      </c>
      <c r="AG742">
        <v>2</v>
      </c>
      <c r="AH742" t="str">
        <f>VLOOKUP(AG742,WikiFormats!$A$3:$B$999,2,0)</f>
        <v>Episode</v>
      </c>
      <c r="AI742" t="s">
        <v>786</v>
      </c>
    </row>
    <row r="743" spans="1:35" s="3" customFormat="1" x14ac:dyDescent="0.55000000000000004">
      <c r="A743" s="3">
        <v>739</v>
      </c>
      <c r="B743" s="3">
        <v>3</v>
      </c>
      <c r="C743" s="3" t="str">
        <f>VLOOKUP(B743,Eras!$A$3:$B$999,2,0)</f>
        <v>New</v>
      </c>
      <c r="D743" s="3">
        <v>1</v>
      </c>
      <c r="E743" s="3" t="str">
        <f>VLOOKUP(D743,EpisodeFormats!$A$3:$B$999,2,0)</f>
        <v>Series</v>
      </c>
      <c r="F743" s="3">
        <v>10</v>
      </c>
      <c r="G743" s="3" t="str">
        <f>VLOOKUP(F743,Doctors!$A$3:$B$999,2,0)</f>
        <v>David Tennant</v>
      </c>
      <c r="H743" s="3">
        <v>4</v>
      </c>
      <c r="I743" s="3">
        <v>3</v>
      </c>
      <c r="J743" s="3" t="str">
        <f>VLOOKUP(I743,SeasonFormats!$A$3:$B$999,2,0)</f>
        <v>Series</v>
      </c>
      <c r="K743" s="3">
        <v>189</v>
      </c>
      <c r="L743" s="3">
        <v>1</v>
      </c>
      <c r="M743" s="3" t="s">
        <v>63</v>
      </c>
      <c r="N743" s="3">
        <v>1</v>
      </c>
      <c r="P743" s="3">
        <v>1</v>
      </c>
      <c r="Q743" s="7" t="d">
        <v>2008-04-05</v>
      </c>
      <c r="R743" s="3">
        <v>49</v>
      </c>
      <c r="T743" s="4" t="s">
        <v>1098</v>
      </c>
      <c r="U743" s="3" t="str" cm="1">
        <f t="array" ref="U743">_xlfn.TEXTJOIN(",",TRUE,_xlfn.XLOOKUP(_xlfn.FILTERXML("&lt;t&gt;&lt;s&gt;" &amp; SUBSTITUTE(T743,",","&lt;/s&gt;&lt;s&gt;") &amp; "&lt;/s&gt;&lt;/t&gt;", "//s"),Writers!$A$3:$A$999,Writers!$B$3:$B$999,""))</f>
        <v>Russell T Davies</v>
      </c>
      <c r="W743" s="3" t="str">
        <f>IF(V743="","",_xlfn.XLOOKUP(V743,Writers!$A$3:$A$999,Writers!$B$3:$B$999,""))</f>
        <v/>
      </c>
      <c r="X743" s="3">
        <v>8.4</v>
      </c>
      <c r="Y743" s="3">
        <v>9.14</v>
      </c>
      <c r="AA743" s="3">
        <f t="shared" si="33"/>
        <v>9.2799999999999994</v>
      </c>
      <c r="AB743" s="3">
        <f t="shared" si="34"/>
        <v>10.1</v>
      </c>
      <c r="AC743" s="3" t="str">
        <f t="shared" si="35"/>
        <v/>
      </c>
      <c r="AD743" s="3">
        <f>VLOOKUP(YEAR(Q743),Populations!$A$3:$B$999,2,0)</f>
        <v>61823800</v>
      </c>
      <c r="AE743" s="3">
        <f>(Calculations!B1/AD743)</f>
        <v>1.10483231376913</v>
      </c>
      <c r="AF743" s="3" t="s">
        <v>520</v>
      </c>
      <c r="AG743" s="3">
        <v>2</v>
      </c>
      <c r="AH743" s="3" t="str">
        <f>VLOOKUP(AG743,WikiFormats!$A$3:$B$999,2,0)</f>
        <v>Episode</v>
      </c>
      <c r="AI743" s="3" t="s">
        <v>787</v>
      </c>
    </row>
    <row r="744" spans="1:35" s="3" customFormat="1" x14ac:dyDescent="0.55000000000000004">
      <c r="A744" s="3">
        <v>740</v>
      </c>
      <c r="B744" s="3">
        <v>3</v>
      </c>
      <c r="C744" s="3" t="str">
        <f>VLOOKUP(B744,Eras!$A$3:$B$999,2,0)</f>
        <v>New</v>
      </c>
      <c r="D744" s="3">
        <v>1</v>
      </c>
      <c r="E744" s="3" t="str">
        <f>VLOOKUP(D744,EpisodeFormats!$A$3:$B$999,2,0)</f>
        <v>Series</v>
      </c>
      <c r="F744" s="3">
        <v>10</v>
      </c>
      <c r="G744" s="3" t="str">
        <f>VLOOKUP(F744,Doctors!$A$3:$B$999,2,0)</f>
        <v>David Tennant</v>
      </c>
      <c r="H744" s="3">
        <v>4</v>
      </c>
      <c r="I744" s="3">
        <v>3</v>
      </c>
      <c r="J744" s="3" t="str">
        <f>VLOOKUP(I744,SeasonFormats!$A$3:$B$999,2,0)</f>
        <v>Series</v>
      </c>
      <c r="K744" s="3">
        <v>190</v>
      </c>
      <c r="L744" s="3">
        <v>2</v>
      </c>
      <c r="M744" s="3" t="s">
        <v>64</v>
      </c>
      <c r="N744" s="3">
        <v>1</v>
      </c>
      <c r="P744" s="3">
        <v>2</v>
      </c>
      <c r="Q744" s="7" t="d">
        <v>2008-04-12</v>
      </c>
      <c r="R744" s="3">
        <v>48</v>
      </c>
      <c r="T744" s="4" t="s">
        <v>1158</v>
      </c>
      <c r="U744" s="3" t="str" cm="1">
        <f t="array" ref="U744">_xlfn.TEXTJOIN(",",TRUE,_xlfn.XLOOKUP(_xlfn.FILTERXML("&lt;t&gt;&lt;s&gt;" &amp; SUBSTITUTE(T744,",","&lt;/s&gt;&lt;s&gt;") &amp; "&lt;/s&gt;&lt;/t&gt;", "//s"),Writers!$A$3:$A$999,Writers!$B$3:$B$999,""))</f>
        <v>James Moran</v>
      </c>
      <c r="W744" s="3" t="str">
        <f>IF(V744="","",_xlfn.XLOOKUP(V744,Writers!$A$3:$A$999,Writers!$B$3:$B$999,""))</f>
        <v/>
      </c>
      <c r="X744" s="3">
        <v>8.1</v>
      </c>
      <c r="Y744" s="3">
        <v>9.0399999999999991</v>
      </c>
      <c r="AA744" s="3">
        <f t="shared" si="33"/>
        <v>8.9499999999999993</v>
      </c>
      <c r="AB744" s="3">
        <f t="shared" si="34"/>
        <v>9.99</v>
      </c>
      <c r="AC744" s="3" t="str">
        <f t="shared" si="35"/>
        <v/>
      </c>
      <c r="AD744" s="3">
        <f>VLOOKUP(YEAR(Q744),Populations!$A$3:$B$999,2,0)</f>
        <v>61823800</v>
      </c>
      <c r="AE744" s="3">
        <f>(Calculations!B1/AD744)</f>
        <v>1.10483231376913</v>
      </c>
      <c r="AG744" s="3">
        <v>2</v>
      </c>
      <c r="AH744" s="3" t="str">
        <f>VLOOKUP(AG744,WikiFormats!$A$3:$B$999,2,0)</f>
        <v>Episode</v>
      </c>
      <c r="AI744" s="3" t="s">
        <v>788</v>
      </c>
    </row>
    <row r="745" spans="1:35" s="3" customFormat="1" x14ac:dyDescent="0.55000000000000004">
      <c r="A745" s="3">
        <v>741</v>
      </c>
      <c r="B745" s="3">
        <v>3</v>
      </c>
      <c r="C745" s="3" t="str">
        <f>VLOOKUP(B745,Eras!$A$3:$B$999,2,0)</f>
        <v>New</v>
      </c>
      <c r="D745" s="3">
        <v>1</v>
      </c>
      <c r="E745" s="3" t="str">
        <f>VLOOKUP(D745,EpisodeFormats!$A$3:$B$999,2,0)</f>
        <v>Series</v>
      </c>
      <c r="F745" s="3">
        <v>10</v>
      </c>
      <c r="G745" s="3" t="str">
        <f>VLOOKUP(F745,Doctors!$A$3:$B$999,2,0)</f>
        <v>David Tennant</v>
      </c>
      <c r="H745" s="3">
        <v>4</v>
      </c>
      <c r="I745" s="3">
        <v>3</v>
      </c>
      <c r="J745" s="3" t="str">
        <f>VLOOKUP(I745,SeasonFormats!$A$3:$B$999,2,0)</f>
        <v>Series</v>
      </c>
      <c r="K745" s="3">
        <v>191</v>
      </c>
      <c r="L745" s="3">
        <v>3</v>
      </c>
      <c r="M745" s="3" t="s">
        <v>65</v>
      </c>
      <c r="N745" s="3">
        <v>1</v>
      </c>
      <c r="P745" s="3">
        <v>3</v>
      </c>
      <c r="Q745" s="7" t="d">
        <v>2008-04-19</v>
      </c>
      <c r="R745" s="3">
        <v>44</v>
      </c>
      <c r="T745" s="4" t="s">
        <v>1173</v>
      </c>
      <c r="U745" s="3" t="str" cm="1">
        <f t="array" ref="U745">_xlfn.TEXTJOIN(",",TRUE,_xlfn.XLOOKUP(_xlfn.FILTERXML("&lt;t&gt;&lt;s&gt;" &amp; SUBSTITUTE(T745,",","&lt;/s&gt;&lt;s&gt;") &amp; "&lt;/s&gt;&lt;/t&gt;", "//s"),Writers!$A$3:$A$999,Writers!$B$3:$B$999,""))</f>
        <v>Keith Temple</v>
      </c>
      <c r="W745" s="3" t="str">
        <f>IF(V745="","",_xlfn.XLOOKUP(V745,Writers!$A$3:$A$999,Writers!$B$3:$B$999,""))</f>
        <v/>
      </c>
      <c r="X745" s="3">
        <v>6.53</v>
      </c>
      <c r="Y745" s="3">
        <v>7.5</v>
      </c>
      <c r="AA745" s="3">
        <f t="shared" si="33"/>
        <v>7.21</v>
      </c>
      <c r="AB745" s="3">
        <f t="shared" si="34"/>
        <v>8.2899999999999991</v>
      </c>
      <c r="AC745" s="3" t="str">
        <f t="shared" si="35"/>
        <v/>
      </c>
      <c r="AD745" s="3">
        <f>VLOOKUP(YEAR(Q745),Populations!$A$3:$B$999,2,0)</f>
        <v>61823800</v>
      </c>
      <c r="AE745" s="3">
        <f>(Calculations!B1/AD745)</f>
        <v>1.10483231376913</v>
      </c>
      <c r="AF745" s="3" t="s">
        <v>561</v>
      </c>
      <c r="AG745" s="3">
        <v>2</v>
      </c>
      <c r="AH745" s="3" t="str">
        <f>VLOOKUP(AG745,WikiFormats!$A$3:$B$999,2,0)</f>
        <v>Episode</v>
      </c>
      <c r="AI745" s="3" t="s">
        <v>789</v>
      </c>
    </row>
    <row r="746" spans="1:35" s="3" customFormat="1" x14ac:dyDescent="0.55000000000000004">
      <c r="A746" s="3">
        <v>742</v>
      </c>
      <c r="B746" s="3">
        <v>3</v>
      </c>
      <c r="C746" s="3" t="str">
        <f>VLOOKUP(B746,Eras!$A$3:$B$999,2,0)</f>
        <v>New</v>
      </c>
      <c r="D746" s="3">
        <v>1</v>
      </c>
      <c r="E746" s="3" t="str">
        <f>VLOOKUP(D746,EpisodeFormats!$A$3:$B$999,2,0)</f>
        <v>Series</v>
      </c>
      <c r="F746" s="3">
        <v>10</v>
      </c>
      <c r="G746" s="3" t="str">
        <f>VLOOKUP(F746,Doctors!$A$3:$B$999,2,0)</f>
        <v>David Tennant</v>
      </c>
      <c r="H746" s="3">
        <v>4</v>
      </c>
      <c r="I746" s="3">
        <v>3</v>
      </c>
      <c r="J746" s="3" t="str">
        <f>VLOOKUP(I746,SeasonFormats!$A$3:$B$999,2,0)</f>
        <v>Series</v>
      </c>
      <c r="K746" s="3">
        <v>192</v>
      </c>
      <c r="L746" s="3">
        <v>4</v>
      </c>
      <c r="M746" s="3" t="s">
        <v>66</v>
      </c>
      <c r="N746" s="3">
        <v>1</v>
      </c>
      <c r="P746" s="3">
        <v>4</v>
      </c>
      <c r="Q746" s="7" t="d">
        <v>2008-04-26</v>
      </c>
      <c r="R746" s="3">
        <v>45</v>
      </c>
      <c r="T746" s="4" t="s">
        <v>1164</v>
      </c>
      <c r="U746" s="3" t="str" cm="1">
        <f t="array" ref="U746">_xlfn.TEXTJOIN(",",TRUE,_xlfn.XLOOKUP(_xlfn.FILTERXML("&lt;t&gt;&lt;s&gt;" &amp; SUBSTITUTE(T746,",","&lt;/s&gt;&lt;s&gt;") &amp; "&lt;/s&gt;&lt;/t&gt;", "//s"),Writers!$A$3:$A$999,Writers!$B$3:$B$999,""))</f>
        <v>Helen Raynor</v>
      </c>
      <c r="W746" s="3" t="str">
        <f>IF(V746="","",_xlfn.XLOOKUP(V746,Writers!$A$3:$A$999,Writers!$B$3:$B$999,""))</f>
        <v/>
      </c>
      <c r="X746" s="3">
        <v>6.09</v>
      </c>
      <c r="Y746" s="3">
        <v>7.06</v>
      </c>
      <c r="AA746" s="3">
        <f t="shared" si="33"/>
        <v>6.73</v>
      </c>
      <c r="AB746" s="3">
        <f t="shared" si="34"/>
        <v>7.8</v>
      </c>
      <c r="AC746" s="3" t="str">
        <f t="shared" si="35"/>
        <v/>
      </c>
      <c r="AD746" s="3">
        <f>VLOOKUP(YEAR(Q746),Populations!$A$3:$B$999,2,0)</f>
        <v>61823800</v>
      </c>
      <c r="AE746" s="3">
        <f>(Calculations!B1/AD746)</f>
        <v>1.10483231376913</v>
      </c>
      <c r="AF746" s="3" t="s">
        <v>561</v>
      </c>
      <c r="AG746" s="3">
        <v>2</v>
      </c>
      <c r="AH746" s="3" t="str">
        <f>VLOOKUP(AG746,WikiFormats!$A$3:$B$999,2,0)</f>
        <v>Episode</v>
      </c>
      <c r="AI746" s="3" t="s">
        <v>790</v>
      </c>
    </row>
    <row r="747" spans="1:35" s="3" customFormat="1" x14ac:dyDescent="0.55000000000000004">
      <c r="A747" s="3">
        <v>743</v>
      </c>
      <c r="B747" s="3">
        <v>3</v>
      </c>
      <c r="C747" s="3" t="str">
        <f>VLOOKUP(B747,Eras!$A$3:$B$999,2,0)</f>
        <v>New</v>
      </c>
      <c r="D747" s="3">
        <v>1</v>
      </c>
      <c r="E747" s="3" t="str">
        <f>VLOOKUP(D747,EpisodeFormats!$A$3:$B$999,2,0)</f>
        <v>Series</v>
      </c>
      <c r="F747" s="3">
        <v>10</v>
      </c>
      <c r="G747" s="3" t="str">
        <f>VLOOKUP(F747,Doctors!$A$3:$B$999,2,0)</f>
        <v>David Tennant</v>
      </c>
      <c r="H747" s="3">
        <v>4</v>
      </c>
      <c r="I747" s="3">
        <v>3</v>
      </c>
      <c r="J747" s="3" t="str">
        <f>VLOOKUP(I747,SeasonFormats!$A$3:$B$999,2,0)</f>
        <v>Series</v>
      </c>
      <c r="K747" s="3">
        <v>192</v>
      </c>
      <c r="L747" s="3">
        <v>4</v>
      </c>
      <c r="M747" s="3" t="s">
        <v>67</v>
      </c>
      <c r="N747" s="3">
        <v>2</v>
      </c>
      <c r="P747" s="3">
        <v>5</v>
      </c>
      <c r="Q747" s="7" t="d">
        <v>2008-05-03</v>
      </c>
      <c r="R747" s="3">
        <v>45</v>
      </c>
      <c r="T747" s="4" t="s">
        <v>1164</v>
      </c>
      <c r="U747" s="3" t="str" cm="1">
        <f t="array" ref="U747">_xlfn.TEXTJOIN(",",TRUE,_xlfn.XLOOKUP(_xlfn.FILTERXML("&lt;t&gt;&lt;s&gt;" &amp; SUBSTITUTE(T747,",","&lt;/s&gt;&lt;s&gt;") &amp; "&lt;/s&gt;&lt;/t&gt;", "//s"),Writers!$A$3:$A$999,Writers!$B$3:$B$999,""))</f>
        <v>Helen Raynor</v>
      </c>
      <c r="W747" s="3" t="str">
        <f>IF(V747="","",_xlfn.XLOOKUP(V747,Writers!$A$3:$A$999,Writers!$B$3:$B$999,""))</f>
        <v/>
      </c>
      <c r="X747" s="3">
        <v>5.9</v>
      </c>
      <c r="Y747" s="3">
        <v>6.53</v>
      </c>
      <c r="AA747" s="3">
        <f t="shared" si="33"/>
        <v>6.52</v>
      </c>
      <c r="AB747" s="3">
        <f t="shared" si="34"/>
        <v>7.21</v>
      </c>
      <c r="AC747" s="3" t="str">
        <f t="shared" si="35"/>
        <v/>
      </c>
      <c r="AD747" s="3">
        <f>VLOOKUP(YEAR(Q747),Populations!$A$3:$B$999,2,0)</f>
        <v>61823800</v>
      </c>
      <c r="AE747" s="3">
        <f>(Calculations!B1/AD747)</f>
        <v>1.10483231376913</v>
      </c>
      <c r="AG747" s="3">
        <v>2</v>
      </c>
      <c r="AH747" s="3" t="str">
        <f>VLOOKUP(AG747,WikiFormats!$A$3:$B$999,2,0)</f>
        <v>Episode</v>
      </c>
      <c r="AI747" s="3" t="s">
        <v>791</v>
      </c>
    </row>
    <row r="748" spans="1:35" s="3" customFormat="1" x14ac:dyDescent="0.55000000000000004">
      <c r="A748" s="3">
        <v>744</v>
      </c>
      <c r="B748" s="3">
        <v>3</v>
      </c>
      <c r="C748" s="3" t="str">
        <f>VLOOKUP(B748,Eras!$A$3:$B$999,2,0)</f>
        <v>New</v>
      </c>
      <c r="D748" s="3">
        <v>1</v>
      </c>
      <c r="E748" s="3" t="str">
        <f>VLOOKUP(D748,EpisodeFormats!$A$3:$B$999,2,0)</f>
        <v>Series</v>
      </c>
      <c r="F748" s="3">
        <v>10</v>
      </c>
      <c r="G748" s="3" t="str">
        <f>VLOOKUP(F748,Doctors!$A$3:$B$999,2,0)</f>
        <v>David Tennant</v>
      </c>
      <c r="H748" s="3">
        <v>4</v>
      </c>
      <c r="I748" s="3">
        <v>3</v>
      </c>
      <c r="J748" s="3" t="str">
        <f>VLOOKUP(I748,SeasonFormats!$A$3:$B$999,2,0)</f>
        <v>Series</v>
      </c>
      <c r="K748" s="3">
        <v>193</v>
      </c>
      <c r="L748" s="3">
        <v>5</v>
      </c>
      <c r="M748" s="3" t="s">
        <v>68</v>
      </c>
      <c r="N748" s="3">
        <v>1</v>
      </c>
      <c r="P748" s="3">
        <v>6</v>
      </c>
      <c r="Q748" s="7" t="d">
        <v>2008-05-10</v>
      </c>
      <c r="R748" s="3">
        <v>45</v>
      </c>
      <c r="T748" s="4" t="s">
        <v>1118</v>
      </c>
      <c r="U748" s="3" t="str" cm="1">
        <f t="array" ref="U748">_xlfn.TEXTJOIN(",",TRUE,_xlfn.XLOOKUP(_xlfn.FILTERXML("&lt;t&gt;&lt;s&gt;" &amp; SUBSTITUTE(T748,",","&lt;/s&gt;&lt;s&gt;") &amp; "&lt;/s&gt;&lt;/t&gt;", "//s"),Writers!$A$3:$A$999,Writers!$B$3:$B$999,""))</f>
        <v>Stephen Greenhorn</v>
      </c>
      <c r="W748" s="3" t="str">
        <f>IF(V748="","",_xlfn.XLOOKUP(V748,Writers!$A$3:$A$999,Writers!$B$3:$B$999,""))</f>
        <v/>
      </c>
      <c r="X748" s="3">
        <v>6.6</v>
      </c>
      <c r="Y748" s="3">
        <v>7.33</v>
      </c>
      <c r="AA748" s="3">
        <f t="shared" si="33"/>
        <v>7.29</v>
      </c>
      <c r="AB748" s="3">
        <f t="shared" si="34"/>
        <v>8.1</v>
      </c>
      <c r="AC748" s="3" t="str">
        <f t="shared" si="35"/>
        <v/>
      </c>
      <c r="AD748" s="3">
        <f>VLOOKUP(YEAR(Q748),Populations!$A$3:$B$999,2,0)</f>
        <v>61823800</v>
      </c>
      <c r="AE748" s="3">
        <f>(Calculations!B1/AD748)</f>
        <v>1.10483231376913</v>
      </c>
      <c r="AG748" s="3">
        <v>2</v>
      </c>
      <c r="AH748" s="3" t="str">
        <f>VLOOKUP(AG748,WikiFormats!$A$3:$B$999,2,0)</f>
        <v>Episode</v>
      </c>
      <c r="AI748" s="3" t="s">
        <v>792</v>
      </c>
    </row>
    <row r="749" spans="1:35" s="3" customFormat="1" x14ac:dyDescent="0.55000000000000004">
      <c r="A749" s="3">
        <v>745</v>
      </c>
      <c r="B749" s="3">
        <v>3</v>
      </c>
      <c r="C749" s="3" t="str">
        <f>VLOOKUP(B749,Eras!$A$3:$B$999,2,0)</f>
        <v>New</v>
      </c>
      <c r="D749" s="3">
        <v>1</v>
      </c>
      <c r="E749" s="3" t="str">
        <f>VLOOKUP(D749,EpisodeFormats!$A$3:$B$999,2,0)</f>
        <v>Series</v>
      </c>
      <c r="F749" s="3">
        <v>10</v>
      </c>
      <c r="G749" s="3" t="str">
        <f>VLOOKUP(F749,Doctors!$A$3:$B$999,2,0)</f>
        <v>David Tennant</v>
      </c>
      <c r="H749" s="3">
        <v>4</v>
      </c>
      <c r="I749" s="3">
        <v>3</v>
      </c>
      <c r="J749" s="3" t="str">
        <f>VLOOKUP(I749,SeasonFormats!$A$3:$B$999,2,0)</f>
        <v>Series</v>
      </c>
      <c r="K749" s="3">
        <v>194</v>
      </c>
      <c r="L749" s="3">
        <v>6</v>
      </c>
      <c r="M749" s="3" t="s">
        <v>69</v>
      </c>
      <c r="N749" s="3">
        <v>1</v>
      </c>
      <c r="P749" s="3">
        <v>7</v>
      </c>
      <c r="Q749" s="7" t="d">
        <v>2008-05-17</v>
      </c>
      <c r="R749" s="3">
        <v>45</v>
      </c>
      <c r="T749" s="4" t="s">
        <v>1148</v>
      </c>
      <c r="U749" s="3" t="str" cm="1">
        <f t="array" ref="U749">_xlfn.TEXTJOIN(",",TRUE,_xlfn.XLOOKUP(_xlfn.FILTERXML("&lt;t&gt;&lt;s&gt;" &amp; SUBSTITUTE(T749,",","&lt;/s&gt;&lt;s&gt;") &amp; "&lt;/s&gt;&lt;/t&gt;", "//s"),Writers!$A$3:$A$999,Writers!$B$3:$B$999,""))</f>
        <v>Gareth Roberts</v>
      </c>
      <c r="W749" s="3" t="str">
        <f>IF(V749="","",_xlfn.XLOOKUP(V749,Writers!$A$3:$A$999,Writers!$B$3:$B$999,""))</f>
        <v/>
      </c>
      <c r="X749" s="3">
        <v>7.44</v>
      </c>
      <c r="Y749" s="3">
        <v>8.41</v>
      </c>
      <c r="AA749" s="3">
        <f t="shared" si="33"/>
        <v>8.2200000000000006</v>
      </c>
      <c r="AB749" s="3">
        <f t="shared" si="34"/>
        <v>9.2899999999999991</v>
      </c>
      <c r="AC749" s="3" t="str">
        <f t="shared" si="35"/>
        <v/>
      </c>
      <c r="AD749" s="3">
        <f>VLOOKUP(YEAR(Q749),Populations!$A$3:$B$999,2,0)</f>
        <v>61823800</v>
      </c>
      <c r="AE749" s="3">
        <f>(Calculations!B1/AD749)</f>
        <v>1.10483231376913</v>
      </c>
      <c r="AF749" s="3" t="s">
        <v>561</v>
      </c>
      <c r="AG749" s="3">
        <v>2</v>
      </c>
      <c r="AH749" s="3" t="str">
        <f>VLOOKUP(AG749,WikiFormats!$A$3:$B$999,2,0)</f>
        <v>Episode</v>
      </c>
      <c r="AI749" s="3" t="s">
        <v>793</v>
      </c>
    </row>
    <row r="750" spans="1:35" s="3" customFormat="1" x14ac:dyDescent="0.55000000000000004">
      <c r="A750" s="3">
        <v>746</v>
      </c>
      <c r="B750" s="3">
        <v>3</v>
      </c>
      <c r="C750" s="3" t="str">
        <f>VLOOKUP(B750,Eras!$A$3:$B$999,2,0)</f>
        <v>New</v>
      </c>
      <c r="D750" s="3">
        <v>1</v>
      </c>
      <c r="E750" s="3" t="str">
        <f>VLOOKUP(D750,EpisodeFormats!$A$3:$B$999,2,0)</f>
        <v>Series</v>
      </c>
      <c r="F750" s="3">
        <v>10</v>
      </c>
      <c r="G750" s="3" t="str">
        <f>VLOOKUP(F750,Doctors!$A$3:$B$999,2,0)</f>
        <v>David Tennant</v>
      </c>
      <c r="H750" s="3">
        <v>4</v>
      </c>
      <c r="I750" s="3">
        <v>3</v>
      </c>
      <c r="J750" s="3" t="str">
        <f>VLOOKUP(I750,SeasonFormats!$A$3:$B$999,2,0)</f>
        <v>Series</v>
      </c>
      <c r="K750" s="3">
        <v>195</v>
      </c>
      <c r="L750" s="3">
        <v>7</v>
      </c>
      <c r="M750" s="3" t="s">
        <v>70</v>
      </c>
      <c r="N750" s="3">
        <v>1</v>
      </c>
      <c r="P750" s="3">
        <v>8</v>
      </c>
      <c r="Q750" s="7" t="d">
        <v>2008-05-31</v>
      </c>
      <c r="R750" s="3">
        <v>43</v>
      </c>
      <c r="T750" s="4" t="s">
        <v>1153</v>
      </c>
      <c r="U750" s="3" t="str" cm="1">
        <f t="array" ref="U750">_xlfn.TEXTJOIN(",",TRUE,_xlfn.XLOOKUP(_xlfn.FILTERXML("&lt;t&gt;&lt;s&gt;" &amp; SUBSTITUTE(T750,",","&lt;/s&gt;&lt;s&gt;") &amp; "&lt;/s&gt;&lt;/t&gt;", "//s"),Writers!$A$3:$A$999,Writers!$B$3:$B$999,""))</f>
        <v>Steven Moffat</v>
      </c>
      <c r="W750" s="3" t="str">
        <f>IF(V750="","",_xlfn.XLOOKUP(V750,Writers!$A$3:$A$999,Writers!$B$3:$B$999,""))</f>
        <v/>
      </c>
      <c r="X750" s="3">
        <v>5.3</v>
      </c>
      <c r="Y750" s="3">
        <v>6.27</v>
      </c>
      <c r="AA750" s="3">
        <f t="shared" si="33"/>
        <v>5.86</v>
      </c>
      <c r="AB750" s="3">
        <f t="shared" si="34"/>
        <v>6.93</v>
      </c>
      <c r="AC750" s="3" t="str">
        <f t="shared" si="35"/>
        <v/>
      </c>
      <c r="AD750" s="3">
        <f>VLOOKUP(YEAR(Q750),Populations!$A$3:$B$999,2,0)</f>
        <v>61823800</v>
      </c>
      <c r="AE750" s="3">
        <f>(Calculations!B1/AD750)</f>
        <v>1.10483231376913</v>
      </c>
      <c r="AF750" s="3" t="s">
        <v>561</v>
      </c>
      <c r="AG750" s="3">
        <v>2</v>
      </c>
      <c r="AH750" s="3" t="str">
        <f>VLOOKUP(AG750,WikiFormats!$A$3:$B$999,2,0)</f>
        <v>Episode</v>
      </c>
      <c r="AI750" s="3" t="s">
        <v>794</v>
      </c>
    </row>
    <row r="751" spans="1:35" s="3" customFormat="1" x14ac:dyDescent="0.55000000000000004">
      <c r="A751" s="3">
        <v>747</v>
      </c>
      <c r="B751" s="3">
        <v>3</v>
      </c>
      <c r="C751" s="3" t="str">
        <f>VLOOKUP(B751,Eras!$A$3:$B$999,2,0)</f>
        <v>New</v>
      </c>
      <c r="D751" s="3">
        <v>1</v>
      </c>
      <c r="E751" s="3" t="str">
        <f>VLOOKUP(D751,EpisodeFormats!$A$3:$B$999,2,0)</f>
        <v>Series</v>
      </c>
      <c r="F751" s="3">
        <v>10</v>
      </c>
      <c r="G751" s="3" t="str">
        <f>VLOOKUP(F751,Doctors!$A$3:$B$999,2,0)</f>
        <v>David Tennant</v>
      </c>
      <c r="H751" s="3">
        <v>4</v>
      </c>
      <c r="I751" s="3">
        <v>3</v>
      </c>
      <c r="J751" s="3" t="str">
        <f>VLOOKUP(I751,SeasonFormats!$A$3:$B$999,2,0)</f>
        <v>Series</v>
      </c>
      <c r="K751" s="3">
        <v>195</v>
      </c>
      <c r="L751" s="3">
        <v>7</v>
      </c>
      <c r="M751" s="3" t="s">
        <v>71</v>
      </c>
      <c r="N751" s="3">
        <v>2</v>
      </c>
      <c r="P751" s="3">
        <v>9</v>
      </c>
      <c r="Q751" s="7" t="d">
        <v>2008-06-07</v>
      </c>
      <c r="R751" s="3">
        <v>45</v>
      </c>
      <c r="T751" s="4" t="s">
        <v>1153</v>
      </c>
      <c r="U751" s="3" t="str" cm="1">
        <f t="array" ref="U751">_xlfn.TEXTJOIN(",",TRUE,_xlfn.XLOOKUP(_xlfn.FILTERXML("&lt;t&gt;&lt;s&gt;" &amp; SUBSTITUTE(T751,",","&lt;/s&gt;&lt;s&gt;") &amp; "&lt;/s&gt;&lt;/t&gt;", "//s"),Writers!$A$3:$A$999,Writers!$B$3:$B$999,""))</f>
        <v>Steven Moffat</v>
      </c>
      <c r="W751" s="3" t="str">
        <f>IF(V751="","",_xlfn.XLOOKUP(V751,Writers!$A$3:$A$999,Writers!$B$3:$B$999,""))</f>
        <v/>
      </c>
      <c r="X751" s="3">
        <v>6.87</v>
      </c>
      <c r="Y751" s="3">
        <v>7.84</v>
      </c>
      <c r="AA751" s="3">
        <f t="shared" si="33"/>
        <v>7.59</v>
      </c>
      <c r="AB751" s="3">
        <f t="shared" si="34"/>
        <v>8.66</v>
      </c>
      <c r="AC751" s="3" t="str">
        <f t="shared" si="35"/>
        <v/>
      </c>
      <c r="AD751" s="3">
        <f>VLOOKUP(YEAR(Q751),Populations!$A$3:$B$999,2,0)</f>
        <v>61823800</v>
      </c>
      <c r="AE751" s="3">
        <f>(Calculations!B1/AD751)</f>
        <v>1.10483231376913</v>
      </c>
      <c r="AF751" s="3" t="s">
        <v>561</v>
      </c>
      <c r="AG751" s="3">
        <v>2</v>
      </c>
      <c r="AH751" s="3" t="str">
        <f>VLOOKUP(AG751,WikiFormats!$A$3:$B$999,2,0)</f>
        <v>Episode</v>
      </c>
      <c r="AI751" s="3" t="s">
        <v>795</v>
      </c>
    </row>
    <row r="752" spans="1:35" s="3" customFormat="1" x14ac:dyDescent="0.55000000000000004">
      <c r="A752" s="3">
        <v>748</v>
      </c>
      <c r="B752" s="3">
        <v>3</v>
      </c>
      <c r="C752" s="3" t="str">
        <f>VLOOKUP(B752,Eras!$A$3:$B$999,2,0)</f>
        <v>New</v>
      </c>
      <c r="D752" s="3">
        <v>1</v>
      </c>
      <c r="E752" s="3" t="str">
        <f>VLOOKUP(D752,EpisodeFormats!$A$3:$B$999,2,0)</f>
        <v>Series</v>
      </c>
      <c r="F752" s="3">
        <v>10</v>
      </c>
      <c r="G752" s="3" t="str">
        <f>VLOOKUP(F752,Doctors!$A$3:$B$999,2,0)</f>
        <v>David Tennant</v>
      </c>
      <c r="H752" s="3">
        <v>4</v>
      </c>
      <c r="I752" s="3">
        <v>3</v>
      </c>
      <c r="J752" s="3" t="str">
        <f>VLOOKUP(I752,SeasonFormats!$A$3:$B$999,2,0)</f>
        <v>Series</v>
      </c>
      <c r="K752" s="3">
        <v>196</v>
      </c>
      <c r="L752" s="3">
        <v>8</v>
      </c>
      <c r="M752" s="3" t="s">
        <v>72</v>
      </c>
      <c r="N752" s="3">
        <v>1</v>
      </c>
      <c r="P752" s="3">
        <v>10</v>
      </c>
      <c r="Q752" s="7" t="d">
        <v>2008-06-14</v>
      </c>
      <c r="R752" s="3">
        <v>44</v>
      </c>
      <c r="T752" s="4" t="s">
        <v>1098</v>
      </c>
      <c r="U752" s="3" t="str" cm="1">
        <f t="array" ref="U752">_xlfn.TEXTJOIN(",",TRUE,_xlfn.XLOOKUP(_xlfn.FILTERXML("&lt;t&gt;&lt;s&gt;" &amp; SUBSTITUTE(T752,",","&lt;/s&gt;&lt;s&gt;") &amp; "&lt;/s&gt;&lt;/t&gt;", "//s"),Writers!$A$3:$A$999,Writers!$B$3:$B$999,""))</f>
        <v>Russell T Davies</v>
      </c>
      <c r="W752" s="3" t="str">
        <f>IF(V752="","",_xlfn.XLOOKUP(V752,Writers!$A$3:$A$999,Writers!$B$3:$B$999,""))</f>
        <v/>
      </c>
      <c r="X752" s="3">
        <v>7.08</v>
      </c>
      <c r="Y752" s="3">
        <v>8.0500000000000007</v>
      </c>
      <c r="AA752" s="3">
        <f t="shared" si="33"/>
        <v>7.82</v>
      </c>
      <c r="AB752" s="3">
        <f t="shared" si="34"/>
        <v>8.89</v>
      </c>
      <c r="AC752" s="3" t="str">
        <f t="shared" si="35"/>
        <v/>
      </c>
      <c r="AD752" s="3">
        <f>VLOOKUP(YEAR(Q752),Populations!$A$3:$B$999,2,0)</f>
        <v>61823800</v>
      </c>
      <c r="AE752" s="3">
        <f>(Calculations!B1/AD752)</f>
        <v>1.10483231376913</v>
      </c>
      <c r="AF752" s="3" t="s">
        <v>561</v>
      </c>
      <c r="AG752" s="3">
        <v>2</v>
      </c>
      <c r="AH752" s="3" t="str">
        <f>VLOOKUP(AG752,WikiFormats!$A$3:$B$999,2,0)</f>
        <v>Episode</v>
      </c>
      <c r="AI752" s="3" t="s">
        <v>796</v>
      </c>
    </row>
    <row r="753" spans="1:35" s="3" customFormat="1" x14ac:dyDescent="0.55000000000000004">
      <c r="A753" s="3">
        <v>749</v>
      </c>
      <c r="B753" s="3">
        <v>3</v>
      </c>
      <c r="C753" s="3" t="str">
        <f>VLOOKUP(B753,Eras!$A$3:$B$999,2,0)</f>
        <v>New</v>
      </c>
      <c r="D753" s="3">
        <v>1</v>
      </c>
      <c r="E753" s="3" t="str">
        <f>VLOOKUP(D753,EpisodeFormats!$A$3:$B$999,2,0)</f>
        <v>Series</v>
      </c>
      <c r="F753" s="3">
        <v>10</v>
      </c>
      <c r="G753" s="3" t="str">
        <f>VLOOKUP(F753,Doctors!$A$3:$B$999,2,0)</f>
        <v>David Tennant</v>
      </c>
      <c r="H753" s="3">
        <v>4</v>
      </c>
      <c r="I753" s="3">
        <v>3</v>
      </c>
      <c r="J753" s="3" t="str">
        <f>VLOOKUP(I753,SeasonFormats!$A$3:$B$999,2,0)</f>
        <v>Series</v>
      </c>
      <c r="K753" s="3">
        <v>197</v>
      </c>
      <c r="L753" s="3">
        <v>9</v>
      </c>
      <c r="M753" s="3" t="s">
        <v>73</v>
      </c>
      <c r="N753" s="3">
        <v>1</v>
      </c>
      <c r="P753" s="3">
        <v>11</v>
      </c>
      <c r="Q753" s="7" t="d">
        <v>2008-06-21</v>
      </c>
      <c r="R753" s="3">
        <v>49</v>
      </c>
      <c r="T753" s="4" t="s">
        <v>1098</v>
      </c>
      <c r="U753" s="3" t="str" cm="1">
        <f t="array" ref="U753">_xlfn.TEXTJOIN(",",TRUE,_xlfn.XLOOKUP(_xlfn.FILTERXML("&lt;t&gt;&lt;s&gt;" &amp; SUBSTITUTE(T753,",","&lt;/s&gt;&lt;s&gt;") &amp; "&lt;/s&gt;&lt;/t&gt;", "//s"),Writers!$A$3:$A$999,Writers!$B$3:$B$999,""))</f>
        <v>Russell T Davies</v>
      </c>
      <c r="W753" s="3" t="str">
        <f>IF(V753="","",_xlfn.XLOOKUP(V753,Writers!$A$3:$A$999,Writers!$B$3:$B$999,""))</f>
        <v/>
      </c>
      <c r="X753" s="3">
        <v>7.12</v>
      </c>
      <c r="Y753" s="3">
        <v>8.09</v>
      </c>
      <c r="AA753" s="3">
        <f t="shared" si="33"/>
        <v>7.87</v>
      </c>
      <c r="AB753" s="3">
        <f t="shared" si="34"/>
        <v>8.94</v>
      </c>
      <c r="AC753" s="3" t="str">
        <f t="shared" si="35"/>
        <v/>
      </c>
      <c r="AD753" s="3">
        <f>VLOOKUP(YEAR(Q753),Populations!$A$3:$B$999,2,0)</f>
        <v>61823800</v>
      </c>
      <c r="AE753" s="3">
        <f>(Calculations!B1/AD753)</f>
        <v>1.10483231376913</v>
      </c>
      <c r="AF753" s="3" t="s">
        <v>561</v>
      </c>
      <c r="AG753" s="3">
        <v>2</v>
      </c>
      <c r="AH753" s="3" t="str">
        <f>VLOOKUP(AG753,WikiFormats!$A$3:$B$999,2,0)</f>
        <v>Episode</v>
      </c>
      <c r="AI753" s="3" t="s">
        <v>797</v>
      </c>
    </row>
    <row r="754" spans="1:35" s="3" customFormat="1" x14ac:dyDescent="0.55000000000000004">
      <c r="A754" s="3">
        <v>750</v>
      </c>
      <c r="B754" s="3">
        <v>3</v>
      </c>
      <c r="C754" s="3" t="str">
        <f>VLOOKUP(B754,Eras!$A$3:$B$999,2,0)</f>
        <v>New</v>
      </c>
      <c r="D754" s="3">
        <v>1</v>
      </c>
      <c r="E754" s="3" t="str">
        <f>VLOOKUP(D754,EpisodeFormats!$A$3:$B$999,2,0)</f>
        <v>Series</v>
      </c>
      <c r="F754" s="3">
        <v>10</v>
      </c>
      <c r="G754" s="3" t="str">
        <f>VLOOKUP(F754,Doctors!$A$3:$B$999,2,0)</f>
        <v>David Tennant</v>
      </c>
      <c r="H754" s="3">
        <v>4</v>
      </c>
      <c r="I754" s="3">
        <v>3</v>
      </c>
      <c r="J754" s="3" t="str">
        <f>VLOOKUP(I754,SeasonFormats!$A$3:$B$999,2,0)</f>
        <v>Series</v>
      </c>
      <c r="K754" s="3">
        <v>198</v>
      </c>
      <c r="L754" s="3">
        <v>10</v>
      </c>
      <c r="M754" s="3" t="s">
        <v>74</v>
      </c>
      <c r="N754" s="3">
        <v>1</v>
      </c>
      <c r="P754" s="3">
        <v>12</v>
      </c>
      <c r="Q754" s="7" t="d">
        <v>2008-06-28</v>
      </c>
      <c r="R754" s="3">
        <v>46</v>
      </c>
      <c r="T754" s="4" t="s">
        <v>1098</v>
      </c>
      <c r="U754" s="3" t="str" cm="1">
        <f t="array" ref="U754">_xlfn.TEXTJOIN(",",TRUE,_xlfn.XLOOKUP(_xlfn.FILTERXML("&lt;t&gt;&lt;s&gt;" &amp; SUBSTITUTE(T754,",","&lt;/s&gt;&lt;s&gt;") &amp; "&lt;/s&gt;&lt;/t&gt;", "//s"),Writers!$A$3:$A$999,Writers!$B$3:$B$999,""))</f>
        <v>Russell T Davies</v>
      </c>
      <c r="W754" s="3" t="str">
        <f>IF(V754="","",_xlfn.XLOOKUP(V754,Writers!$A$3:$A$999,Writers!$B$3:$B$999,""))</f>
        <v/>
      </c>
      <c r="X754" s="3">
        <v>7.4</v>
      </c>
      <c r="Y754" s="3">
        <v>8.7799999999999994</v>
      </c>
      <c r="AA754" s="3">
        <f t="shared" si="33"/>
        <v>8.18</v>
      </c>
      <c r="AB754" s="3">
        <f t="shared" si="34"/>
        <v>9.6999999999999993</v>
      </c>
      <c r="AC754" s="3" t="str">
        <f t="shared" si="35"/>
        <v/>
      </c>
      <c r="AD754" s="3">
        <f>VLOOKUP(YEAR(Q754),Populations!$A$3:$B$999,2,0)</f>
        <v>61823800</v>
      </c>
      <c r="AE754" s="3">
        <f>(Calculations!B1/AD754)</f>
        <v>1.10483231376913</v>
      </c>
      <c r="AG754" s="3">
        <v>2</v>
      </c>
      <c r="AH754" s="3" t="str">
        <f>VLOOKUP(AG754,WikiFormats!$A$3:$B$999,2,0)</f>
        <v>Episode</v>
      </c>
      <c r="AI754" s="3" t="s">
        <v>798</v>
      </c>
    </row>
    <row r="755" spans="1:35" s="3" customFormat="1" x14ac:dyDescent="0.55000000000000004">
      <c r="A755" s="3">
        <v>751</v>
      </c>
      <c r="B755" s="3">
        <v>3</v>
      </c>
      <c r="C755" s="3" t="str">
        <f>VLOOKUP(B755,Eras!$A$3:$B$999,2,0)</f>
        <v>New</v>
      </c>
      <c r="D755" s="3">
        <v>1</v>
      </c>
      <c r="E755" s="3" t="str">
        <f>VLOOKUP(D755,EpisodeFormats!$A$3:$B$999,2,0)</f>
        <v>Series</v>
      </c>
      <c r="F755" s="3">
        <v>10</v>
      </c>
      <c r="G755" s="3" t="str">
        <f>VLOOKUP(F755,Doctors!$A$3:$B$999,2,0)</f>
        <v>David Tennant</v>
      </c>
      <c r="H755" s="3">
        <v>4</v>
      </c>
      <c r="I755" s="3">
        <v>3</v>
      </c>
      <c r="J755" s="3" t="str">
        <f>VLOOKUP(I755,SeasonFormats!$A$3:$B$999,2,0)</f>
        <v>Series</v>
      </c>
      <c r="K755" s="3">
        <v>198</v>
      </c>
      <c r="L755" s="3">
        <v>10</v>
      </c>
      <c r="M755" s="3" t="s">
        <v>75</v>
      </c>
      <c r="N755" s="3">
        <v>2</v>
      </c>
      <c r="P755" s="3">
        <v>13</v>
      </c>
      <c r="Q755" s="7" t="d">
        <v>2008-07-05</v>
      </c>
      <c r="R755" s="3">
        <v>63</v>
      </c>
      <c r="T755" s="4" t="s">
        <v>1098</v>
      </c>
      <c r="U755" s="3" t="str" cm="1">
        <f t="array" ref="U755">_xlfn.TEXTJOIN(",",TRUE,_xlfn.XLOOKUP(_xlfn.FILTERXML("&lt;t&gt;&lt;s&gt;" &amp; SUBSTITUTE(T755,",","&lt;/s&gt;&lt;s&gt;") &amp; "&lt;/s&gt;&lt;/t&gt;", "//s"),Writers!$A$3:$A$999,Writers!$B$3:$B$999,""))</f>
        <v>Russell T Davies</v>
      </c>
      <c r="W755" s="3" t="str">
        <f>IF(V755="","",_xlfn.XLOOKUP(V755,Writers!$A$3:$A$999,Writers!$B$3:$B$999,""))</f>
        <v/>
      </c>
      <c r="X755" s="3">
        <v>9.6</v>
      </c>
      <c r="Y755" s="3">
        <v>10.57</v>
      </c>
      <c r="AA755" s="3">
        <f t="shared" si="33"/>
        <v>10.61</v>
      </c>
      <c r="AB755" s="3">
        <f t="shared" si="34"/>
        <v>11.68</v>
      </c>
      <c r="AC755" s="3" t="str">
        <f t="shared" si="35"/>
        <v/>
      </c>
      <c r="AD755" s="3">
        <f>VLOOKUP(YEAR(Q755),Populations!$A$3:$B$999,2,0)</f>
        <v>61823800</v>
      </c>
      <c r="AE755" s="3">
        <f>(Calculations!B1/AD755)</f>
        <v>1.10483231376913</v>
      </c>
      <c r="AF755" s="3" t="s">
        <v>561</v>
      </c>
      <c r="AG755" s="3">
        <v>2</v>
      </c>
      <c r="AH755" s="3" t="str">
        <f>VLOOKUP(AG755,WikiFormats!$A$3:$B$999,2,0)</f>
        <v>Episode</v>
      </c>
      <c r="AI755" s="3" t="s">
        <v>799</v>
      </c>
    </row>
    <row r="756" spans="1:35" x14ac:dyDescent="0.55000000000000004">
      <c r="A756">
        <v>752</v>
      </c>
      <c r="B756">
        <v>3</v>
      </c>
      <c r="C756" t="str">
        <f>VLOOKUP(B756,Eras!$A$3:$B$999,2,0)</f>
        <v>New</v>
      </c>
      <c r="D756">
        <v>2</v>
      </c>
      <c r="E756" t="str">
        <f>VLOOKUP(D756,EpisodeFormats!$A$3:$B$999,2,0)</f>
        <v>Special</v>
      </c>
      <c r="F756">
        <v>10</v>
      </c>
      <c r="G756" t="str">
        <f>VLOOKUP(F756,Doctors!$A$3:$B$999,2,0)</f>
        <v>David Tennant</v>
      </c>
      <c r="I756">
        <v>4</v>
      </c>
      <c r="J756" t="str">
        <f>VLOOKUP(I756,SeasonFormats!$A$3:$B$999,2,0)</f>
        <v>Special</v>
      </c>
      <c r="K756">
        <v>199</v>
      </c>
      <c r="M756" t="s">
        <v>78</v>
      </c>
      <c r="N756">
        <v>1</v>
      </c>
      <c r="Q756" s="6" t="d">
        <v>2008-12-25</v>
      </c>
      <c r="R756">
        <v>60</v>
      </c>
      <c r="T756" s="15" t="s">
        <v>1098</v>
      </c>
      <c r="U756" t="str" cm="1">
        <f t="array" ref="U756">_xlfn.TEXTJOIN(",",TRUE,_xlfn.XLOOKUP(_xlfn.FILTERXML("&lt;t&gt;&lt;s&gt;" &amp; SUBSTITUTE(T756,",","&lt;/s&gt;&lt;s&gt;") &amp; "&lt;/s&gt;&lt;/t&gt;", "//s"),Writers!$A$3:$A$999,Writers!$B$3:$B$999,""))</f>
        <v>Russell T Davies</v>
      </c>
      <c r="W756" t="str">
        <f>IF(V756="","",_xlfn.XLOOKUP(V756,Writers!$A$3:$A$999,Writers!$B$3:$B$999,""))</f>
        <v/>
      </c>
      <c r="X756">
        <v>11.71</v>
      </c>
      <c r="Y756">
        <v>13.1</v>
      </c>
      <c r="AA756">
        <f t="shared" si="33"/>
        <v>12.94</v>
      </c>
      <c r="AB756">
        <f t="shared" si="34"/>
        <v>14.47</v>
      </c>
      <c r="AC756" t="str">
        <f t="shared" si="35"/>
        <v/>
      </c>
      <c r="AD756">
        <f>VLOOKUP(YEAR(Q756),Populations!$A$3:$B$999,2,0)</f>
        <v>61823800</v>
      </c>
      <c r="AE756">
        <f>(Calculations!B1/AD756)</f>
        <v>1.10483231376913</v>
      </c>
      <c r="AG756">
        <v>2</v>
      </c>
      <c r="AH756" t="str">
        <f>VLOOKUP(AG756,WikiFormats!$A$3:$B$999,2,0)</f>
        <v>Episode</v>
      </c>
      <c r="AI756" t="s">
        <v>800</v>
      </c>
    </row>
    <row r="757" spans="1:35" x14ac:dyDescent="0.55000000000000004">
      <c r="A757">
        <v>753</v>
      </c>
      <c r="B757">
        <v>3</v>
      </c>
      <c r="C757" t="str">
        <f>VLOOKUP(B757,Eras!$A$3:$B$999,2,0)</f>
        <v>New</v>
      </c>
      <c r="D757">
        <v>2</v>
      </c>
      <c r="E757" t="str">
        <f>VLOOKUP(D757,EpisodeFormats!$A$3:$B$999,2,0)</f>
        <v>Special</v>
      </c>
      <c r="F757">
        <v>10</v>
      </c>
      <c r="G757" t="str">
        <f>VLOOKUP(F757,Doctors!$A$3:$B$999,2,0)</f>
        <v>David Tennant</v>
      </c>
      <c r="I757">
        <v>4</v>
      </c>
      <c r="J757" t="str">
        <f>VLOOKUP(I757,SeasonFormats!$A$3:$B$999,2,0)</f>
        <v>Special</v>
      </c>
      <c r="K757">
        <v>200</v>
      </c>
      <c r="M757" t="s">
        <v>79</v>
      </c>
      <c r="N757">
        <v>1</v>
      </c>
      <c r="Q757" s="6" t="d">
        <v>2009-04-11</v>
      </c>
      <c r="R757">
        <v>59</v>
      </c>
      <c r="T757" s="15" t="s">
        <v>1166</v>
      </c>
      <c r="U757" t="str" cm="1">
        <f t="array" ref="U757">_xlfn.TEXTJOIN(",",TRUE,_xlfn.XLOOKUP(_xlfn.FILTERXML("&lt;t&gt;&lt;s&gt;" &amp; SUBSTITUTE(T757,",","&lt;/s&gt;&lt;s&gt;") &amp; "&lt;/s&gt;&lt;/t&gt;", "//s"),Writers!$A$3:$A$999,Writers!$B$3:$B$999,""))</f>
        <v>Russell T Davies,Gareth Roberts</v>
      </c>
      <c r="W757" t="str">
        <f>IF(V757="","",_xlfn.XLOOKUP(V757,Writers!$A$3:$A$999,Writers!$B$3:$B$999,""))</f>
        <v/>
      </c>
      <c r="X757">
        <v>8.41</v>
      </c>
      <c r="Y757">
        <v>9.75</v>
      </c>
      <c r="AA757">
        <f t="shared" si="33"/>
        <v>9.23</v>
      </c>
      <c r="AB757">
        <f t="shared" si="34"/>
        <v>10.7</v>
      </c>
      <c r="AC757" t="str">
        <f t="shared" si="35"/>
        <v/>
      </c>
      <c r="AD757">
        <f>VLOOKUP(YEAR(Q757),Populations!$A$3:$B$999,2,0)</f>
        <v>62260500</v>
      </c>
      <c r="AE757">
        <f>(Calculations!B1/AD757)</f>
        <v>1.09708293380233</v>
      </c>
      <c r="AF757" t="s">
        <v>541</v>
      </c>
      <c r="AG757">
        <v>2</v>
      </c>
      <c r="AH757" t="str">
        <f>VLOOKUP(AG757,WikiFormats!$A$3:$B$999,2,0)</f>
        <v>Episode</v>
      </c>
      <c r="AI757" t="s">
        <v>801</v>
      </c>
    </row>
    <row r="758" spans="1:35" x14ac:dyDescent="0.55000000000000004">
      <c r="A758">
        <v>754</v>
      </c>
      <c r="B758">
        <v>3</v>
      </c>
      <c r="C758" t="str">
        <f>VLOOKUP(B758,Eras!$A$3:$B$999,2,0)</f>
        <v>New</v>
      </c>
      <c r="D758">
        <v>2</v>
      </c>
      <c r="E758" t="str">
        <f>VLOOKUP(D758,EpisodeFormats!$A$3:$B$999,2,0)</f>
        <v>Special</v>
      </c>
      <c r="F758">
        <v>10</v>
      </c>
      <c r="G758" t="str">
        <f>VLOOKUP(F758,Doctors!$A$3:$B$999,2,0)</f>
        <v>David Tennant</v>
      </c>
      <c r="I758">
        <v>4</v>
      </c>
      <c r="J758" t="str">
        <f>VLOOKUP(I758,SeasonFormats!$A$3:$B$999,2,0)</f>
        <v>Special</v>
      </c>
      <c r="K758">
        <v>201</v>
      </c>
      <c r="M758" t="s">
        <v>80</v>
      </c>
      <c r="N758">
        <v>1</v>
      </c>
      <c r="Q758" s="6" t="d">
        <v>2009-11-15</v>
      </c>
      <c r="R758">
        <v>62</v>
      </c>
      <c r="T758" s="15" t="s">
        <v>1099</v>
      </c>
      <c r="U758" t="str" cm="1">
        <f t="array" ref="U758">_xlfn.TEXTJOIN(",",TRUE,_xlfn.XLOOKUP(_xlfn.FILTERXML("&lt;t&gt;&lt;s&gt;" &amp; SUBSTITUTE(T758,",","&lt;/s&gt;&lt;s&gt;") &amp; "&lt;/s&gt;&lt;/t&gt;", "//s"),Writers!$A$3:$A$999,Writers!$B$3:$B$999,""))</f>
        <v>Russell T Davies,Phil Ford</v>
      </c>
      <c r="W758" t="str">
        <f>IF(V758="","",_xlfn.XLOOKUP(V758,Writers!$A$3:$A$999,Writers!$B$3:$B$999,""))</f>
        <v/>
      </c>
      <c r="X758">
        <v>9.1</v>
      </c>
      <c r="Y758">
        <v>10.32</v>
      </c>
      <c r="AA758">
        <f t="shared" si="33"/>
        <v>9.98</v>
      </c>
      <c r="AB758">
        <f t="shared" si="34"/>
        <v>11.32</v>
      </c>
      <c r="AC758" t="str">
        <f t="shared" si="35"/>
        <v/>
      </c>
      <c r="AD758">
        <f>VLOOKUP(YEAR(Q758),Populations!$A$3:$B$999,2,0)</f>
        <v>62260500</v>
      </c>
      <c r="AE758">
        <f>(Calculations!B1/AD758)</f>
        <v>1.09708293380233</v>
      </c>
      <c r="AG758">
        <v>2</v>
      </c>
      <c r="AH758" t="str">
        <f>VLOOKUP(AG758,WikiFormats!$A$3:$B$999,2,0)</f>
        <v>Episode</v>
      </c>
      <c r="AI758" t="s">
        <v>802</v>
      </c>
    </row>
    <row r="759" spans="1:35" x14ac:dyDescent="0.55000000000000004">
      <c r="A759">
        <v>755</v>
      </c>
      <c r="B759">
        <v>3</v>
      </c>
      <c r="C759" t="str">
        <f>VLOOKUP(B759,Eras!$A$3:$B$999,2,0)</f>
        <v>New</v>
      </c>
      <c r="D759">
        <v>2</v>
      </c>
      <c r="E759" t="str">
        <f>VLOOKUP(D759,EpisodeFormats!$A$3:$B$999,2,0)</f>
        <v>Special</v>
      </c>
      <c r="F759">
        <v>10</v>
      </c>
      <c r="G759" t="str">
        <f>VLOOKUP(F759,Doctors!$A$3:$B$999,2,0)</f>
        <v>David Tennant</v>
      </c>
      <c r="I759">
        <v>4</v>
      </c>
      <c r="J759" t="str">
        <f>VLOOKUP(I759,SeasonFormats!$A$3:$B$999,2,0)</f>
        <v>Special</v>
      </c>
      <c r="K759">
        <v>202</v>
      </c>
      <c r="M759" t="s">
        <v>81</v>
      </c>
      <c r="N759">
        <v>1</v>
      </c>
      <c r="O759" t="s">
        <v>9</v>
      </c>
      <c r="Q759" s="6" t="d">
        <v>2009-12-25</v>
      </c>
      <c r="R759">
        <v>60</v>
      </c>
      <c r="T759" s="15" t="s">
        <v>1098</v>
      </c>
      <c r="U759" t="str" cm="1">
        <f t="array" ref="U759">_xlfn.TEXTJOIN(",",TRUE,_xlfn.XLOOKUP(_xlfn.FILTERXML("&lt;t&gt;&lt;s&gt;" &amp; SUBSTITUTE(T759,",","&lt;/s&gt;&lt;s&gt;") &amp; "&lt;/s&gt;&lt;/t&gt;", "//s"),Writers!$A$3:$A$999,Writers!$B$3:$B$999,""))</f>
        <v>Russell T Davies</v>
      </c>
      <c r="W759" t="str">
        <f>IF(V759="","",_xlfn.XLOOKUP(V759,Writers!$A$3:$A$999,Writers!$B$3:$B$999,""))</f>
        <v/>
      </c>
      <c r="X759">
        <v>10</v>
      </c>
      <c r="Y759">
        <v>12.04</v>
      </c>
      <c r="AA759">
        <f t="shared" si="33"/>
        <v>10.97</v>
      </c>
      <c r="AB759">
        <f t="shared" si="34"/>
        <v>13.21</v>
      </c>
      <c r="AC759" t="str">
        <f t="shared" si="35"/>
        <v/>
      </c>
      <c r="AD759">
        <f>VLOOKUP(YEAR(Q759),Populations!$A$3:$B$999,2,0)</f>
        <v>62260500</v>
      </c>
      <c r="AE759">
        <f>(Calculations!B1/AD759)</f>
        <v>1.09708293380233</v>
      </c>
      <c r="AG759">
        <v>1</v>
      </c>
      <c r="AH759" t="str">
        <f>VLOOKUP(AG759,WikiFormats!$A$3:$B$999,2,0)</f>
        <v>Story</v>
      </c>
      <c r="AI759" t="s">
        <v>803</v>
      </c>
    </row>
    <row r="760" spans="1:35" x14ac:dyDescent="0.55000000000000004">
      <c r="A760">
        <v>756</v>
      </c>
      <c r="B760">
        <v>3</v>
      </c>
      <c r="C760" t="str">
        <f>VLOOKUP(B760,Eras!$A$3:$B$999,2,0)</f>
        <v>New</v>
      </c>
      <c r="D760">
        <v>2</v>
      </c>
      <c r="E760" t="str">
        <f>VLOOKUP(D760,EpisodeFormats!$A$3:$B$999,2,0)</f>
        <v>Special</v>
      </c>
      <c r="F760">
        <v>10</v>
      </c>
      <c r="G760" t="str">
        <f>VLOOKUP(F760,Doctors!$A$3:$B$999,2,0)</f>
        <v>David Tennant</v>
      </c>
      <c r="I760">
        <v>4</v>
      </c>
      <c r="J760" t="str">
        <f>VLOOKUP(I760,SeasonFormats!$A$3:$B$999,2,0)</f>
        <v>Special</v>
      </c>
      <c r="K760">
        <v>202</v>
      </c>
      <c r="M760" t="s">
        <v>81</v>
      </c>
      <c r="N760">
        <v>2</v>
      </c>
      <c r="O760" t="s">
        <v>10</v>
      </c>
      <c r="Q760" s="6" t="d">
        <v>2010-01-01</v>
      </c>
      <c r="R760">
        <v>73</v>
      </c>
      <c r="T760" s="15" t="s">
        <v>1098</v>
      </c>
      <c r="U760" t="str" cm="1">
        <f t="array" ref="U760">_xlfn.TEXTJOIN(",",TRUE,_xlfn.XLOOKUP(_xlfn.FILTERXML("&lt;t&gt;&lt;s&gt;" &amp; SUBSTITUTE(T760,",","&lt;/s&gt;&lt;s&gt;") &amp; "&lt;/s&gt;&lt;/t&gt;", "//s"),Writers!$A$3:$A$999,Writers!$B$3:$B$999,""))</f>
        <v>Russell T Davies</v>
      </c>
      <c r="W760" t="str">
        <f>IF(V760="","",_xlfn.XLOOKUP(V760,Writers!$A$3:$A$999,Writers!$B$3:$B$999,""))</f>
        <v/>
      </c>
      <c r="X760">
        <v>10.4</v>
      </c>
      <c r="Y760">
        <v>12.27</v>
      </c>
      <c r="AA760">
        <f t="shared" si="33"/>
        <v>11.32</v>
      </c>
      <c r="AB760">
        <f t="shared" si="34"/>
        <v>13.35</v>
      </c>
      <c r="AC760" t="str">
        <f t="shared" si="35"/>
        <v/>
      </c>
      <c r="AD760">
        <f>VLOOKUP(YEAR(Q760),Populations!$A$3:$B$999,2,0)</f>
        <v>62759500</v>
      </c>
      <c r="AE760">
        <f>(Calculations!B1/AD760)</f>
        <v>1.08836004110931</v>
      </c>
      <c r="AG760">
        <v>1</v>
      </c>
      <c r="AH760" t="str">
        <f>VLOOKUP(AG760,WikiFormats!$A$3:$B$999,2,0)</f>
        <v>Story</v>
      </c>
      <c r="AI760" t="s">
        <v>803</v>
      </c>
    </row>
    <row r="761" spans="1:35" s="3" customFormat="1" x14ac:dyDescent="0.55000000000000004">
      <c r="A761" s="3">
        <v>757</v>
      </c>
      <c r="B761" s="3">
        <v>3</v>
      </c>
      <c r="C761" s="3" t="str">
        <f>VLOOKUP(B761,Eras!$A$3:$B$999,2,0)</f>
        <v>New</v>
      </c>
      <c r="D761" s="3">
        <v>1</v>
      </c>
      <c r="E761" s="3" t="str">
        <f>VLOOKUP(D761,EpisodeFormats!$A$3:$B$999,2,0)</f>
        <v>Series</v>
      </c>
      <c r="F761" s="3">
        <v>11</v>
      </c>
      <c r="G761" s="3" t="str">
        <f>VLOOKUP(F761,Doctors!$A$3:$B$999,2,0)</f>
        <v>Matt Smith</v>
      </c>
      <c r="H761" s="3">
        <v>5</v>
      </c>
      <c r="I761" s="3">
        <v>3</v>
      </c>
      <c r="J761" s="3" t="str">
        <f>VLOOKUP(I761,SeasonFormats!$A$3:$B$999,2,0)</f>
        <v>Series</v>
      </c>
      <c r="K761" s="3">
        <v>203</v>
      </c>
      <c r="L761" s="3">
        <v>1</v>
      </c>
      <c r="M761" s="3" t="s">
        <v>82</v>
      </c>
      <c r="N761" s="3">
        <v>1</v>
      </c>
      <c r="P761" s="3">
        <v>1</v>
      </c>
      <c r="Q761" s="7" t="d">
        <v>2010-04-03</v>
      </c>
      <c r="R761" s="3">
        <v>64</v>
      </c>
      <c r="T761" s="4" t="s">
        <v>1153</v>
      </c>
      <c r="U761" s="3" t="str" cm="1">
        <f t="array" ref="U761">_xlfn.TEXTJOIN(",",TRUE,_xlfn.XLOOKUP(_xlfn.FILTERXML("&lt;t&gt;&lt;s&gt;" &amp; SUBSTITUTE(T761,",","&lt;/s&gt;&lt;s&gt;") &amp; "&lt;/s&gt;&lt;/t&gt;", "//s"),Writers!$A$3:$A$999,Writers!$B$3:$B$999,""))</f>
        <v>Steven Moffat</v>
      </c>
      <c r="W761" s="3" t="str">
        <f>IF(V761="","",_xlfn.XLOOKUP(V761,Writers!$A$3:$A$999,Writers!$B$3:$B$999,""))</f>
        <v/>
      </c>
      <c r="X761" s="3">
        <v>8</v>
      </c>
      <c r="Y761" s="3">
        <v>10.09</v>
      </c>
      <c r="AA761" s="3">
        <f t="shared" si="33"/>
        <v>8.7100000000000009</v>
      </c>
      <c r="AB761" s="3">
        <f t="shared" si="34"/>
        <v>10.98</v>
      </c>
      <c r="AC761" s="3" t="str">
        <f t="shared" si="35"/>
        <v/>
      </c>
      <c r="AD761" s="3">
        <f>VLOOKUP(YEAR(Q761),Populations!$A$3:$B$999,2,0)</f>
        <v>62759500</v>
      </c>
      <c r="AE761" s="3">
        <f>(Calculations!B1/AD761)</f>
        <v>1.08836004110931</v>
      </c>
      <c r="AF761" s="3" t="s">
        <v>542</v>
      </c>
      <c r="AG761" s="3">
        <v>2</v>
      </c>
      <c r="AH761" s="3" t="str">
        <f>VLOOKUP(AG761,WikiFormats!$A$3:$B$999,2,0)</f>
        <v>Episode</v>
      </c>
      <c r="AI761" s="3" t="s">
        <v>804</v>
      </c>
    </row>
    <row r="762" spans="1:35" s="3" customFormat="1" x14ac:dyDescent="0.55000000000000004">
      <c r="A762" s="3">
        <v>758</v>
      </c>
      <c r="B762" s="3">
        <v>3</v>
      </c>
      <c r="C762" s="3" t="str">
        <f>VLOOKUP(B762,Eras!$A$3:$B$999,2,0)</f>
        <v>New</v>
      </c>
      <c r="D762" s="3">
        <v>1</v>
      </c>
      <c r="E762" s="3" t="str">
        <f>VLOOKUP(D762,EpisodeFormats!$A$3:$B$999,2,0)</f>
        <v>Series</v>
      </c>
      <c r="F762" s="3">
        <v>11</v>
      </c>
      <c r="G762" s="3" t="str">
        <f>VLOOKUP(F762,Doctors!$A$3:$B$999,2,0)</f>
        <v>Matt Smith</v>
      </c>
      <c r="H762" s="3">
        <v>5</v>
      </c>
      <c r="I762" s="3">
        <v>3</v>
      </c>
      <c r="J762" s="3" t="str">
        <f>VLOOKUP(I762,SeasonFormats!$A$3:$B$999,2,0)</f>
        <v>Series</v>
      </c>
      <c r="K762" s="3">
        <v>204</v>
      </c>
      <c r="L762" s="3">
        <v>2</v>
      </c>
      <c r="M762" s="3" t="s">
        <v>83</v>
      </c>
      <c r="N762" s="3">
        <v>1</v>
      </c>
      <c r="P762" s="3">
        <v>2</v>
      </c>
      <c r="Q762" s="7" t="d">
        <v>2010-04-10</v>
      </c>
      <c r="R762" s="3">
        <v>42</v>
      </c>
      <c r="T762" s="4" t="s">
        <v>1153</v>
      </c>
      <c r="U762" s="3" t="str" cm="1">
        <f t="array" ref="U762">_xlfn.TEXTJOIN(",",TRUE,_xlfn.XLOOKUP(_xlfn.FILTERXML("&lt;t&gt;&lt;s&gt;" &amp; SUBSTITUTE(T762,",","&lt;/s&gt;&lt;s&gt;") &amp; "&lt;/s&gt;&lt;/t&gt;", "//s"),Writers!$A$3:$A$999,Writers!$B$3:$B$999,""))</f>
        <v>Steven Moffat</v>
      </c>
      <c r="W762" s="3" t="str">
        <f>IF(V762="","",_xlfn.XLOOKUP(V762,Writers!$A$3:$A$999,Writers!$B$3:$B$999,""))</f>
        <v/>
      </c>
      <c r="X762" s="3">
        <v>6.4</v>
      </c>
      <c r="Y762" s="3">
        <v>8.42</v>
      </c>
      <c r="AA762" s="3">
        <f t="shared" si="33"/>
        <v>6.97</v>
      </c>
      <c r="AB762" s="3">
        <f t="shared" si="34"/>
        <v>9.16</v>
      </c>
      <c r="AC762" s="3" t="str">
        <f t="shared" si="35"/>
        <v/>
      </c>
      <c r="AD762" s="3">
        <f>VLOOKUP(YEAR(Q762),Populations!$A$3:$B$999,2,0)</f>
        <v>62759500</v>
      </c>
      <c r="AE762" s="3">
        <f>(Calculations!B1/AD762)</f>
        <v>1.08836004110931</v>
      </c>
      <c r="AG762" s="3">
        <v>2</v>
      </c>
      <c r="AH762" s="3" t="str">
        <f>VLOOKUP(AG762,WikiFormats!$A$3:$B$999,2,0)</f>
        <v>Episode</v>
      </c>
      <c r="AI762" s="3" t="s">
        <v>805</v>
      </c>
    </row>
    <row r="763" spans="1:35" s="3" customFormat="1" x14ac:dyDescent="0.55000000000000004">
      <c r="A763" s="3">
        <v>759</v>
      </c>
      <c r="B763" s="3">
        <v>3</v>
      </c>
      <c r="C763" s="3" t="str">
        <f>VLOOKUP(B763,Eras!$A$3:$B$999,2,0)</f>
        <v>New</v>
      </c>
      <c r="D763" s="3">
        <v>1</v>
      </c>
      <c r="E763" s="3" t="str">
        <f>VLOOKUP(D763,EpisodeFormats!$A$3:$B$999,2,0)</f>
        <v>Series</v>
      </c>
      <c r="F763" s="3">
        <v>11</v>
      </c>
      <c r="G763" s="3" t="str">
        <f>VLOOKUP(F763,Doctors!$A$3:$B$999,2,0)</f>
        <v>Matt Smith</v>
      </c>
      <c r="H763" s="3">
        <v>5</v>
      </c>
      <c r="I763" s="3">
        <v>3</v>
      </c>
      <c r="J763" s="3" t="str">
        <f>VLOOKUP(I763,SeasonFormats!$A$3:$B$999,2,0)</f>
        <v>Series</v>
      </c>
      <c r="K763" s="3">
        <v>205</v>
      </c>
      <c r="L763" s="3">
        <v>3</v>
      </c>
      <c r="M763" s="3" t="s">
        <v>84</v>
      </c>
      <c r="N763" s="3">
        <v>1</v>
      </c>
      <c r="P763" s="3">
        <v>3</v>
      </c>
      <c r="Q763" s="7" t="d">
        <v>2010-04-17</v>
      </c>
      <c r="R763" s="3">
        <v>42</v>
      </c>
      <c r="T763" s="4" t="s">
        <v>1117</v>
      </c>
      <c r="U763" s="3" t="str" cm="1">
        <f t="array" ref="U763">_xlfn.TEXTJOIN(",",TRUE,_xlfn.XLOOKUP(_xlfn.FILTERXML("&lt;t&gt;&lt;s&gt;" &amp; SUBSTITUTE(T763,",","&lt;/s&gt;&lt;s&gt;") &amp; "&lt;/s&gt;&lt;/t&gt;", "//s"),Writers!$A$3:$A$999,Writers!$B$3:$B$999,""))</f>
        <v>Mark Gatiss</v>
      </c>
      <c r="W763" s="3" t="str">
        <f>IF(V763="","",_xlfn.XLOOKUP(V763,Writers!$A$3:$A$999,Writers!$B$3:$B$999,""))</f>
        <v/>
      </c>
      <c r="X763" s="3">
        <v>6.2</v>
      </c>
      <c r="Y763" s="3">
        <v>8.2100000000000009</v>
      </c>
      <c r="AA763" s="3">
        <f t="shared" si="33"/>
        <v>6.75</v>
      </c>
      <c r="AB763" s="3">
        <f t="shared" si="34"/>
        <v>8.94</v>
      </c>
      <c r="AC763" s="3" t="str">
        <f t="shared" si="35"/>
        <v/>
      </c>
      <c r="AD763" s="3">
        <f>VLOOKUP(YEAR(Q763),Populations!$A$3:$B$999,2,0)</f>
        <v>62759500</v>
      </c>
      <c r="AE763" s="3">
        <f>(Calculations!B1/AD763)</f>
        <v>1.08836004110931</v>
      </c>
      <c r="AF763" s="3" t="s">
        <v>543</v>
      </c>
      <c r="AG763" s="3">
        <v>2</v>
      </c>
      <c r="AH763" s="3" t="str">
        <f>VLOOKUP(AG763,WikiFormats!$A$3:$B$999,2,0)</f>
        <v>Episode</v>
      </c>
      <c r="AI763" s="3" t="s">
        <v>806</v>
      </c>
    </row>
    <row r="764" spans="1:35" s="3" customFormat="1" x14ac:dyDescent="0.55000000000000004">
      <c r="A764" s="3">
        <v>760</v>
      </c>
      <c r="B764" s="3">
        <v>3</v>
      </c>
      <c r="C764" s="3" t="str">
        <f>VLOOKUP(B764,Eras!$A$3:$B$999,2,0)</f>
        <v>New</v>
      </c>
      <c r="D764" s="3">
        <v>1</v>
      </c>
      <c r="E764" s="3" t="str">
        <f>VLOOKUP(D764,EpisodeFormats!$A$3:$B$999,2,0)</f>
        <v>Series</v>
      </c>
      <c r="F764" s="3">
        <v>11</v>
      </c>
      <c r="G764" s="3" t="str">
        <f>VLOOKUP(F764,Doctors!$A$3:$B$999,2,0)</f>
        <v>Matt Smith</v>
      </c>
      <c r="H764" s="3">
        <v>5</v>
      </c>
      <c r="I764" s="3">
        <v>3</v>
      </c>
      <c r="J764" s="3" t="str">
        <f>VLOOKUP(I764,SeasonFormats!$A$3:$B$999,2,0)</f>
        <v>Series</v>
      </c>
      <c r="K764" s="3">
        <v>206</v>
      </c>
      <c r="L764" s="3">
        <v>4</v>
      </c>
      <c r="M764" s="3" t="s">
        <v>85</v>
      </c>
      <c r="N764" s="3">
        <v>1</v>
      </c>
      <c r="P764" s="3">
        <v>4</v>
      </c>
      <c r="Q764" s="7" t="d">
        <v>2010-04-24</v>
      </c>
      <c r="R764" s="3">
        <v>42</v>
      </c>
      <c r="T764" s="4" t="s">
        <v>1153</v>
      </c>
      <c r="U764" s="3" t="str" cm="1">
        <f t="array" ref="U764">_xlfn.TEXTJOIN(",",TRUE,_xlfn.XLOOKUP(_xlfn.FILTERXML("&lt;t&gt;&lt;s&gt;" &amp; SUBSTITUTE(T764,",","&lt;/s&gt;&lt;s&gt;") &amp; "&lt;/s&gt;&lt;/t&gt;", "//s"),Writers!$A$3:$A$999,Writers!$B$3:$B$999,""))</f>
        <v>Steven Moffat</v>
      </c>
      <c r="W764" s="3" t="str">
        <f>IF(V764="","",_xlfn.XLOOKUP(V764,Writers!$A$3:$A$999,Writers!$B$3:$B$999,""))</f>
        <v/>
      </c>
      <c r="X764" s="3">
        <v>6.8</v>
      </c>
      <c r="Y764" s="3">
        <v>8.59</v>
      </c>
      <c r="AA764" s="3">
        <f t="shared" si="33"/>
        <v>7.4</v>
      </c>
      <c r="AB764" s="3">
        <f t="shared" si="34"/>
        <v>9.35</v>
      </c>
      <c r="AC764" s="3" t="str">
        <f t="shared" si="35"/>
        <v/>
      </c>
      <c r="AD764" s="3">
        <f>VLOOKUP(YEAR(Q764),Populations!$A$3:$B$999,2,0)</f>
        <v>62759500</v>
      </c>
      <c r="AE764" s="3">
        <f>(Calculations!B1/AD764)</f>
        <v>1.08836004110931</v>
      </c>
      <c r="AG764" s="3">
        <v>2</v>
      </c>
      <c r="AH764" s="3" t="str">
        <f>VLOOKUP(AG764,WikiFormats!$A$3:$B$999,2,0)</f>
        <v>Episode</v>
      </c>
      <c r="AI764" s="3" t="s">
        <v>807</v>
      </c>
    </row>
    <row r="765" spans="1:35" s="3" customFormat="1" x14ac:dyDescent="0.55000000000000004">
      <c r="A765" s="3">
        <v>761</v>
      </c>
      <c r="B765" s="3">
        <v>3</v>
      </c>
      <c r="C765" s="3" t="str">
        <f>VLOOKUP(B765,Eras!$A$3:$B$999,2,0)</f>
        <v>New</v>
      </c>
      <c r="D765" s="3">
        <v>1</v>
      </c>
      <c r="E765" s="3" t="str">
        <f>VLOOKUP(D765,EpisodeFormats!$A$3:$B$999,2,0)</f>
        <v>Series</v>
      </c>
      <c r="F765" s="3">
        <v>11</v>
      </c>
      <c r="G765" s="3" t="str">
        <f>VLOOKUP(F765,Doctors!$A$3:$B$999,2,0)</f>
        <v>Matt Smith</v>
      </c>
      <c r="H765" s="3">
        <v>5</v>
      </c>
      <c r="I765" s="3">
        <v>3</v>
      </c>
      <c r="J765" s="3" t="str">
        <f>VLOOKUP(I765,SeasonFormats!$A$3:$B$999,2,0)</f>
        <v>Series</v>
      </c>
      <c r="K765" s="3">
        <v>206</v>
      </c>
      <c r="L765" s="3">
        <v>4</v>
      </c>
      <c r="M765" s="3" t="s">
        <v>86</v>
      </c>
      <c r="N765" s="3">
        <v>2</v>
      </c>
      <c r="P765" s="3">
        <v>5</v>
      </c>
      <c r="Q765" s="7" t="d">
        <v>2010-05-01</v>
      </c>
      <c r="R765" s="3">
        <v>43</v>
      </c>
      <c r="T765" s="4" t="s">
        <v>1153</v>
      </c>
      <c r="U765" s="3" t="str" cm="1">
        <f t="array" ref="U765">_xlfn.TEXTJOIN(",",TRUE,_xlfn.XLOOKUP(_xlfn.FILTERXML("&lt;t&gt;&lt;s&gt;" &amp; SUBSTITUTE(T765,",","&lt;/s&gt;&lt;s&gt;") &amp; "&lt;/s&gt;&lt;/t&gt;", "//s"),Writers!$A$3:$A$999,Writers!$B$3:$B$999,""))</f>
        <v>Steven Moffat</v>
      </c>
      <c r="W765" s="3" t="str">
        <f>IF(V765="","",_xlfn.XLOOKUP(V765,Writers!$A$3:$A$999,Writers!$B$3:$B$999,""))</f>
        <v/>
      </c>
      <c r="X765" s="3">
        <v>6.87</v>
      </c>
      <c r="Y765" s="3">
        <v>8.5</v>
      </c>
      <c r="AA765" s="3">
        <f t="shared" si="33"/>
        <v>7.48</v>
      </c>
      <c r="AB765" s="3">
        <f t="shared" si="34"/>
        <v>9.25</v>
      </c>
      <c r="AC765" s="3" t="str">
        <f t="shared" si="35"/>
        <v/>
      </c>
      <c r="AD765" s="3">
        <f>VLOOKUP(YEAR(Q765),Populations!$A$3:$B$999,2,0)</f>
        <v>62759500</v>
      </c>
      <c r="AE765" s="3">
        <f>(Calculations!B1/AD765)</f>
        <v>1.08836004110931</v>
      </c>
      <c r="AF765" s="3" t="s">
        <v>544</v>
      </c>
      <c r="AG765" s="3">
        <v>2</v>
      </c>
      <c r="AH765" s="3" t="str">
        <f>VLOOKUP(AG765,WikiFormats!$A$3:$B$999,2,0)</f>
        <v>Episode</v>
      </c>
      <c r="AI765" s="3" t="s">
        <v>808</v>
      </c>
    </row>
    <row r="766" spans="1:35" s="3" customFormat="1" x14ac:dyDescent="0.55000000000000004">
      <c r="A766" s="3">
        <v>762</v>
      </c>
      <c r="B766" s="3">
        <v>3</v>
      </c>
      <c r="C766" s="3" t="str">
        <f>VLOOKUP(B766,Eras!$A$3:$B$999,2,0)</f>
        <v>New</v>
      </c>
      <c r="D766" s="3">
        <v>1</v>
      </c>
      <c r="E766" s="3" t="str">
        <f>VLOOKUP(D766,EpisodeFormats!$A$3:$B$999,2,0)</f>
        <v>Series</v>
      </c>
      <c r="F766" s="3">
        <v>11</v>
      </c>
      <c r="G766" s="3" t="str">
        <f>VLOOKUP(F766,Doctors!$A$3:$B$999,2,0)</f>
        <v>Matt Smith</v>
      </c>
      <c r="H766" s="3">
        <v>5</v>
      </c>
      <c r="I766" s="3">
        <v>3</v>
      </c>
      <c r="J766" s="3" t="str">
        <f>VLOOKUP(I766,SeasonFormats!$A$3:$B$999,2,0)</f>
        <v>Series</v>
      </c>
      <c r="K766" s="3">
        <v>207</v>
      </c>
      <c r="L766" s="3">
        <v>5</v>
      </c>
      <c r="M766" s="3" t="s">
        <v>87</v>
      </c>
      <c r="N766" s="3">
        <v>1</v>
      </c>
      <c r="P766" s="3">
        <v>6</v>
      </c>
      <c r="Q766" s="7" t="d">
        <v>2010-05-08</v>
      </c>
      <c r="R766" s="3">
        <v>48</v>
      </c>
      <c r="T766" s="4" t="s">
        <v>1177</v>
      </c>
      <c r="U766" s="3" t="str" cm="1">
        <f t="array" ref="U766">_xlfn.TEXTJOIN(",",TRUE,_xlfn.XLOOKUP(_xlfn.FILTERXML("&lt;t&gt;&lt;s&gt;" &amp; SUBSTITUTE(T766,",","&lt;/s&gt;&lt;s&gt;") &amp; "&lt;/s&gt;&lt;/t&gt;", "//s"),Writers!$A$3:$A$999,Writers!$B$3:$B$999,""))</f>
        <v>Toby Whithouse</v>
      </c>
      <c r="W766" s="3" t="str">
        <f>IF(V766="","",_xlfn.XLOOKUP(V766,Writers!$A$3:$A$999,Writers!$B$3:$B$999,""))</f>
        <v/>
      </c>
      <c r="X766" s="3">
        <v>6.17</v>
      </c>
      <c r="Y766" s="3">
        <v>7.68</v>
      </c>
      <c r="AA766" s="3">
        <f t="shared" si="33"/>
        <v>6.72</v>
      </c>
      <c r="AB766" s="3">
        <f t="shared" si="34"/>
        <v>8.36</v>
      </c>
      <c r="AC766" s="3" t="str">
        <f t="shared" si="35"/>
        <v/>
      </c>
      <c r="AD766" s="3">
        <f>VLOOKUP(YEAR(Q766),Populations!$A$3:$B$999,2,0)</f>
        <v>62759500</v>
      </c>
      <c r="AE766" s="3">
        <f>(Calculations!B1/AD766)</f>
        <v>1.08836004110931</v>
      </c>
      <c r="AG766" s="3">
        <v>2</v>
      </c>
      <c r="AH766" s="3" t="str">
        <f>VLOOKUP(AG766,WikiFormats!$A$3:$B$999,2,0)</f>
        <v>Episode</v>
      </c>
      <c r="AI766" s="3" t="s">
        <v>809</v>
      </c>
    </row>
    <row r="767" spans="1:35" s="3" customFormat="1" x14ac:dyDescent="0.55000000000000004">
      <c r="A767" s="3">
        <v>763</v>
      </c>
      <c r="B767" s="3">
        <v>3</v>
      </c>
      <c r="C767" s="3" t="str">
        <f>VLOOKUP(B767,Eras!$A$3:$B$999,2,0)</f>
        <v>New</v>
      </c>
      <c r="D767" s="3">
        <v>1</v>
      </c>
      <c r="E767" s="3" t="str">
        <f>VLOOKUP(D767,EpisodeFormats!$A$3:$B$999,2,0)</f>
        <v>Series</v>
      </c>
      <c r="F767" s="3">
        <v>11</v>
      </c>
      <c r="G767" s="3" t="str">
        <f>VLOOKUP(F767,Doctors!$A$3:$B$999,2,0)</f>
        <v>Matt Smith</v>
      </c>
      <c r="H767" s="3">
        <v>5</v>
      </c>
      <c r="I767" s="3">
        <v>3</v>
      </c>
      <c r="J767" s="3" t="str">
        <f>VLOOKUP(I767,SeasonFormats!$A$3:$B$999,2,0)</f>
        <v>Series</v>
      </c>
      <c r="K767" s="3">
        <v>208</v>
      </c>
      <c r="L767" s="3">
        <v>6</v>
      </c>
      <c r="M767" s="3" t="s">
        <v>88</v>
      </c>
      <c r="N767" s="3">
        <v>1</v>
      </c>
      <c r="P767" s="3">
        <v>7</v>
      </c>
      <c r="Q767" s="7" t="d">
        <v>2010-05-15</v>
      </c>
      <c r="R767" s="3">
        <v>44</v>
      </c>
      <c r="T767" s="4" t="s">
        <v>1159</v>
      </c>
      <c r="U767" s="3" t="str" cm="1">
        <f t="array" ref="U767">_xlfn.TEXTJOIN(",",TRUE,_xlfn.XLOOKUP(_xlfn.FILTERXML("&lt;t&gt;&lt;s&gt;" &amp; SUBSTITUTE(T767,",","&lt;/s&gt;&lt;s&gt;") &amp; "&lt;/s&gt;&lt;/t&gt;", "//s"),Writers!$A$3:$A$999,Writers!$B$3:$B$999,""))</f>
        <v>Simon Nye</v>
      </c>
      <c r="W767" s="3" t="str">
        <f>IF(V767="","",_xlfn.XLOOKUP(V767,Writers!$A$3:$A$999,Writers!$B$3:$B$999,""))</f>
        <v/>
      </c>
      <c r="X767" s="3">
        <v>6.2</v>
      </c>
      <c r="Y767" s="3">
        <v>7.55</v>
      </c>
      <c r="AA767" s="3">
        <f t="shared" si="33"/>
        <v>6.75</v>
      </c>
      <c r="AB767" s="3">
        <f t="shared" si="34"/>
        <v>8.2200000000000006</v>
      </c>
      <c r="AC767" s="3" t="str">
        <f t="shared" si="35"/>
        <v/>
      </c>
      <c r="AD767" s="3">
        <f>VLOOKUP(YEAR(Q767),Populations!$A$3:$B$999,2,0)</f>
        <v>62759500</v>
      </c>
      <c r="AE767" s="3">
        <f>(Calculations!B1/AD767)</f>
        <v>1.08836004110931</v>
      </c>
      <c r="AG767" s="3">
        <v>2</v>
      </c>
      <c r="AH767" s="3" t="str">
        <f>VLOOKUP(AG767,WikiFormats!$A$3:$B$999,2,0)</f>
        <v>Episode</v>
      </c>
      <c r="AI767" s="3" t="s">
        <v>810</v>
      </c>
    </row>
    <row r="768" spans="1:35" s="3" customFormat="1" x14ac:dyDescent="0.55000000000000004">
      <c r="A768" s="3">
        <v>764</v>
      </c>
      <c r="B768" s="3">
        <v>3</v>
      </c>
      <c r="C768" s="3" t="str">
        <f>VLOOKUP(B768,Eras!$A$3:$B$999,2,0)</f>
        <v>New</v>
      </c>
      <c r="D768" s="3">
        <v>1</v>
      </c>
      <c r="E768" s="3" t="str">
        <f>VLOOKUP(D768,EpisodeFormats!$A$3:$B$999,2,0)</f>
        <v>Series</v>
      </c>
      <c r="F768" s="3">
        <v>11</v>
      </c>
      <c r="G768" s="3" t="str">
        <f>VLOOKUP(F768,Doctors!$A$3:$B$999,2,0)</f>
        <v>Matt Smith</v>
      </c>
      <c r="H768" s="3">
        <v>5</v>
      </c>
      <c r="I768" s="3">
        <v>3</v>
      </c>
      <c r="J768" s="3" t="str">
        <f>VLOOKUP(I768,SeasonFormats!$A$3:$B$999,2,0)</f>
        <v>Series</v>
      </c>
      <c r="K768" s="3">
        <v>209</v>
      </c>
      <c r="L768" s="3">
        <v>7</v>
      </c>
      <c r="M768" s="3" t="s">
        <v>89</v>
      </c>
      <c r="N768" s="3">
        <v>1</v>
      </c>
      <c r="P768" s="3">
        <v>8</v>
      </c>
      <c r="Q768" s="7" t="d">
        <v>2010-05-22</v>
      </c>
      <c r="R768" s="3">
        <v>43</v>
      </c>
      <c r="T768" s="4" t="s">
        <v>1084</v>
      </c>
      <c r="U768" s="3" t="str" cm="1">
        <f t="array" ref="U768">_xlfn.TEXTJOIN(",",TRUE,_xlfn.XLOOKUP(_xlfn.FILTERXML("&lt;t&gt;&lt;s&gt;" &amp; SUBSTITUTE(T768,",","&lt;/s&gt;&lt;s&gt;") &amp; "&lt;/s&gt;&lt;/t&gt;", "//s"),Writers!$A$3:$A$999,Writers!$B$3:$B$999,""))</f>
        <v>Chris Chibnall</v>
      </c>
      <c r="W768" s="3" t="str">
        <f>IF(V768="","",_xlfn.XLOOKUP(V768,Writers!$A$3:$A$999,Writers!$B$3:$B$999,""))</f>
        <v/>
      </c>
      <c r="X768" s="3">
        <v>4.3899999999999997</v>
      </c>
      <c r="Y768" s="3">
        <v>6.49</v>
      </c>
      <c r="AA768" s="3">
        <f t="shared" si="33"/>
        <v>4.78</v>
      </c>
      <c r="AB768" s="3">
        <f t="shared" si="34"/>
        <v>7.06</v>
      </c>
      <c r="AC768" s="3" t="str">
        <f t="shared" si="35"/>
        <v/>
      </c>
      <c r="AD768" s="3">
        <f>VLOOKUP(YEAR(Q768),Populations!$A$3:$B$999,2,0)</f>
        <v>62759500</v>
      </c>
      <c r="AE768" s="3">
        <f>(Calculations!B1/AD768)</f>
        <v>1.08836004110931</v>
      </c>
      <c r="AG768" s="3">
        <v>2</v>
      </c>
      <c r="AH768" s="3" t="str">
        <f>VLOOKUP(AG768,WikiFormats!$A$3:$B$999,2,0)</f>
        <v>Episode</v>
      </c>
      <c r="AI768" s="3" t="s">
        <v>811</v>
      </c>
    </row>
    <row r="769" spans="1:35" s="3" customFormat="1" x14ac:dyDescent="0.55000000000000004">
      <c r="A769" s="3">
        <v>765</v>
      </c>
      <c r="B769" s="3">
        <v>3</v>
      </c>
      <c r="C769" s="3" t="str">
        <f>VLOOKUP(B769,Eras!$A$3:$B$999,2,0)</f>
        <v>New</v>
      </c>
      <c r="D769" s="3">
        <v>1</v>
      </c>
      <c r="E769" s="3" t="str">
        <f>VLOOKUP(D769,EpisodeFormats!$A$3:$B$999,2,0)</f>
        <v>Series</v>
      </c>
      <c r="F769" s="3">
        <v>11</v>
      </c>
      <c r="G769" s="3" t="str">
        <f>VLOOKUP(F769,Doctors!$A$3:$B$999,2,0)</f>
        <v>Matt Smith</v>
      </c>
      <c r="H769" s="3">
        <v>5</v>
      </c>
      <c r="I769" s="3">
        <v>3</v>
      </c>
      <c r="J769" s="3" t="str">
        <f>VLOOKUP(I769,SeasonFormats!$A$3:$B$999,2,0)</f>
        <v>Series</v>
      </c>
      <c r="K769" s="3">
        <v>209</v>
      </c>
      <c r="L769" s="3">
        <v>7</v>
      </c>
      <c r="M769" s="3" t="s">
        <v>90</v>
      </c>
      <c r="N769" s="3">
        <v>2</v>
      </c>
      <c r="P769" s="3">
        <v>9</v>
      </c>
      <c r="Q769" s="7" t="d">
        <v>2010-05-29</v>
      </c>
      <c r="R769" s="3">
        <v>46</v>
      </c>
      <c r="T769" s="4" t="s">
        <v>1084</v>
      </c>
      <c r="U769" s="3" t="str" cm="1">
        <f t="array" ref="U769">_xlfn.TEXTJOIN(",",TRUE,_xlfn.XLOOKUP(_xlfn.FILTERXML("&lt;t&gt;&lt;s&gt;" &amp; SUBSTITUTE(T769,",","&lt;/s&gt;&lt;s&gt;") &amp; "&lt;/s&gt;&lt;/t&gt;", "//s"),Writers!$A$3:$A$999,Writers!$B$3:$B$999,""))</f>
        <v>Chris Chibnall</v>
      </c>
      <c r="W769" s="3" t="str">
        <f>IF(V769="","",_xlfn.XLOOKUP(V769,Writers!$A$3:$A$999,Writers!$B$3:$B$999,""))</f>
        <v/>
      </c>
      <c r="X769" s="3">
        <v>5.7</v>
      </c>
      <c r="Y769" s="3">
        <v>7.49</v>
      </c>
      <c r="AA769" s="3">
        <f t="shared" si="33"/>
        <v>6.2</v>
      </c>
      <c r="AB769" s="3">
        <f t="shared" si="34"/>
        <v>8.15</v>
      </c>
      <c r="AC769" s="3" t="str">
        <f t="shared" si="35"/>
        <v/>
      </c>
      <c r="AD769" s="3">
        <f>VLOOKUP(YEAR(Q769),Populations!$A$3:$B$999,2,0)</f>
        <v>62759500</v>
      </c>
      <c r="AE769" s="3">
        <f>(Calculations!B1/AD769)</f>
        <v>1.08836004110931</v>
      </c>
      <c r="AG769" s="3">
        <v>2</v>
      </c>
      <c r="AH769" s="3" t="str">
        <f>VLOOKUP(AG769,WikiFormats!$A$3:$B$999,2,0)</f>
        <v>Episode</v>
      </c>
      <c r="AI769" s="3" t="s">
        <v>812</v>
      </c>
    </row>
    <row r="770" spans="1:35" s="3" customFormat="1" x14ac:dyDescent="0.55000000000000004">
      <c r="A770" s="3">
        <v>766</v>
      </c>
      <c r="B770" s="3">
        <v>3</v>
      </c>
      <c r="C770" s="3" t="str">
        <f>VLOOKUP(B770,Eras!$A$3:$B$999,2,0)</f>
        <v>New</v>
      </c>
      <c r="D770" s="3">
        <v>1</v>
      </c>
      <c r="E770" s="3" t="str">
        <f>VLOOKUP(D770,EpisodeFormats!$A$3:$B$999,2,0)</f>
        <v>Series</v>
      </c>
      <c r="F770" s="3">
        <v>11</v>
      </c>
      <c r="G770" s="3" t="str">
        <f>VLOOKUP(F770,Doctors!$A$3:$B$999,2,0)</f>
        <v>Matt Smith</v>
      </c>
      <c r="H770" s="3">
        <v>5</v>
      </c>
      <c r="I770" s="3">
        <v>3</v>
      </c>
      <c r="J770" s="3" t="str">
        <f>VLOOKUP(I770,SeasonFormats!$A$3:$B$999,2,0)</f>
        <v>Series</v>
      </c>
      <c r="K770" s="3">
        <v>210</v>
      </c>
      <c r="L770" s="3">
        <v>8</v>
      </c>
      <c r="M770" s="3" t="s">
        <v>91</v>
      </c>
      <c r="N770" s="3">
        <v>1</v>
      </c>
      <c r="P770" s="3">
        <v>10</v>
      </c>
      <c r="Q770" s="7" t="d">
        <v>2010-06-05</v>
      </c>
      <c r="R770" s="3">
        <v>47</v>
      </c>
      <c r="T770" s="4" t="s">
        <v>1097</v>
      </c>
      <c r="U770" s="3" t="str" cm="1">
        <f t="array" ref="U770">_xlfn.TEXTJOIN(",",TRUE,_xlfn.XLOOKUP(_xlfn.FILTERXML("&lt;t&gt;&lt;s&gt;" &amp; SUBSTITUTE(T770,",","&lt;/s&gt;&lt;s&gt;") &amp; "&lt;/s&gt;&lt;/t&gt;", "//s"),Writers!$A$3:$A$999,Writers!$B$3:$B$999,""))</f>
        <v>Richard Curtis</v>
      </c>
      <c r="W770" s="3" t="str">
        <f>IF(V770="","",_xlfn.XLOOKUP(V770,Writers!$A$3:$A$999,Writers!$B$3:$B$999,""))</f>
        <v/>
      </c>
      <c r="X770" s="3">
        <v>5</v>
      </c>
      <c r="Y770" s="3">
        <v>6.76</v>
      </c>
      <c r="AA770" s="3">
        <f t="shared" si="33"/>
        <v>5.44</v>
      </c>
      <c r="AB770" s="3">
        <f t="shared" si="34"/>
        <v>7.36</v>
      </c>
      <c r="AC770" s="3" t="str">
        <f t="shared" si="35"/>
        <v/>
      </c>
      <c r="AD770" s="3">
        <f>VLOOKUP(YEAR(Q770),Populations!$A$3:$B$999,2,0)</f>
        <v>62759500</v>
      </c>
      <c r="AE770" s="3">
        <f>(Calculations!B1/AD770)</f>
        <v>1.08836004110931</v>
      </c>
      <c r="AG770" s="3">
        <v>2</v>
      </c>
      <c r="AH770" s="3" t="str">
        <f>VLOOKUP(AG770,WikiFormats!$A$3:$B$999,2,0)</f>
        <v>Episode</v>
      </c>
      <c r="AI770" s="3" t="s">
        <v>813</v>
      </c>
    </row>
    <row r="771" spans="1:35" s="3" customFormat="1" x14ac:dyDescent="0.55000000000000004">
      <c r="A771" s="3">
        <v>767</v>
      </c>
      <c r="B771" s="3">
        <v>3</v>
      </c>
      <c r="C771" s="3" t="str">
        <f>VLOOKUP(B771,Eras!$A$3:$B$999,2,0)</f>
        <v>New</v>
      </c>
      <c r="D771" s="3">
        <v>1</v>
      </c>
      <c r="E771" s="3" t="str">
        <f>VLOOKUP(D771,EpisodeFormats!$A$3:$B$999,2,0)</f>
        <v>Series</v>
      </c>
      <c r="F771" s="3">
        <v>11</v>
      </c>
      <c r="G771" s="3" t="str">
        <f>VLOOKUP(F771,Doctors!$A$3:$B$999,2,0)</f>
        <v>Matt Smith</v>
      </c>
      <c r="H771" s="3">
        <v>5</v>
      </c>
      <c r="I771" s="3">
        <v>3</v>
      </c>
      <c r="J771" s="3" t="str">
        <f>VLOOKUP(I771,SeasonFormats!$A$3:$B$999,2,0)</f>
        <v>Series</v>
      </c>
      <c r="K771" s="3">
        <v>211</v>
      </c>
      <c r="L771" s="3">
        <v>9</v>
      </c>
      <c r="M771" s="3" t="s">
        <v>92</v>
      </c>
      <c r="N771" s="3">
        <v>1</v>
      </c>
      <c r="P771" s="3">
        <v>11</v>
      </c>
      <c r="Q771" s="7" t="d">
        <v>2010-06-12</v>
      </c>
      <c r="R771" s="3">
        <v>43</v>
      </c>
      <c r="T771" s="4" t="s">
        <v>1148</v>
      </c>
      <c r="U771" s="3" t="str" cm="1">
        <f t="array" ref="U771">_xlfn.TEXTJOIN(",",TRUE,_xlfn.XLOOKUP(_xlfn.FILTERXML("&lt;t&gt;&lt;s&gt;" &amp; SUBSTITUTE(T771,",","&lt;/s&gt;&lt;s&gt;") &amp; "&lt;/s&gt;&lt;/t&gt;", "//s"),Writers!$A$3:$A$999,Writers!$B$3:$B$999,""))</f>
        <v>Gareth Roberts</v>
      </c>
      <c r="W771" s="3" t="str">
        <f>IF(V771="","",_xlfn.XLOOKUP(V771,Writers!$A$3:$A$999,Writers!$B$3:$B$999,""))</f>
        <v/>
      </c>
      <c r="X771" s="3">
        <v>4.5999999999999996</v>
      </c>
      <c r="Y771" s="3">
        <v>6.44</v>
      </c>
      <c r="AA771" s="3">
        <f t="shared" si="33"/>
        <v>5.01</v>
      </c>
      <c r="AB771" s="3">
        <f t="shared" si="34"/>
        <v>7.01</v>
      </c>
      <c r="AC771" s="3" t="str">
        <f t="shared" si="35"/>
        <v/>
      </c>
      <c r="AD771" s="3">
        <f>VLOOKUP(YEAR(Q771),Populations!$A$3:$B$999,2,0)</f>
        <v>62759500</v>
      </c>
      <c r="AE771" s="3">
        <f>(Calculations!B1/AD771)</f>
        <v>1.08836004110931</v>
      </c>
      <c r="AG771" s="3">
        <v>2</v>
      </c>
      <c r="AH771" s="3" t="str">
        <f>VLOOKUP(AG771,WikiFormats!$A$3:$B$999,2,0)</f>
        <v>Episode</v>
      </c>
      <c r="AI771" s="3" t="s">
        <v>814</v>
      </c>
    </row>
    <row r="772" spans="1:35" s="3" customFormat="1" x14ac:dyDescent="0.55000000000000004">
      <c r="A772" s="3">
        <v>768</v>
      </c>
      <c r="B772" s="3">
        <v>3</v>
      </c>
      <c r="C772" s="3" t="str">
        <f>VLOOKUP(B772,Eras!$A$3:$B$999,2,0)</f>
        <v>New</v>
      </c>
      <c r="D772" s="3">
        <v>1</v>
      </c>
      <c r="E772" s="3" t="str">
        <f>VLOOKUP(D772,EpisodeFormats!$A$3:$B$999,2,0)</f>
        <v>Series</v>
      </c>
      <c r="F772" s="3">
        <v>11</v>
      </c>
      <c r="G772" s="3" t="str">
        <f>VLOOKUP(F772,Doctors!$A$3:$B$999,2,0)</f>
        <v>Matt Smith</v>
      </c>
      <c r="H772" s="3">
        <v>5</v>
      </c>
      <c r="I772" s="3">
        <v>3</v>
      </c>
      <c r="J772" s="3" t="str">
        <f>VLOOKUP(I772,SeasonFormats!$A$3:$B$999,2,0)</f>
        <v>Series</v>
      </c>
      <c r="K772" s="3">
        <v>212</v>
      </c>
      <c r="L772" s="3">
        <v>10</v>
      </c>
      <c r="M772" s="3" t="s">
        <v>93</v>
      </c>
      <c r="N772" s="3">
        <v>1</v>
      </c>
      <c r="P772" s="3">
        <v>12</v>
      </c>
      <c r="Q772" s="7" t="d">
        <v>2010-06-19</v>
      </c>
      <c r="R772" s="3">
        <v>49</v>
      </c>
      <c r="T772" s="4" t="s">
        <v>1153</v>
      </c>
      <c r="U772" s="3" t="str" cm="1">
        <f t="array" ref="U772">_xlfn.TEXTJOIN(",",TRUE,_xlfn.XLOOKUP(_xlfn.FILTERXML("&lt;t&gt;&lt;s&gt;" &amp; SUBSTITUTE(T772,",","&lt;/s&gt;&lt;s&gt;") &amp; "&lt;/s&gt;&lt;/t&gt;", "//s"),Writers!$A$3:$A$999,Writers!$B$3:$B$999,""))</f>
        <v>Steven Moffat</v>
      </c>
      <c r="W772" s="3" t="str">
        <f>IF(V772="","",_xlfn.XLOOKUP(V772,Writers!$A$3:$A$999,Writers!$B$3:$B$999,""))</f>
        <v/>
      </c>
      <c r="X772" s="3">
        <v>5.38</v>
      </c>
      <c r="Y772" s="3">
        <v>7.57</v>
      </c>
      <c r="AA772" s="3">
        <f t="shared" ref="AA772:AA835" si="36">IF(ISBLANK(X772),"",ROUND(X772*AE772,2))</f>
        <v>5.86</v>
      </c>
      <c r="AB772" s="3">
        <f t="shared" ref="AB772:AB835" si="37">IF(ISBLANK(Y772),"",ROUND(Y772*AE772,2))</f>
        <v>8.24</v>
      </c>
      <c r="AC772" s="3" t="str">
        <f t="shared" ref="AC772:AC835" si="38">IF(ISBLANK(Z772),"",ROUND(Z772*AE772,2))</f>
        <v/>
      </c>
      <c r="AD772" s="3">
        <f>VLOOKUP(YEAR(Q772),Populations!$A$3:$B$999,2,0)</f>
        <v>62759500</v>
      </c>
      <c r="AE772" s="3">
        <f>(Calculations!B1/AD772)</f>
        <v>1.08836004110931</v>
      </c>
      <c r="AG772" s="3">
        <v>2</v>
      </c>
      <c r="AH772" s="3" t="str">
        <f>VLOOKUP(AG772,WikiFormats!$A$3:$B$999,2,0)</f>
        <v>Episode</v>
      </c>
      <c r="AI772" s="3" t="s">
        <v>815</v>
      </c>
    </row>
    <row r="773" spans="1:35" s="3" customFormat="1" x14ac:dyDescent="0.55000000000000004">
      <c r="A773" s="3">
        <v>769</v>
      </c>
      <c r="B773" s="3">
        <v>3</v>
      </c>
      <c r="C773" s="3" t="str">
        <f>VLOOKUP(B773,Eras!$A$3:$B$999,2,0)</f>
        <v>New</v>
      </c>
      <c r="D773" s="3">
        <v>1</v>
      </c>
      <c r="E773" s="3" t="str">
        <f>VLOOKUP(D773,EpisodeFormats!$A$3:$B$999,2,0)</f>
        <v>Series</v>
      </c>
      <c r="F773" s="3">
        <v>11</v>
      </c>
      <c r="G773" s="3" t="str">
        <f>VLOOKUP(F773,Doctors!$A$3:$B$999,2,0)</f>
        <v>Matt Smith</v>
      </c>
      <c r="H773" s="3">
        <v>5</v>
      </c>
      <c r="I773" s="3">
        <v>3</v>
      </c>
      <c r="J773" s="3" t="str">
        <f>VLOOKUP(I773,SeasonFormats!$A$3:$B$999,2,0)</f>
        <v>Series</v>
      </c>
      <c r="K773" s="3">
        <v>212</v>
      </c>
      <c r="L773" s="3">
        <v>10</v>
      </c>
      <c r="M773" s="3" t="s">
        <v>94</v>
      </c>
      <c r="N773" s="3">
        <v>2</v>
      </c>
      <c r="P773" s="3">
        <v>13</v>
      </c>
      <c r="Q773" s="7" t="d">
        <v>2010-06-26</v>
      </c>
      <c r="R773" s="3">
        <v>54</v>
      </c>
      <c r="T773" s="4" t="s">
        <v>1153</v>
      </c>
      <c r="U773" s="3" t="str" cm="1">
        <f t="array" ref="U773">_xlfn.TEXTJOIN(",",TRUE,_xlfn.XLOOKUP(_xlfn.FILTERXML("&lt;t&gt;&lt;s&gt;" &amp; SUBSTITUTE(T773,",","&lt;/s&gt;&lt;s&gt;") &amp; "&lt;/s&gt;&lt;/t&gt;", "//s"),Writers!$A$3:$A$999,Writers!$B$3:$B$999,""))</f>
        <v>Steven Moffat</v>
      </c>
      <c r="W773" s="3" t="str">
        <f>IF(V773="","",_xlfn.XLOOKUP(V773,Writers!$A$3:$A$999,Writers!$B$3:$B$999,""))</f>
        <v/>
      </c>
      <c r="X773" s="3">
        <v>5.09</v>
      </c>
      <c r="Y773" s="3">
        <v>6.7</v>
      </c>
      <c r="AA773" s="3">
        <f t="shared" si="36"/>
        <v>5.54</v>
      </c>
      <c r="AB773" s="3">
        <f t="shared" si="37"/>
        <v>7.29</v>
      </c>
      <c r="AC773" s="3" t="str">
        <f t="shared" si="38"/>
        <v/>
      </c>
      <c r="AD773" s="3">
        <f>VLOOKUP(YEAR(Q773),Populations!$A$3:$B$999,2,0)</f>
        <v>62759500</v>
      </c>
      <c r="AE773" s="3">
        <f>(Calculations!B1/AD773)</f>
        <v>1.08836004110931</v>
      </c>
      <c r="AF773" s="3" t="s">
        <v>545</v>
      </c>
      <c r="AG773" s="3">
        <v>2</v>
      </c>
      <c r="AH773" s="3" t="str">
        <f>VLOOKUP(AG773,WikiFormats!$A$3:$B$999,2,0)</f>
        <v>Episode</v>
      </c>
      <c r="AI773" s="3" t="s">
        <v>816</v>
      </c>
    </row>
    <row r="774" spans="1:35" x14ac:dyDescent="0.55000000000000004">
      <c r="A774">
        <v>770</v>
      </c>
      <c r="B774">
        <v>3</v>
      </c>
      <c r="C774" t="str">
        <f>VLOOKUP(B774,Eras!$A$3:$B$999,2,0)</f>
        <v>New</v>
      </c>
      <c r="D774">
        <v>2</v>
      </c>
      <c r="E774" t="str">
        <f>VLOOKUP(D774,EpisodeFormats!$A$3:$B$999,2,0)</f>
        <v>Special</v>
      </c>
      <c r="F774">
        <v>11</v>
      </c>
      <c r="G774" t="str">
        <f>VLOOKUP(F774,Doctors!$A$3:$B$999,2,0)</f>
        <v>Matt Smith</v>
      </c>
      <c r="I774">
        <v>4</v>
      </c>
      <c r="J774" t="str">
        <f>VLOOKUP(I774,SeasonFormats!$A$3:$B$999,2,0)</f>
        <v>Special</v>
      </c>
      <c r="K774">
        <v>213</v>
      </c>
      <c r="M774" t="s">
        <v>108</v>
      </c>
      <c r="N774">
        <v>1</v>
      </c>
      <c r="Q774" s="6" t="d">
        <v>2010-12-25</v>
      </c>
      <c r="R774">
        <v>62</v>
      </c>
      <c r="T774" s="15" t="s">
        <v>1153</v>
      </c>
      <c r="U774" t="str" cm="1">
        <f t="array" ref="U774">_xlfn.TEXTJOIN(",",TRUE,_xlfn.XLOOKUP(_xlfn.FILTERXML("&lt;t&gt;&lt;s&gt;" &amp; SUBSTITUTE(T774,",","&lt;/s&gt;&lt;s&gt;") &amp; "&lt;/s&gt;&lt;/t&gt;", "//s"),Writers!$A$3:$A$999,Writers!$B$3:$B$999,""))</f>
        <v>Steven Moffat</v>
      </c>
      <c r="W774" t="str">
        <f>IF(V774="","",_xlfn.XLOOKUP(V774,Writers!$A$3:$A$999,Writers!$B$3:$B$999,""))</f>
        <v/>
      </c>
      <c r="X774">
        <v>10.3</v>
      </c>
      <c r="Y774">
        <v>12.11</v>
      </c>
      <c r="AA774">
        <f t="shared" si="36"/>
        <v>11.21</v>
      </c>
      <c r="AB774">
        <f t="shared" si="37"/>
        <v>13.18</v>
      </c>
      <c r="AC774" t="str">
        <f t="shared" si="38"/>
        <v/>
      </c>
      <c r="AD774">
        <f>VLOOKUP(YEAR(Q774),Populations!$A$3:$B$999,2,0)</f>
        <v>62759500</v>
      </c>
      <c r="AE774">
        <f>(Calculations!B1/AD774)</f>
        <v>1.08836004110931</v>
      </c>
      <c r="AG774">
        <v>2</v>
      </c>
      <c r="AH774" t="str">
        <f>VLOOKUP(AG774,WikiFormats!$A$3:$B$999,2,0)</f>
        <v>Episode</v>
      </c>
      <c r="AI774" t="s">
        <v>817</v>
      </c>
    </row>
    <row r="775" spans="1:35" s="3" customFormat="1" x14ac:dyDescent="0.55000000000000004">
      <c r="A775" s="3">
        <v>771</v>
      </c>
      <c r="B775" s="3">
        <v>3</v>
      </c>
      <c r="C775" s="3" t="str">
        <f>VLOOKUP(B775,Eras!$A$3:$B$999,2,0)</f>
        <v>New</v>
      </c>
      <c r="D775" s="3">
        <v>1</v>
      </c>
      <c r="E775" s="3" t="str">
        <f>VLOOKUP(D775,EpisodeFormats!$A$3:$B$999,2,0)</f>
        <v>Series</v>
      </c>
      <c r="F775" s="3">
        <v>11</v>
      </c>
      <c r="G775" s="3" t="str">
        <f>VLOOKUP(F775,Doctors!$A$3:$B$999,2,0)</f>
        <v>Matt Smith</v>
      </c>
      <c r="H775" s="3">
        <v>6</v>
      </c>
      <c r="I775" s="3">
        <v>3</v>
      </c>
      <c r="J775" s="3" t="str">
        <f>VLOOKUP(I775,SeasonFormats!$A$3:$B$999,2,0)</f>
        <v>Series</v>
      </c>
      <c r="K775" s="3">
        <v>214</v>
      </c>
      <c r="L775" s="3">
        <v>1</v>
      </c>
      <c r="M775" s="3" t="s">
        <v>109</v>
      </c>
      <c r="N775" s="3">
        <v>1</v>
      </c>
      <c r="P775" s="3">
        <v>1</v>
      </c>
      <c r="Q775" s="7" t="d">
        <v>2011-04-23</v>
      </c>
      <c r="R775" s="3">
        <v>44</v>
      </c>
      <c r="T775" s="4" t="s">
        <v>1153</v>
      </c>
      <c r="U775" s="3" t="str" cm="1">
        <f t="array" ref="U775">_xlfn.TEXTJOIN(",",TRUE,_xlfn.XLOOKUP(_xlfn.FILTERXML("&lt;t&gt;&lt;s&gt;" &amp; SUBSTITUTE(T775,",","&lt;/s&gt;&lt;s&gt;") &amp; "&lt;/s&gt;&lt;/t&gt;", "//s"),Writers!$A$3:$A$999,Writers!$B$3:$B$999,""))</f>
        <v>Steven Moffat</v>
      </c>
      <c r="W775" s="3" t="str">
        <f>IF(V775="","",_xlfn.XLOOKUP(V775,Writers!$A$3:$A$999,Writers!$B$3:$B$999,""))</f>
        <v/>
      </c>
      <c r="X775" s="3">
        <v>6.52</v>
      </c>
      <c r="Y775" s="3">
        <v>8.86</v>
      </c>
      <c r="AA775" s="3">
        <f t="shared" si="36"/>
        <v>7.04</v>
      </c>
      <c r="AB775" s="3">
        <f t="shared" si="37"/>
        <v>9.56</v>
      </c>
      <c r="AC775" s="3" t="str">
        <f t="shared" si="38"/>
        <v/>
      </c>
      <c r="AD775" s="3">
        <f>VLOOKUP(YEAR(Q775),Populations!$A$3:$B$999,2,0)</f>
        <v>63285100</v>
      </c>
      <c r="AE775" s="3">
        <f>(Calculations!B1/AD775)</f>
        <v>1.07932091440165</v>
      </c>
      <c r="AG775" s="3">
        <v>2</v>
      </c>
      <c r="AH775" s="3" t="str">
        <f>VLOOKUP(AG775,WikiFormats!$A$3:$B$999,2,0)</f>
        <v>Episode</v>
      </c>
      <c r="AI775" s="3" t="s">
        <v>818</v>
      </c>
    </row>
    <row r="776" spans="1:35" s="3" customFormat="1" x14ac:dyDescent="0.55000000000000004">
      <c r="A776" s="3">
        <v>772</v>
      </c>
      <c r="B776" s="3">
        <v>3</v>
      </c>
      <c r="C776" s="3" t="str">
        <f>VLOOKUP(B776,Eras!$A$3:$B$999,2,0)</f>
        <v>New</v>
      </c>
      <c r="D776" s="3">
        <v>1</v>
      </c>
      <c r="E776" s="3" t="str">
        <f>VLOOKUP(D776,EpisodeFormats!$A$3:$B$999,2,0)</f>
        <v>Series</v>
      </c>
      <c r="F776" s="3">
        <v>11</v>
      </c>
      <c r="G776" s="3" t="str">
        <f>VLOOKUP(F776,Doctors!$A$3:$B$999,2,0)</f>
        <v>Matt Smith</v>
      </c>
      <c r="H776" s="3">
        <v>6</v>
      </c>
      <c r="I776" s="3">
        <v>3</v>
      </c>
      <c r="J776" s="3" t="str">
        <f>VLOOKUP(I776,SeasonFormats!$A$3:$B$999,2,0)</f>
        <v>Series</v>
      </c>
      <c r="K776" s="3">
        <v>214</v>
      </c>
      <c r="L776" s="3">
        <v>1</v>
      </c>
      <c r="M776" s="3" t="s">
        <v>110</v>
      </c>
      <c r="N776" s="3">
        <v>2</v>
      </c>
      <c r="P776" s="3">
        <v>2</v>
      </c>
      <c r="Q776" s="7" t="d">
        <v>2011-04-30</v>
      </c>
      <c r="R776" s="3">
        <v>46</v>
      </c>
      <c r="T776" s="4" t="s">
        <v>1153</v>
      </c>
      <c r="U776" s="3" t="str" cm="1">
        <f t="array" ref="U776">_xlfn.TEXTJOIN(",",TRUE,_xlfn.XLOOKUP(_xlfn.FILTERXML("&lt;t&gt;&lt;s&gt;" &amp; SUBSTITUTE(T776,",","&lt;/s&gt;&lt;s&gt;") &amp; "&lt;/s&gt;&lt;/t&gt;", "//s"),Writers!$A$3:$A$999,Writers!$B$3:$B$999,""))</f>
        <v>Steven Moffat</v>
      </c>
      <c r="W776" s="3" t="str">
        <f>IF(V776="","",_xlfn.XLOOKUP(V776,Writers!$A$3:$A$999,Writers!$B$3:$B$999,""))</f>
        <v/>
      </c>
      <c r="X776" s="3">
        <v>5.4</v>
      </c>
      <c r="Y776" s="3">
        <v>7.3</v>
      </c>
      <c r="AA776" s="3">
        <f t="shared" si="36"/>
        <v>5.83</v>
      </c>
      <c r="AB776" s="3">
        <f t="shared" si="37"/>
        <v>7.88</v>
      </c>
      <c r="AC776" s="3" t="str">
        <f t="shared" si="38"/>
        <v/>
      </c>
      <c r="AD776" s="3">
        <f>VLOOKUP(YEAR(Q776),Populations!$A$3:$B$999,2,0)</f>
        <v>63285100</v>
      </c>
      <c r="AE776" s="3">
        <f>(Calculations!B1/AD776)</f>
        <v>1.07932091440165</v>
      </c>
      <c r="AG776" s="3">
        <v>2</v>
      </c>
      <c r="AH776" s="3" t="str">
        <f>VLOOKUP(AG776,WikiFormats!$A$3:$B$999,2,0)</f>
        <v>Episode</v>
      </c>
      <c r="AI776" s="3" t="s">
        <v>819</v>
      </c>
    </row>
    <row r="777" spans="1:35" s="3" customFormat="1" x14ac:dyDescent="0.55000000000000004">
      <c r="A777" s="3">
        <v>773</v>
      </c>
      <c r="B777" s="3">
        <v>3</v>
      </c>
      <c r="C777" s="3" t="str">
        <f>VLOOKUP(B777,Eras!$A$3:$B$999,2,0)</f>
        <v>New</v>
      </c>
      <c r="D777" s="3">
        <v>1</v>
      </c>
      <c r="E777" s="3" t="str">
        <f>VLOOKUP(D777,EpisodeFormats!$A$3:$B$999,2,0)</f>
        <v>Series</v>
      </c>
      <c r="F777" s="3">
        <v>11</v>
      </c>
      <c r="G777" s="3" t="str">
        <f>VLOOKUP(F777,Doctors!$A$3:$B$999,2,0)</f>
        <v>Matt Smith</v>
      </c>
      <c r="H777" s="3">
        <v>6</v>
      </c>
      <c r="I777" s="3">
        <v>3</v>
      </c>
      <c r="J777" s="3" t="str">
        <f>VLOOKUP(I777,SeasonFormats!$A$3:$B$999,2,0)</f>
        <v>Series</v>
      </c>
      <c r="K777" s="3">
        <v>215</v>
      </c>
      <c r="L777" s="3">
        <v>2</v>
      </c>
      <c r="M777" s="3" t="s">
        <v>111</v>
      </c>
      <c r="N777" s="3">
        <v>1</v>
      </c>
      <c r="P777" s="3">
        <v>3</v>
      </c>
      <c r="Q777" s="7" t="d">
        <v>2011-05-07</v>
      </c>
      <c r="R777" s="3">
        <v>45</v>
      </c>
      <c r="T777" s="4" t="s">
        <v>1128</v>
      </c>
      <c r="U777" s="3" t="str" cm="1">
        <f t="array" ref="U777">_xlfn.TEXTJOIN(",",TRUE,_xlfn.XLOOKUP(_xlfn.FILTERXML("&lt;t&gt;&lt;s&gt;" &amp; SUBSTITUTE(T777,",","&lt;/s&gt;&lt;s&gt;") &amp; "&lt;/s&gt;&lt;/t&gt;", "//s"),Writers!$A$3:$A$999,Writers!$B$3:$B$999,""))</f>
        <v>Steve Thompson</v>
      </c>
      <c r="W777" s="3" t="str">
        <f>IF(V777="","",_xlfn.XLOOKUP(V777,Writers!$A$3:$A$999,Writers!$B$3:$B$999,""))</f>
        <v/>
      </c>
      <c r="X777" s="3">
        <v>6.21</v>
      </c>
      <c r="Y777" s="3">
        <v>7.85</v>
      </c>
      <c r="AA777" s="3">
        <f t="shared" si="36"/>
        <v>6.7</v>
      </c>
      <c r="AB777" s="3">
        <f t="shared" si="37"/>
        <v>8.4700000000000006</v>
      </c>
      <c r="AC777" s="3" t="str">
        <f t="shared" si="38"/>
        <v/>
      </c>
      <c r="AD777" s="3">
        <f>VLOOKUP(YEAR(Q777),Populations!$A$3:$B$999,2,0)</f>
        <v>63285100</v>
      </c>
      <c r="AE777" s="3">
        <f>(Calculations!B1/AD777)</f>
        <v>1.07932091440165</v>
      </c>
      <c r="AG777" s="3">
        <v>2</v>
      </c>
      <c r="AH777" s="3" t="str">
        <f>VLOOKUP(AG777,WikiFormats!$A$3:$B$999,2,0)</f>
        <v>Episode</v>
      </c>
      <c r="AI777" s="3" t="s">
        <v>820</v>
      </c>
    </row>
    <row r="778" spans="1:35" s="3" customFormat="1" x14ac:dyDescent="0.55000000000000004">
      <c r="A778" s="3">
        <v>774</v>
      </c>
      <c r="B778" s="3">
        <v>3</v>
      </c>
      <c r="C778" s="3" t="str">
        <f>VLOOKUP(B778,Eras!$A$3:$B$999,2,0)</f>
        <v>New</v>
      </c>
      <c r="D778" s="3">
        <v>1</v>
      </c>
      <c r="E778" s="3" t="str">
        <f>VLOOKUP(D778,EpisodeFormats!$A$3:$B$999,2,0)</f>
        <v>Series</v>
      </c>
      <c r="F778" s="3">
        <v>11</v>
      </c>
      <c r="G778" s="3" t="str">
        <f>VLOOKUP(F778,Doctors!$A$3:$B$999,2,0)</f>
        <v>Matt Smith</v>
      </c>
      <c r="H778" s="3">
        <v>6</v>
      </c>
      <c r="I778" s="3">
        <v>3</v>
      </c>
      <c r="J778" s="3" t="str">
        <f>VLOOKUP(I778,SeasonFormats!$A$3:$B$999,2,0)</f>
        <v>Series</v>
      </c>
      <c r="K778" s="3">
        <v>216</v>
      </c>
      <c r="L778" s="3">
        <v>3</v>
      </c>
      <c r="M778" s="3" t="s">
        <v>112</v>
      </c>
      <c r="N778" s="3">
        <v>1</v>
      </c>
      <c r="P778" s="3">
        <v>4</v>
      </c>
      <c r="Q778" s="7" t="d">
        <v>2011-05-14</v>
      </c>
      <c r="R778" s="3">
        <v>46</v>
      </c>
      <c r="T778" s="4" t="s">
        <v>1102</v>
      </c>
      <c r="U778" s="3" t="str" cm="1">
        <f t="array" ref="U778">_xlfn.TEXTJOIN(",",TRUE,_xlfn.XLOOKUP(_xlfn.FILTERXML("&lt;t&gt;&lt;s&gt;" &amp; SUBSTITUTE(T778,",","&lt;/s&gt;&lt;s&gt;") &amp; "&lt;/s&gt;&lt;/t&gt;", "//s"),Writers!$A$3:$A$999,Writers!$B$3:$B$999,""))</f>
        <v>Neil Gaiman</v>
      </c>
      <c r="W778" s="3" t="str">
        <f>IF(V778="","",_xlfn.XLOOKUP(V778,Writers!$A$3:$A$999,Writers!$B$3:$B$999,""))</f>
        <v/>
      </c>
      <c r="X778" s="3">
        <v>6.09</v>
      </c>
      <c r="Y778" s="3">
        <v>7.97</v>
      </c>
      <c r="AA778" s="3">
        <f t="shared" si="36"/>
        <v>6.57</v>
      </c>
      <c r="AB778" s="3">
        <f t="shared" si="37"/>
        <v>8.6</v>
      </c>
      <c r="AC778" s="3" t="str">
        <f t="shared" si="38"/>
        <v/>
      </c>
      <c r="AD778" s="3">
        <f>VLOOKUP(YEAR(Q778),Populations!$A$3:$B$999,2,0)</f>
        <v>63285100</v>
      </c>
      <c r="AE778" s="3">
        <f>(Calculations!B1/AD778)</f>
        <v>1.07932091440165</v>
      </c>
      <c r="AG778" s="3">
        <v>2</v>
      </c>
      <c r="AH778" s="3" t="str">
        <f>VLOOKUP(AG778,WikiFormats!$A$3:$B$999,2,0)</f>
        <v>Episode</v>
      </c>
      <c r="AI778" s="3" t="s">
        <v>821</v>
      </c>
    </row>
    <row r="779" spans="1:35" s="3" customFormat="1" x14ac:dyDescent="0.55000000000000004">
      <c r="A779" s="3">
        <v>775</v>
      </c>
      <c r="B779" s="3">
        <v>3</v>
      </c>
      <c r="C779" s="3" t="str">
        <f>VLOOKUP(B779,Eras!$A$3:$B$999,2,0)</f>
        <v>New</v>
      </c>
      <c r="D779" s="3">
        <v>1</v>
      </c>
      <c r="E779" s="3" t="str">
        <f>VLOOKUP(D779,EpisodeFormats!$A$3:$B$999,2,0)</f>
        <v>Series</v>
      </c>
      <c r="F779" s="3">
        <v>11</v>
      </c>
      <c r="G779" s="3" t="str">
        <f>VLOOKUP(F779,Doctors!$A$3:$B$999,2,0)</f>
        <v>Matt Smith</v>
      </c>
      <c r="H779" s="3">
        <v>6</v>
      </c>
      <c r="I779" s="3">
        <v>3</v>
      </c>
      <c r="J779" s="3" t="str">
        <f>VLOOKUP(I779,SeasonFormats!$A$3:$B$999,2,0)</f>
        <v>Series</v>
      </c>
      <c r="K779" s="3">
        <v>217</v>
      </c>
      <c r="L779" s="3">
        <v>4</v>
      </c>
      <c r="M779" s="3" t="s">
        <v>113</v>
      </c>
      <c r="N779" s="3">
        <v>1</v>
      </c>
      <c r="P779" s="3">
        <v>5</v>
      </c>
      <c r="Q779" s="7" t="d">
        <v>2011-05-21</v>
      </c>
      <c r="R779" s="3">
        <v>43</v>
      </c>
      <c r="T779" s="4" t="s">
        <v>1108</v>
      </c>
      <c r="U779" s="3" t="str" cm="1">
        <f t="array" ref="U779">_xlfn.TEXTJOIN(",",TRUE,_xlfn.XLOOKUP(_xlfn.FILTERXML("&lt;t&gt;&lt;s&gt;" &amp; SUBSTITUTE(T779,",","&lt;/s&gt;&lt;s&gt;") &amp; "&lt;/s&gt;&lt;/t&gt;", "//s"),Writers!$A$3:$A$999,Writers!$B$3:$B$999,""))</f>
        <v>Matthew Graham</v>
      </c>
      <c r="W779" s="3" t="str">
        <f>IF(V779="","",_xlfn.XLOOKUP(V779,Writers!$A$3:$A$999,Writers!$B$3:$B$999,""))</f>
        <v/>
      </c>
      <c r="X779" s="3">
        <v>5.7</v>
      </c>
      <c r="Y779" s="3">
        <v>7.35</v>
      </c>
      <c r="AA779" s="3">
        <f t="shared" si="36"/>
        <v>6.15</v>
      </c>
      <c r="AB779" s="3">
        <f t="shared" si="37"/>
        <v>7.93</v>
      </c>
      <c r="AC779" s="3" t="str">
        <f t="shared" si="38"/>
        <v/>
      </c>
      <c r="AD779" s="3">
        <f>VLOOKUP(YEAR(Q779),Populations!$A$3:$B$999,2,0)</f>
        <v>63285100</v>
      </c>
      <c r="AE779" s="3">
        <f>(Calculations!B1/AD779)</f>
        <v>1.07932091440165</v>
      </c>
      <c r="AG779" s="3">
        <v>2</v>
      </c>
      <c r="AH779" s="3" t="str">
        <f>VLOOKUP(AG779,WikiFormats!$A$3:$B$999,2,0)</f>
        <v>Episode</v>
      </c>
      <c r="AI779" s="3" t="s">
        <v>822</v>
      </c>
    </row>
    <row r="780" spans="1:35" s="3" customFormat="1" x14ac:dyDescent="0.55000000000000004">
      <c r="A780" s="3">
        <v>776</v>
      </c>
      <c r="B780" s="3">
        <v>3</v>
      </c>
      <c r="C780" s="3" t="str">
        <f>VLOOKUP(B780,Eras!$A$3:$B$999,2,0)</f>
        <v>New</v>
      </c>
      <c r="D780" s="3">
        <v>1</v>
      </c>
      <c r="E780" s="3" t="str">
        <f>VLOOKUP(D780,EpisodeFormats!$A$3:$B$999,2,0)</f>
        <v>Series</v>
      </c>
      <c r="F780" s="3">
        <v>11</v>
      </c>
      <c r="G780" s="3" t="str">
        <f>VLOOKUP(F780,Doctors!$A$3:$B$999,2,0)</f>
        <v>Matt Smith</v>
      </c>
      <c r="H780" s="3">
        <v>6</v>
      </c>
      <c r="I780" s="3">
        <v>3</v>
      </c>
      <c r="J780" s="3" t="str">
        <f>VLOOKUP(I780,SeasonFormats!$A$3:$B$999,2,0)</f>
        <v>Series</v>
      </c>
      <c r="K780" s="3">
        <v>217</v>
      </c>
      <c r="L780" s="3">
        <v>4</v>
      </c>
      <c r="M780" s="3" t="s">
        <v>114</v>
      </c>
      <c r="N780" s="3">
        <v>2</v>
      </c>
      <c r="P780" s="3">
        <v>6</v>
      </c>
      <c r="Q780" s="7" t="d">
        <v>2011-05-28</v>
      </c>
      <c r="R780" s="3">
        <v>45</v>
      </c>
      <c r="T780" s="4" t="s">
        <v>1108</v>
      </c>
      <c r="U780" s="3" t="str" cm="1">
        <f t="array" ref="U780">_xlfn.TEXTJOIN(",",TRUE,_xlfn.XLOOKUP(_xlfn.FILTERXML("&lt;t&gt;&lt;s&gt;" &amp; SUBSTITUTE(T780,",","&lt;/s&gt;&lt;s&gt;") &amp; "&lt;/s&gt;&lt;/t&gt;", "//s"),Writers!$A$3:$A$999,Writers!$B$3:$B$999,""))</f>
        <v>Matthew Graham</v>
      </c>
      <c r="W780" s="3" t="str">
        <f>IF(V780="","",_xlfn.XLOOKUP(V780,Writers!$A$3:$A$999,Writers!$B$3:$B$999,""))</f>
        <v/>
      </c>
      <c r="X780" s="3">
        <v>5</v>
      </c>
      <c r="Y780" s="3">
        <v>6.72</v>
      </c>
      <c r="AA780" s="3">
        <f t="shared" si="36"/>
        <v>5.4</v>
      </c>
      <c r="AB780" s="3">
        <f t="shared" si="37"/>
        <v>7.25</v>
      </c>
      <c r="AC780" s="3" t="str">
        <f t="shared" si="38"/>
        <v/>
      </c>
      <c r="AD780" s="3">
        <f>VLOOKUP(YEAR(Q780),Populations!$A$3:$B$999,2,0)</f>
        <v>63285100</v>
      </c>
      <c r="AE780" s="3">
        <f>(Calculations!B1/AD780)</f>
        <v>1.07932091440165</v>
      </c>
      <c r="AG780" s="3">
        <v>2</v>
      </c>
      <c r="AH780" s="3" t="str">
        <f>VLOOKUP(AG780,WikiFormats!$A$3:$B$999,2,0)</f>
        <v>Episode</v>
      </c>
      <c r="AI780" s="3" t="s">
        <v>823</v>
      </c>
    </row>
    <row r="781" spans="1:35" s="3" customFormat="1" x14ac:dyDescent="0.55000000000000004">
      <c r="A781" s="3">
        <v>777</v>
      </c>
      <c r="B781" s="3">
        <v>3</v>
      </c>
      <c r="C781" s="3" t="str">
        <f>VLOOKUP(B781,Eras!$A$3:$B$999,2,0)</f>
        <v>New</v>
      </c>
      <c r="D781" s="3">
        <v>1</v>
      </c>
      <c r="E781" s="3" t="str">
        <f>VLOOKUP(D781,EpisodeFormats!$A$3:$B$999,2,0)</f>
        <v>Series</v>
      </c>
      <c r="F781" s="3">
        <v>11</v>
      </c>
      <c r="G781" s="3" t="str">
        <f>VLOOKUP(F781,Doctors!$A$3:$B$999,2,0)</f>
        <v>Matt Smith</v>
      </c>
      <c r="H781" s="3">
        <v>6</v>
      </c>
      <c r="I781" s="3">
        <v>3</v>
      </c>
      <c r="J781" s="3" t="str">
        <f>VLOOKUP(I781,SeasonFormats!$A$3:$B$999,2,0)</f>
        <v>Series</v>
      </c>
      <c r="K781" s="3">
        <v>218</v>
      </c>
      <c r="L781" s="3">
        <v>5</v>
      </c>
      <c r="M781" s="3" t="s">
        <v>115</v>
      </c>
      <c r="N781" s="3">
        <v>1</v>
      </c>
      <c r="P781" s="3">
        <v>7</v>
      </c>
      <c r="Q781" s="7" t="d">
        <v>2011-06-04</v>
      </c>
      <c r="R781" s="3">
        <v>48</v>
      </c>
      <c r="T781" s="4" t="s">
        <v>1153</v>
      </c>
      <c r="U781" s="3" t="str" cm="1">
        <f t="array" ref="U781">_xlfn.TEXTJOIN(",",TRUE,_xlfn.XLOOKUP(_xlfn.FILTERXML("&lt;t&gt;&lt;s&gt;" &amp; SUBSTITUTE(T781,",","&lt;/s&gt;&lt;s&gt;") &amp; "&lt;/s&gt;&lt;/t&gt;", "//s"),Writers!$A$3:$A$999,Writers!$B$3:$B$999,""))</f>
        <v>Steven Moffat</v>
      </c>
      <c r="W781" s="3" t="str">
        <f>IF(V781="","",_xlfn.XLOOKUP(V781,Writers!$A$3:$A$999,Writers!$B$3:$B$999,""))</f>
        <v/>
      </c>
      <c r="X781" s="3">
        <v>5.5</v>
      </c>
      <c r="Y781" s="3">
        <v>7.51</v>
      </c>
      <c r="AA781" s="3">
        <f t="shared" si="36"/>
        <v>5.94</v>
      </c>
      <c r="AB781" s="3">
        <f t="shared" si="37"/>
        <v>8.11</v>
      </c>
      <c r="AC781" s="3" t="str">
        <f t="shared" si="38"/>
        <v/>
      </c>
      <c r="AD781" s="3">
        <f>VLOOKUP(YEAR(Q781),Populations!$A$3:$B$999,2,0)</f>
        <v>63285100</v>
      </c>
      <c r="AE781" s="3">
        <f>(Calculations!B1/AD781)</f>
        <v>1.07932091440165</v>
      </c>
      <c r="AF781" s="3" t="s">
        <v>535</v>
      </c>
      <c r="AG781" s="3">
        <v>2</v>
      </c>
      <c r="AH781" s="3" t="str">
        <f>VLOOKUP(AG781,WikiFormats!$A$3:$B$999,2,0)</f>
        <v>Episode</v>
      </c>
      <c r="AI781" s="3" t="s">
        <v>824</v>
      </c>
    </row>
    <row r="782" spans="1:35" s="3" customFormat="1" x14ac:dyDescent="0.55000000000000004">
      <c r="A782" s="3">
        <v>778</v>
      </c>
      <c r="B782" s="3">
        <v>3</v>
      </c>
      <c r="C782" s="3" t="str">
        <f>VLOOKUP(B782,Eras!$A$3:$B$999,2,0)</f>
        <v>New</v>
      </c>
      <c r="D782" s="3">
        <v>1</v>
      </c>
      <c r="E782" s="3" t="str">
        <f>VLOOKUP(D782,EpisodeFormats!$A$3:$B$999,2,0)</f>
        <v>Series</v>
      </c>
      <c r="F782" s="3">
        <v>11</v>
      </c>
      <c r="G782" s="3" t="str">
        <f>VLOOKUP(F782,Doctors!$A$3:$B$999,2,0)</f>
        <v>Matt Smith</v>
      </c>
      <c r="H782" s="3">
        <v>6</v>
      </c>
      <c r="I782" s="3">
        <v>3</v>
      </c>
      <c r="J782" s="3" t="str">
        <f>VLOOKUP(I782,SeasonFormats!$A$3:$B$999,2,0)</f>
        <v>Series</v>
      </c>
      <c r="K782" s="3">
        <v>219</v>
      </c>
      <c r="L782" s="3">
        <v>6</v>
      </c>
      <c r="M782" s="3" t="s">
        <v>116</v>
      </c>
      <c r="N782" s="3">
        <v>1</v>
      </c>
      <c r="P782" s="3">
        <v>8</v>
      </c>
      <c r="Q782" s="7" t="d">
        <v>2011-08-27</v>
      </c>
      <c r="R782" s="3">
        <v>48</v>
      </c>
      <c r="T782" s="4" t="s">
        <v>1153</v>
      </c>
      <c r="U782" s="3" t="str" cm="1">
        <f t="array" ref="U782">_xlfn.TEXTJOIN(",",TRUE,_xlfn.XLOOKUP(_xlfn.FILTERXML("&lt;t&gt;&lt;s&gt;" &amp; SUBSTITUTE(T782,",","&lt;/s&gt;&lt;s&gt;") &amp; "&lt;/s&gt;&lt;/t&gt;", "//s"),Writers!$A$3:$A$999,Writers!$B$3:$B$999,""))</f>
        <v>Steven Moffat</v>
      </c>
      <c r="W782" s="3" t="str">
        <f>IF(V782="","",_xlfn.XLOOKUP(V782,Writers!$A$3:$A$999,Writers!$B$3:$B$999,""))</f>
        <v/>
      </c>
      <c r="X782" s="3">
        <v>6.2</v>
      </c>
      <c r="Y782" s="3">
        <v>8.1</v>
      </c>
      <c r="AA782" s="3">
        <f t="shared" si="36"/>
        <v>6.69</v>
      </c>
      <c r="AB782" s="3">
        <f t="shared" si="37"/>
        <v>8.74</v>
      </c>
      <c r="AC782" s="3" t="str">
        <f t="shared" si="38"/>
        <v/>
      </c>
      <c r="AD782" s="3">
        <f>VLOOKUP(YEAR(Q782),Populations!$A$3:$B$999,2,0)</f>
        <v>63285100</v>
      </c>
      <c r="AE782" s="3">
        <f>(Calculations!B1/AD782)</f>
        <v>1.07932091440165</v>
      </c>
      <c r="AG782" s="3">
        <v>2</v>
      </c>
      <c r="AH782" s="3" t="str">
        <f>VLOOKUP(AG782,WikiFormats!$A$3:$B$999,2,0)</f>
        <v>Episode</v>
      </c>
      <c r="AI782" s="3" t="s">
        <v>825</v>
      </c>
    </row>
    <row r="783" spans="1:35" s="3" customFormat="1" x14ac:dyDescent="0.55000000000000004">
      <c r="A783" s="3">
        <v>779</v>
      </c>
      <c r="B783" s="3">
        <v>3</v>
      </c>
      <c r="C783" s="3" t="str">
        <f>VLOOKUP(B783,Eras!$A$3:$B$999,2,0)</f>
        <v>New</v>
      </c>
      <c r="D783" s="3">
        <v>1</v>
      </c>
      <c r="E783" s="3" t="str">
        <f>VLOOKUP(D783,EpisodeFormats!$A$3:$B$999,2,0)</f>
        <v>Series</v>
      </c>
      <c r="F783" s="3">
        <v>11</v>
      </c>
      <c r="G783" s="3" t="str">
        <f>VLOOKUP(F783,Doctors!$A$3:$B$999,2,0)</f>
        <v>Matt Smith</v>
      </c>
      <c r="H783" s="3">
        <v>6</v>
      </c>
      <c r="I783" s="3">
        <v>3</v>
      </c>
      <c r="J783" s="3" t="str">
        <f>VLOOKUP(I783,SeasonFormats!$A$3:$B$999,2,0)</f>
        <v>Series</v>
      </c>
      <c r="K783" s="3">
        <v>220</v>
      </c>
      <c r="L783" s="3">
        <v>7</v>
      </c>
      <c r="M783" s="3" t="s">
        <v>117</v>
      </c>
      <c r="N783" s="3">
        <v>1</v>
      </c>
      <c r="P783" s="3">
        <v>9</v>
      </c>
      <c r="Q783" s="7" t="d">
        <v>2011-09-03</v>
      </c>
      <c r="R783" s="3">
        <v>43</v>
      </c>
      <c r="T783" s="4" t="s">
        <v>1117</v>
      </c>
      <c r="U783" s="3" t="str" cm="1">
        <f t="array" ref="U783">_xlfn.TEXTJOIN(",",TRUE,_xlfn.XLOOKUP(_xlfn.FILTERXML("&lt;t&gt;&lt;s&gt;" &amp; SUBSTITUTE(T783,",","&lt;/s&gt;&lt;s&gt;") &amp; "&lt;/s&gt;&lt;/t&gt;", "//s"),Writers!$A$3:$A$999,Writers!$B$3:$B$999,""))</f>
        <v>Mark Gatiss</v>
      </c>
      <c r="W783" s="3" t="str">
        <f>IF(V783="","",_xlfn.XLOOKUP(V783,Writers!$A$3:$A$999,Writers!$B$3:$B$999,""))</f>
        <v/>
      </c>
      <c r="X783" s="3">
        <v>5.5</v>
      </c>
      <c r="Y783" s="3">
        <v>7.07</v>
      </c>
      <c r="AA783" s="3">
        <f t="shared" si="36"/>
        <v>5.94</v>
      </c>
      <c r="AB783" s="3">
        <f t="shared" si="37"/>
        <v>7.63</v>
      </c>
      <c r="AC783" s="3" t="str">
        <f t="shared" si="38"/>
        <v/>
      </c>
      <c r="AD783" s="3">
        <f>VLOOKUP(YEAR(Q783),Populations!$A$3:$B$999,2,0)</f>
        <v>63285100</v>
      </c>
      <c r="AE783" s="3">
        <f>(Calculations!B1/AD783)</f>
        <v>1.07932091440165</v>
      </c>
      <c r="AG783" s="3">
        <v>2</v>
      </c>
      <c r="AH783" s="3" t="str">
        <f>VLOOKUP(AG783,WikiFormats!$A$3:$B$999,2,0)</f>
        <v>Episode</v>
      </c>
      <c r="AI783" s="3" t="s">
        <v>826</v>
      </c>
    </row>
    <row r="784" spans="1:35" s="3" customFormat="1" x14ac:dyDescent="0.55000000000000004">
      <c r="A784" s="3">
        <v>780</v>
      </c>
      <c r="B784" s="3">
        <v>3</v>
      </c>
      <c r="C784" s="3" t="str">
        <f>VLOOKUP(B784,Eras!$A$3:$B$999,2,0)</f>
        <v>New</v>
      </c>
      <c r="D784" s="3">
        <v>1</v>
      </c>
      <c r="E784" s="3" t="str">
        <f>VLOOKUP(D784,EpisodeFormats!$A$3:$B$999,2,0)</f>
        <v>Series</v>
      </c>
      <c r="F784" s="3">
        <v>11</v>
      </c>
      <c r="G784" s="3" t="str">
        <f>VLOOKUP(F784,Doctors!$A$3:$B$999,2,0)</f>
        <v>Matt Smith</v>
      </c>
      <c r="H784" s="3">
        <v>6</v>
      </c>
      <c r="I784" s="3">
        <v>3</v>
      </c>
      <c r="J784" s="3" t="str">
        <f>VLOOKUP(I784,SeasonFormats!$A$3:$B$999,2,0)</f>
        <v>Series</v>
      </c>
      <c r="K784" s="3">
        <v>221</v>
      </c>
      <c r="L784" s="3">
        <v>8</v>
      </c>
      <c r="M784" s="3" t="s">
        <v>118</v>
      </c>
      <c r="N784" s="3">
        <v>1</v>
      </c>
      <c r="P784" s="3">
        <v>10</v>
      </c>
      <c r="Q784" s="7" t="d">
        <v>2011-09-10</v>
      </c>
      <c r="R784" s="3">
        <v>46</v>
      </c>
      <c r="T784" s="4" t="s">
        <v>1138</v>
      </c>
      <c r="U784" s="3" t="str" cm="1">
        <f t="array" ref="U784">_xlfn.TEXTJOIN(",",TRUE,_xlfn.XLOOKUP(_xlfn.FILTERXML("&lt;t&gt;&lt;s&gt;" &amp; SUBSTITUTE(T784,",","&lt;/s&gt;&lt;s&gt;") &amp; "&lt;/s&gt;&lt;/t&gt;", "//s"),Writers!$A$3:$A$999,Writers!$B$3:$B$999,""))</f>
        <v>Tom MacRae</v>
      </c>
      <c r="W784" s="3" t="str">
        <f>IF(V784="","",_xlfn.XLOOKUP(V784,Writers!$A$3:$A$999,Writers!$B$3:$B$999,""))</f>
        <v/>
      </c>
      <c r="X784" s="3">
        <v>6</v>
      </c>
      <c r="Y784" s="3">
        <v>7.6</v>
      </c>
      <c r="AA784" s="3">
        <f t="shared" si="36"/>
        <v>6.48</v>
      </c>
      <c r="AB784" s="3">
        <f t="shared" si="37"/>
        <v>8.1999999999999993</v>
      </c>
      <c r="AC784" s="3" t="str">
        <f t="shared" si="38"/>
        <v/>
      </c>
      <c r="AD784" s="3">
        <f>VLOOKUP(YEAR(Q784),Populations!$A$3:$B$999,2,0)</f>
        <v>63285100</v>
      </c>
      <c r="AE784" s="3">
        <f>(Calculations!B1/AD784)</f>
        <v>1.07932091440165</v>
      </c>
      <c r="AG784" s="3">
        <v>2</v>
      </c>
      <c r="AH784" s="3" t="str">
        <f>VLOOKUP(AG784,WikiFormats!$A$3:$B$999,2,0)</f>
        <v>Episode</v>
      </c>
      <c r="AI784" s="3" t="s">
        <v>827</v>
      </c>
    </row>
    <row r="785" spans="1:35" s="3" customFormat="1" x14ac:dyDescent="0.55000000000000004">
      <c r="A785" s="3">
        <v>781</v>
      </c>
      <c r="B785" s="3">
        <v>3</v>
      </c>
      <c r="C785" s="3" t="str">
        <f>VLOOKUP(B785,Eras!$A$3:$B$999,2,0)</f>
        <v>New</v>
      </c>
      <c r="D785" s="3">
        <v>1</v>
      </c>
      <c r="E785" s="3" t="str">
        <f>VLOOKUP(D785,EpisodeFormats!$A$3:$B$999,2,0)</f>
        <v>Series</v>
      </c>
      <c r="F785" s="3">
        <v>11</v>
      </c>
      <c r="G785" s="3" t="str">
        <f>VLOOKUP(F785,Doctors!$A$3:$B$999,2,0)</f>
        <v>Matt Smith</v>
      </c>
      <c r="H785" s="3">
        <v>6</v>
      </c>
      <c r="I785" s="3">
        <v>3</v>
      </c>
      <c r="J785" s="3" t="str">
        <f>VLOOKUP(I785,SeasonFormats!$A$3:$B$999,2,0)</f>
        <v>Series</v>
      </c>
      <c r="K785" s="3">
        <v>222</v>
      </c>
      <c r="L785" s="3">
        <v>9</v>
      </c>
      <c r="M785" s="3" t="s">
        <v>119</v>
      </c>
      <c r="N785" s="3">
        <v>1</v>
      </c>
      <c r="P785" s="3">
        <v>11</v>
      </c>
      <c r="Q785" s="7" t="d">
        <v>2011-09-17</v>
      </c>
      <c r="R785" s="3">
        <v>48</v>
      </c>
      <c r="T785" s="4" t="s">
        <v>1177</v>
      </c>
      <c r="U785" s="3" t="str" cm="1">
        <f t="array" ref="U785">_xlfn.TEXTJOIN(",",TRUE,_xlfn.XLOOKUP(_xlfn.FILTERXML("&lt;t&gt;&lt;s&gt;" &amp; SUBSTITUTE(T785,",","&lt;/s&gt;&lt;s&gt;") &amp; "&lt;/s&gt;&lt;/t&gt;", "//s"),Writers!$A$3:$A$999,Writers!$B$3:$B$999,""))</f>
        <v>Toby Whithouse</v>
      </c>
      <c r="W785" s="3" t="str">
        <f>IF(V785="","",_xlfn.XLOOKUP(V785,Writers!$A$3:$A$999,Writers!$B$3:$B$999,""))</f>
        <v/>
      </c>
      <c r="X785" s="3">
        <v>5.2</v>
      </c>
      <c r="Y785" s="3">
        <v>6.77</v>
      </c>
      <c r="AA785" s="3">
        <f t="shared" si="36"/>
        <v>5.61</v>
      </c>
      <c r="AB785" s="3">
        <f t="shared" si="37"/>
        <v>7.31</v>
      </c>
      <c r="AC785" s="3" t="str">
        <f t="shared" si="38"/>
        <v/>
      </c>
      <c r="AD785" s="3">
        <f>VLOOKUP(YEAR(Q785),Populations!$A$3:$B$999,2,0)</f>
        <v>63285100</v>
      </c>
      <c r="AE785" s="3">
        <f>(Calculations!B1/AD785)</f>
        <v>1.07932091440165</v>
      </c>
      <c r="AG785" s="3">
        <v>2</v>
      </c>
      <c r="AH785" s="3" t="str">
        <f>VLOOKUP(AG785,WikiFormats!$A$3:$B$999,2,0)</f>
        <v>Episode</v>
      </c>
      <c r="AI785" s="3" t="s">
        <v>828</v>
      </c>
    </row>
    <row r="786" spans="1:35" s="3" customFormat="1" x14ac:dyDescent="0.55000000000000004">
      <c r="A786" s="3">
        <v>782</v>
      </c>
      <c r="B786" s="3">
        <v>3</v>
      </c>
      <c r="C786" s="3" t="str">
        <f>VLOOKUP(B786,Eras!$A$3:$B$999,2,0)</f>
        <v>New</v>
      </c>
      <c r="D786" s="3">
        <v>1</v>
      </c>
      <c r="E786" s="3" t="str">
        <f>VLOOKUP(D786,EpisodeFormats!$A$3:$B$999,2,0)</f>
        <v>Series</v>
      </c>
      <c r="F786" s="3">
        <v>11</v>
      </c>
      <c r="G786" s="3" t="str">
        <f>VLOOKUP(F786,Doctors!$A$3:$B$999,2,0)</f>
        <v>Matt Smith</v>
      </c>
      <c r="H786" s="3">
        <v>6</v>
      </c>
      <c r="I786" s="3">
        <v>3</v>
      </c>
      <c r="J786" s="3" t="str">
        <f>VLOOKUP(I786,SeasonFormats!$A$3:$B$999,2,0)</f>
        <v>Series</v>
      </c>
      <c r="K786" s="3">
        <v>223</v>
      </c>
      <c r="L786" s="3">
        <v>10</v>
      </c>
      <c r="M786" s="3" t="s">
        <v>120</v>
      </c>
      <c r="N786" s="3">
        <v>1</v>
      </c>
      <c r="P786" s="3">
        <v>12</v>
      </c>
      <c r="Q786" s="7" t="d">
        <v>2011-09-24</v>
      </c>
      <c r="R786" s="3">
        <v>45</v>
      </c>
      <c r="T786" s="4" t="s">
        <v>1148</v>
      </c>
      <c r="U786" s="3" t="str" cm="1">
        <f t="array" ref="U786">_xlfn.TEXTJOIN(",",TRUE,_xlfn.XLOOKUP(_xlfn.FILTERXML("&lt;t&gt;&lt;s&gt;" &amp; SUBSTITUTE(T786,",","&lt;/s&gt;&lt;s&gt;") &amp; "&lt;/s&gt;&lt;/t&gt;", "//s"),Writers!$A$3:$A$999,Writers!$B$3:$B$999,""))</f>
        <v>Gareth Roberts</v>
      </c>
      <c r="W786" s="3" t="str">
        <f>IF(V786="","",_xlfn.XLOOKUP(V786,Writers!$A$3:$A$999,Writers!$B$3:$B$999,""))</f>
        <v/>
      </c>
      <c r="X786" s="3">
        <v>5.3</v>
      </c>
      <c r="Y786" s="3">
        <v>6.93</v>
      </c>
      <c r="AA786" s="3">
        <f t="shared" si="36"/>
        <v>5.72</v>
      </c>
      <c r="AB786" s="3">
        <f t="shared" si="37"/>
        <v>7.48</v>
      </c>
      <c r="AC786" s="3" t="str">
        <f t="shared" si="38"/>
        <v/>
      </c>
      <c r="AD786" s="3">
        <f>VLOOKUP(YEAR(Q786),Populations!$A$3:$B$999,2,0)</f>
        <v>63285100</v>
      </c>
      <c r="AE786" s="3">
        <f>(Calculations!B1/AD786)</f>
        <v>1.07932091440165</v>
      </c>
      <c r="AG786" s="3">
        <v>2</v>
      </c>
      <c r="AH786" s="3" t="str">
        <f>VLOOKUP(AG786,WikiFormats!$A$3:$B$999,2,0)</f>
        <v>Episode</v>
      </c>
      <c r="AI786" s="3" t="s">
        <v>829</v>
      </c>
    </row>
    <row r="787" spans="1:35" s="3" customFormat="1" x14ac:dyDescent="0.55000000000000004">
      <c r="A787" s="3">
        <v>783</v>
      </c>
      <c r="B787" s="3">
        <v>3</v>
      </c>
      <c r="C787" s="3" t="str">
        <f>VLOOKUP(B787,Eras!$A$3:$B$999,2,0)</f>
        <v>New</v>
      </c>
      <c r="D787" s="3">
        <v>1</v>
      </c>
      <c r="E787" s="3" t="str">
        <f>VLOOKUP(D787,EpisodeFormats!$A$3:$B$999,2,0)</f>
        <v>Series</v>
      </c>
      <c r="F787" s="3">
        <v>11</v>
      </c>
      <c r="G787" s="3" t="str">
        <f>VLOOKUP(F787,Doctors!$A$3:$B$999,2,0)</f>
        <v>Matt Smith</v>
      </c>
      <c r="H787" s="3">
        <v>6</v>
      </c>
      <c r="I787" s="3">
        <v>3</v>
      </c>
      <c r="J787" s="3" t="str">
        <f>VLOOKUP(I787,SeasonFormats!$A$3:$B$999,2,0)</f>
        <v>Series</v>
      </c>
      <c r="K787" s="3">
        <v>224</v>
      </c>
      <c r="L787" s="3">
        <v>11</v>
      </c>
      <c r="M787" s="3" t="s">
        <v>121</v>
      </c>
      <c r="N787" s="3">
        <v>1</v>
      </c>
      <c r="P787" s="3">
        <v>13</v>
      </c>
      <c r="Q787" s="7" t="d">
        <v>2011-10-01</v>
      </c>
      <c r="R787" s="3">
        <v>45</v>
      </c>
      <c r="T787" s="4" t="s">
        <v>1153</v>
      </c>
      <c r="U787" s="3" t="str" cm="1">
        <f t="array" ref="U787">_xlfn.TEXTJOIN(",",TRUE,_xlfn.XLOOKUP(_xlfn.FILTERXML("&lt;t&gt;&lt;s&gt;" &amp; SUBSTITUTE(T787,",","&lt;/s&gt;&lt;s&gt;") &amp; "&lt;/s&gt;&lt;/t&gt;", "//s"),Writers!$A$3:$A$999,Writers!$B$3:$B$999,""))</f>
        <v>Steven Moffat</v>
      </c>
      <c r="W787" s="3" t="str">
        <f>IF(V787="","",_xlfn.XLOOKUP(V787,Writers!$A$3:$A$999,Writers!$B$3:$B$999,""))</f>
        <v/>
      </c>
      <c r="X787" s="3">
        <v>6.1</v>
      </c>
      <c r="Y787" s="3">
        <v>7.67</v>
      </c>
      <c r="AA787" s="3">
        <f t="shared" si="36"/>
        <v>6.58</v>
      </c>
      <c r="AB787" s="3">
        <f t="shared" si="37"/>
        <v>8.2799999999999994</v>
      </c>
      <c r="AC787" s="3" t="str">
        <f t="shared" si="38"/>
        <v/>
      </c>
      <c r="AD787" s="3">
        <f>VLOOKUP(YEAR(Q787),Populations!$A$3:$B$999,2,0)</f>
        <v>63285100</v>
      </c>
      <c r="AE787" s="3">
        <f>(Calculations!B1/AD787)</f>
        <v>1.07932091440165</v>
      </c>
      <c r="AG787" s="3">
        <v>2</v>
      </c>
      <c r="AH787" s="3" t="str">
        <f>VLOOKUP(AG787,WikiFormats!$A$3:$B$999,2,0)</f>
        <v>Episode</v>
      </c>
      <c r="AI787" s="3" t="s">
        <v>830</v>
      </c>
    </row>
    <row r="788" spans="1:35" x14ac:dyDescent="0.55000000000000004">
      <c r="A788">
        <v>784</v>
      </c>
      <c r="B788">
        <v>3</v>
      </c>
      <c r="C788" t="str">
        <f>VLOOKUP(B788,Eras!$A$3:$B$999,2,0)</f>
        <v>New</v>
      </c>
      <c r="D788">
        <v>2</v>
      </c>
      <c r="E788" t="str">
        <f>VLOOKUP(D788,EpisodeFormats!$A$3:$B$999,2,0)</f>
        <v>Special</v>
      </c>
      <c r="F788">
        <v>11</v>
      </c>
      <c r="G788" t="str">
        <f>VLOOKUP(F788,Doctors!$A$3:$B$999,2,0)</f>
        <v>Matt Smith</v>
      </c>
      <c r="I788">
        <v>4</v>
      </c>
      <c r="J788" t="str">
        <f>VLOOKUP(I788,SeasonFormats!$A$3:$B$999,2,0)</f>
        <v>Special</v>
      </c>
      <c r="K788">
        <v>225</v>
      </c>
      <c r="M788" t="s">
        <v>123</v>
      </c>
      <c r="N788">
        <v>1</v>
      </c>
      <c r="Q788" s="6" t="d">
        <v>2011-12-25</v>
      </c>
      <c r="R788">
        <v>58</v>
      </c>
      <c r="T788" s="15" t="s">
        <v>1153</v>
      </c>
      <c r="U788" t="str" cm="1">
        <f t="array" ref="U788">_xlfn.TEXTJOIN(",",TRUE,_xlfn.XLOOKUP(_xlfn.FILTERXML("&lt;t&gt;&lt;s&gt;" &amp; SUBSTITUTE(T788,",","&lt;/s&gt;&lt;s&gt;") &amp; "&lt;/s&gt;&lt;/t&gt;", "//s"),Writers!$A$3:$A$999,Writers!$B$3:$B$999,""))</f>
        <v>Steven Moffat</v>
      </c>
      <c r="W788" t="str">
        <f>IF(V788="","",_xlfn.XLOOKUP(V788,Writers!$A$3:$A$999,Writers!$B$3:$B$999,""))</f>
        <v/>
      </c>
      <c r="X788">
        <v>8.9</v>
      </c>
      <c r="Y788">
        <v>10.77</v>
      </c>
      <c r="AA788">
        <f t="shared" si="36"/>
        <v>9.61</v>
      </c>
      <c r="AB788">
        <f t="shared" si="37"/>
        <v>11.62</v>
      </c>
      <c r="AC788" t="str">
        <f t="shared" si="38"/>
        <v/>
      </c>
      <c r="AD788">
        <f>VLOOKUP(YEAR(Q788),Populations!$A$3:$B$999,2,0)</f>
        <v>63285100</v>
      </c>
      <c r="AE788">
        <f>(Calculations!B1/AD788)</f>
        <v>1.07932091440165</v>
      </c>
      <c r="AG788">
        <v>2</v>
      </c>
      <c r="AH788" t="str">
        <f>VLOOKUP(AG788,WikiFormats!$A$3:$B$999,2,0)</f>
        <v>Episode</v>
      </c>
      <c r="AI788" t="s">
        <v>831</v>
      </c>
    </row>
    <row r="789" spans="1:35" s="3" customFormat="1" x14ac:dyDescent="0.55000000000000004">
      <c r="A789" s="3">
        <v>785</v>
      </c>
      <c r="B789" s="3">
        <v>3</v>
      </c>
      <c r="C789" s="3" t="str">
        <f>VLOOKUP(B789,Eras!$A$3:$B$999,2,0)</f>
        <v>New</v>
      </c>
      <c r="D789" s="3">
        <v>1</v>
      </c>
      <c r="E789" s="3" t="str">
        <f>VLOOKUP(D789,EpisodeFormats!$A$3:$B$999,2,0)</f>
        <v>Series</v>
      </c>
      <c r="F789" s="3">
        <v>11</v>
      </c>
      <c r="G789" s="3" t="str">
        <f>VLOOKUP(F789,Doctors!$A$3:$B$999,2,0)</f>
        <v>Matt Smith</v>
      </c>
      <c r="H789" s="3">
        <v>7</v>
      </c>
      <c r="I789" s="3">
        <v>3</v>
      </c>
      <c r="J789" s="3" t="str">
        <f>VLOOKUP(I789,SeasonFormats!$A$3:$B$999,2,0)</f>
        <v>Series</v>
      </c>
      <c r="K789" s="3">
        <v>226</v>
      </c>
      <c r="L789" s="3">
        <v>1</v>
      </c>
      <c r="M789" s="3" t="s">
        <v>124</v>
      </c>
      <c r="N789" s="3">
        <v>1</v>
      </c>
      <c r="P789" s="3">
        <v>1</v>
      </c>
      <c r="Q789" s="7" t="d">
        <v>2012-09-01</v>
      </c>
      <c r="R789" s="3">
        <v>49</v>
      </c>
      <c r="T789" s="4" t="s">
        <v>1153</v>
      </c>
      <c r="U789" s="3" t="str" cm="1">
        <f t="array" ref="U789">_xlfn.TEXTJOIN(",",TRUE,_xlfn.XLOOKUP(_xlfn.FILTERXML("&lt;t&gt;&lt;s&gt;" &amp; SUBSTITUTE(T789,",","&lt;/s&gt;&lt;s&gt;") &amp; "&lt;/s&gt;&lt;/t&gt;", "//s"),Writers!$A$3:$A$999,Writers!$B$3:$B$999,""))</f>
        <v>Steven Moffat</v>
      </c>
      <c r="W789" s="3" t="str">
        <f>IF(V789="","",_xlfn.XLOOKUP(V789,Writers!$A$3:$A$999,Writers!$B$3:$B$999,""))</f>
        <v/>
      </c>
      <c r="X789" s="3">
        <v>6.4</v>
      </c>
      <c r="Y789" s="3">
        <v>8.33</v>
      </c>
      <c r="AA789" s="3">
        <f t="shared" si="36"/>
        <v>6.86</v>
      </c>
      <c r="AB789" s="3">
        <f t="shared" si="37"/>
        <v>8.93</v>
      </c>
      <c r="AC789" s="3" t="str">
        <f t="shared" si="38"/>
        <v/>
      </c>
      <c r="AD789" s="3">
        <f>VLOOKUP(YEAR(Q789),Populations!$A$3:$B$999,2,0)</f>
        <v>63705000</v>
      </c>
      <c r="AE789" s="3">
        <f>(Calculations!B1/AD789)</f>
        <v>1.0722067655600001</v>
      </c>
      <c r="AG789" s="3">
        <v>2</v>
      </c>
      <c r="AH789" s="3" t="str">
        <f>VLOOKUP(AG789,WikiFormats!$A$3:$B$999,2,0)</f>
        <v>Episode</v>
      </c>
      <c r="AI789" s="3" t="s">
        <v>832</v>
      </c>
    </row>
    <row r="790" spans="1:35" s="3" customFormat="1" x14ac:dyDescent="0.55000000000000004">
      <c r="A790" s="3">
        <v>786</v>
      </c>
      <c r="B790" s="3">
        <v>3</v>
      </c>
      <c r="C790" s="3" t="str">
        <f>VLOOKUP(B790,Eras!$A$3:$B$999,2,0)</f>
        <v>New</v>
      </c>
      <c r="D790" s="3">
        <v>1</v>
      </c>
      <c r="E790" s="3" t="str">
        <f>VLOOKUP(D790,EpisodeFormats!$A$3:$B$999,2,0)</f>
        <v>Series</v>
      </c>
      <c r="F790" s="3">
        <v>11</v>
      </c>
      <c r="G790" s="3" t="str">
        <f>VLOOKUP(F790,Doctors!$A$3:$B$999,2,0)</f>
        <v>Matt Smith</v>
      </c>
      <c r="H790" s="3">
        <v>7</v>
      </c>
      <c r="I790" s="3">
        <v>3</v>
      </c>
      <c r="J790" s="3" t="str">
        <f>VLOOKUP(I790,SeasonFormats!$A$3:$B$999,2,0)</f>
        <v>Series</v>
      </c>
      <c r="K790" s="3">
        <v>227</v>
      </c>
      <c r="L790" s="3">
        <v>2</v>
      </c>
      <c r="M790" s="3" t="s">
        <v>125</v>
      </c>
      <c r="N790" s="3">
        <v>1</v>
      </c>
      <c r="P790" s="3">
        <v>2</v>
      </c>
      <c r="Q790" s="7" t="d">
        <v>2012-09-08</v>
      </c>
      <c r="R790" s="3">
        <v>45</v>
      </c>
      <c r="T790" s="4" t="s">
        <v>1084</v>
      </c>
      <c r="U790" s="3" t="str" cm="1">
        <f t="array" ref="U790">_xlfn.TEXTJOIN(",",TRUE,_xlfn.XLOOKUP(_xlfn.FILTERXML("&lt;t&gt;&lt;s&gt;" &amp; SUBSTITUTE(T790,",","&lt;/s&gt;&lt;s&gt;") &amp; "&lt;/s&gt;&lt;/t&gt;", "//s"),Writers!$A$3:$A$999,Writers!$B$3:$B$999,""))</f>
        <v>Chris Chibnall</v>
      </c>
      <c r="W790" s="3" t="str">
        <f>IF(V790="","",_xlfn.XLOOKUP(V790,Writers!$A$3:$A$999,Writers!$B$3:$B$999,""))</f>
        <v/>
      </c>
      <c r="X790" s="3">
        <v>5.5</v>
      </c>
      <c r="Y790" s="3">
        <v>7.57</v>
      </c>
      <c r="AA790" s="3">
        <f t="shared" si="36"/>
        <v>5.9</v>
      </c>
      <c r="AB790" s="3">
        <f t="shared" si="37"/>
        <v>8.1199999999999992</v>
      </c>
      <c r="AC790" s="3" t="str">
        <f t="shared" si="38"/>
        <v/>
      </c>
      <c r="AD790" s="3">
        <f>VLOOKUP(YEAR(Q790),Populations!$A$3:$B$999,2,0)</f>
        <v>63705000</v>
      </c>
      <c r="AE790" s="3">
        <f>(Calculations!B1/AD790)</f>
        <v>1.0722067655600001</v>
      </c>
      <c r="AG790" s="3">
        <v>2</v>
      </c>
      <c r="AH790" s="3" t="str">
        <f>VLOOKUP(AG790,WikiFormats!$A$3:$B$999,2,0)</f>
        <v>Episode</v>
      </c>
      <c r="AI790" s="3" t="s">
        <v>833</v>
      </c>
    </row>
    <row r="791" spans="1:35" s="3" customFormat="1" x14ac:dyDescent="0.55000000000000004">
      <c r="A791" s="3">
        <v>787</v>
      </c>
      <c r="B791" s="3">
        <v>3</v>
      </c>
      <c r="C791" s="3" t="str">
        <f>VLOOKUP(B791,Eras!$A$3:$B$999,2,0)</f>
        <v>New</v>
      </c>
      <c r="D791" s="3">
        <v>1</v>
      </c>
      <c r="E791" s="3" t="str">
        <f>VLOOKUP(D791,EpisodeFormats!$A$3:$B$999,2,0)</f>
        <v>Series</v>
      </c>
      <c r="F791" s="3">
        <v>11</v>
      </c>
      <c r="G791" s="3" t="str">
        <f>VLOOKUP(F791,Doctors!$A$3:$B$999,2,0)</f>
        <v>Matt Smith</v>
      </c>
      <c r="H791" s="3">
        <v>7</v>
      </c>
      <c r="I791" s="3">
        <v>3</v>
      </c>
      <c r="J791" s="3" t="str">
        <f>VLOOKUP(I791,SeasonFormats!$A$3:$B$999,2,0)</f>
        <v>Series</v>
      </c>
      <c r="K791" s="3">
        <v>228</v>
      </c>
      <c r="L791" s="3">
        <v>3</v>
      </c>
      <c r="M791" s="3" t="s">
        <v>126</v>
      </c>
      <c r="N791" s="3">
        <v>1</v>
      </c>
      <c r="P791" s="3">
        <v>3</v>
      </c>
      <c r="Q791" s="7" t="d">
        <v>2012-09-15</v>
      </c>
      <c r="R791" s="3">
        <v>44</v>
      </c>
      <c r="T791" s="4" t="s">
        <v>1177</v>
      </c>
      <c r="U791" s="3" t="str" cm="1">
        <f t="array" ref="U791">_xlfn.TEXTJOIN(",",TRUE,_xlfn.XLOOKUP(_xlfn.FILTERXML("&lt;t&gt;&lt;s&gt;" &amp; SUBSTITUTE(T791,",","&lt;/s&gt;&lt;s&gt;") &amp; "&lt;/s&gt;&lt;/t&gt;", "//s"),Writers!$A$3:$A$999,Writers!$B$3:$B$999,""))</f>
        <v>Toby Whithouse</v>
      </c>
      <c r="W791" s="3" t="str">
        <f>IF(V791="","",_xlfn.XLOOKUP(V791,Writers!$A$3:$A$999,Writers!$B$3:$B$999,""))</f>
        <v/>
      </c>
      <c r="X791" s="3">
        <v>6.6</v>
      </c>
      <c r="Y791" s="3">
        <v>8.42</v>
      </c>
      <c r="AA791" s="3">
        <f t="shared" si="36"/>
        <v>7.08</v>
      </c>
      <c r="AB791" s="3">
        <f t="shared" si="37"/>
        <v>9.0299999999999994</v>
      </c>
      <c r="AC791" s="3" t="str">
        <f t="shared" si="38"/>
        <v/>
      </c>
      <c r="AD791" s="3">
        <f>VLOOKUP(YEAR(Q791),Populations!$A$3:$B$999,2,0)</f>
        <v>63705000</v>
      </c>
      <c r="AE791" s="3">
        <f>(Calculations!B1/AD791)</f>
        <v>1.0722067655600001</v>
      </c>
      <c r="AG791" s="3">
        <v>2</v>
      </c>
      <c r="AH791" s="3" t="str">
        <f>VLOOKUP(AG791,WikiFormats!$A$3:$B$999,2,0)</f>
        <v>Episode</v>
      </c>
      <c r="AI791" s="3" t="s">
        <v>834</v>
      </c>
    </row>
    <row r="792" spans="1:35" s="3" customFormat="1" x14ac:dyDescent="0.55000000000000004">
      <c r="A792" s="3">
        <v>788</v>
      </c>
      <c r="B792" s="3">
        <v>3</v>
      </c>
      <c r="C792" s="3" t="str">
        <f>VLOOKUP(B792,Eras!$A$3:$B$999,2,0)</f>
        <v>New</v>
      </c>
      <c r="D792" s="3">
        <v>1</v>
      </c>
      <c r="E792" s="3" t="str">
        <f>VLOOKUP(D792,EpisodeFormats!$A$3:$B$999,2,0)</f>
        <v>Series</v>
      </c>
      <c r="F792" s="3">
        <v>11</v>
      </c>
      <c r="G792" s="3" t="str">
        <f>VLOOKUP(F792,Doctors!$A$3:$B$999,2,0)</f>
        <v>Matt Smith</v>
      </c>
      <c r="H792" s="3">
        <v>7</v>
      </c>
      <c r="I792" s="3">
        <v>3</v>
      </c>
      <c r="J792" s="3" t="str">
        <f>VLOOKUP(I792,SeasonFormats!$A$3:$B$999,2,0)</f>
        <v>Series</v>
      </c>
      <c r="K792" s="3">
        <v>229</v>
      </c>
      <c r="L792" s="3">
        <v>4</v>
      </c>
      <c r="M792" s="3" t="s">
        <v>127</v>
      </c>
      <c r="N792" s="3">
        <v>1</v>
      </c>
      <c r="P792" s="3">
        <v>4</v>
      </c>
      <c r="Q792" s="7" t="d">
        <v>2012-09-22</v>
      </c>
      <c r="R792" s="3">
        <v>41</v>
      </c>
      <c r="T792" s="4" t="s">
        <v>1084</v>
      </c>
      <c r="U792" s="3" t="str" cm="1">
        <f t="array" ref="U792">_xlfn.TEXTJOIN(",",TRUE,_xlfn.XLOOKUP(_xlfn.FILTERXML("&lt;t&gt;&lt;s&gt;" &amp; SUBSTITUTE(T792,",","&lt;/s&gt;&lt;s&gt;") &amp; "&lt;/s&gt;&lt;/t&gt;", "//s"),Writers!$A$3:$A$999,Writers!$B$3:$B$999,""))</f>
        <v>Chris Chibnall</v>
      </c>
      <c r="W792" s="3" t="str">
        <f>IF(V792="","",_xlfn.XLOOKUP(V792,Writers!$A$3:$A$999,Writers!$B$3:$B$999,""))</f>
        <v/>
      </c>
      <c r="X792" s="3">
        <v>5.49</v>
      </c>
      <c r="Y792" s="3">
        <v>7.67</v>
      </c>
      <c r="AA792" s="3">
        <f t="shared" si="36"/>
        <v>5.89</v>
      </c>
      <c r="AB792" s="3">
        <f t="shared" si="37"/>
        <v>8.2200000000000006</v>
      </c>
      <c r="AC792" s="3" t="str">
        <f t="shared" si="38"/>
        <v/>
      </c>
      <c r="AD792" s="3">
        <f>VLOOKUP(YEAR(Q792),Populations!$A$3:$B$999,2,0)</f>
        <v>63705000</v>
      </c>
      <c r="AE792" s="3">
        <f>(Calculations!B1/AD792)</f>
        <v>1.0722067655600001</v>
      </c>
      <c r="AG792" s="3">
        <v>2</v>
      </c>
      <c r="AH792" s="3" t="str">
        <f>VLOOKUP(AG792,WikiFormats!$A$3:$B$999,2,0)</f>
        <v>Episode</v>
      </c>
      <c r="AI792" s="3" t="s">
        <v>835</v>
      </c>
    </row>
    <row r="793" spans="1:35" s="3" customFormat="1" x14ac:dyDescent="0.55000000000000004">
      <c r="A793" s="3">
        <v>789</v>
      </c>
      <c r="B793" s="3">
        <v>3</v>
      </c>
      <c r="C793" s="3" t="str">
        <f>VLOOKUP(B793,Eras!$A$3:$B$999,2,0)</f>
        <v>New</v>
      </c>
      <c r="D793" s="3">
        <v>1</v>
      </c>
      <c r="E793" s="3" t="str">
        <f>VLOOKUP(D793,EpisodeFormats!$A$3:$B$999,2,0)</f>
        <v>Series</v>
      </c>
      <c r="F793" s="3">
        <v>11</v>
      </c>
      <c r="G793" s="3" t="str">
        <f>VLOOKUP(F793,Doctors!$A$3:$B$999,2,0)</f>
        <v>Matt Smith</v>
      </c>
      <c r="H793" s="3">
        <v>7</v>
      </c>
      <c r="I793" s="3">
        <v>3</v>
      </c>
      <c r="J793" s="3" t="str">
        <f>VLOOKUP(I793,SeasonFormats!$A$3:$B$999,2,0)</f>
        <v>Series</v>
      </c>
      <c r="K793" s="3">
        <v>230</v>
      </c>
      <c r="L793" s="3">
        <v>5</v>
      </c>
      <c r="M793" s="3" t="s">
        <v>128</v>
      </c>
      <c r="N793" s="3">
        <v>1</v>
      </c>
      <c r="P793" s="3">
        <v>5</v>
      </c>
      <c r="Q793" s="7" t="d">
        <v>2012-09-29</v>
      </c>
      <c r="R793" s="3">
        <v>44</v>
      </c>
      <c r="T793" s="4" t="s">
        <v>1153</v>
      </c>
      <c r="U793" s="3" t="str" cm="1">
        <f t="array" ref="U793">_xlfn.TEXTJOIN(",",TRUE,_xlfn.XLOOKUP(_xlfn.FILTERXML("&lt;t&gt;&lt;s&gt;" &amp; SUBSTITUTE(T793,",","&lt;/s&gt;&lt;s&gt;") &amp; "&lt;/s&gt;&lt;/t&gt;", "//s"),Writers!$A$3:$A$999,Writers!$B$3:$B$999,""))</f>
        <v>Steven Moffat</v>
      </c>
      <c r="W793" s="3" t="str">
        <f>IF(V793="","",_xlfn.XLOOKUP(V793,Writers!$A$3:$A$999,Writers!$B$3:$B$999,""))</f>
        <v/>
      </c>
      <c r="X793" s="3">
        <v>5.9</v>
      </c>
      <c r="Y793" s="3">
        <v>7.82</v>
      </c>
      <c r="AA793" s="3">
        <f t="shared" si="36"/>
        <v>6.33</v>
      </c>
      <c r="AB793" s="3">
        <f t="shared" si="37"/>
        <v>8.3800000000000008</v>
      </c>
      <c r="AC793" s="3" t="str">
        <f t="shared" si="38"/>
        <v/>
      </c>
      <c r="AD793" s="3">
        <f>VLOOKUP(YEAR(Q793),Populations!$A$3:$B$999,2,0)</f>
        <v>63705000</v>
      </c>
      <c r="AE793" s="3">
        <f>(Calculations!B1/AD793)</f>
        <v>1.0722067655600001</v>
      </c>
      <c r="AG793" s="3">
        <v>2</v>
      </c>
      <c r="AH793" s="3" t="str">
        <f>VLOOKUP(AG793,WikiFormats!$A$3:$B$999,2,0)</f>
        <v>Episode</v>
      </c>
      <c r="AI793" s="3" t="s">
        <v>836</v>
      </c>
    </row>
    <row r="794" spans="1:35" x14ac:dyDescent="0.55000000000000004">
      <c r="A794">
        <v>790</v>
      </c>
      <c r="B794">
        <v>3</v>
      </c>
      <c r="C794" t="str">
        <f>VLOOKUP(B794,Eras!$A$3:$B$999,2,0)</f>
        <v>New</v>
      </c>
      <c r="D794">
        <v>2</v>
      </c>
      <c r="E794" t="str">
        <f>VLOOKUP(D794,EpisodeFormats!$A$3:$B$999,2,0)</f>
        <v>Special</v>
      </c>
      <c r="F794">
        <v>11</v>
      </c>
      <c r="G794" t="str">
        <f>VLOOKUP(F794,Doctors!$A$3:$B$999,2,0)</f>
        <v>Matt Smith</v>
      </c>
      <c r="I794">
        <v>4</v>
      </c>
      <c r="J794" t="str">
        <f>VLOOKUP(I794,SeasonFormats!$A$3:$B$999,2,0)</f>
        <v>Special</v>
      </c>
      <c r="K794">
        <v>231</v>
      </c>
      <c r="M794" t="s">
        <v>129</v>
      </c>
      <c r="N794">
        <v>1</v>
      </c>
      <c r="Q794" s="6" t="d">
        <v>2012-12-25</v>
      </c>
      <c r="R794">
        <v>60</v>
      </c>
      <c r="T794" s="15" t="s">
        <v>1153</v>
      </c>
      <c r="U794" t="str" cm="1">
        <f t="array" ref="U794">_xlfn.TEXTJOIN(",",TRUE,_xlfn.XLOOKUP(_xlfn.FILTERXML("&lt;t&gt;&lt;s&gt;" &amp; SUBSTITUTE(T794,",","&lt;/s&gt;&lt;s&gt;") &amp; "&lt;/s&gt;&lt;/t&gt;", "//s"),Writers!$A$3:$A$999,Writers!$B$3:$B$999,""))</f>
        <v>Steven Moffat</v>
      </c>
      <c r="W794" t="str">
        <f>IF(V794="","",_xlfn.XLOOKUP(V794,Writers!$A$3:$A$999,Writers!$B$3:$B$999,""))</f>
        <v/>
      </c>
      <c r="X794">
        <v>7.6</v>
      </c>
      <c r="Y794">
        <v>9.8699999999999992</v>
      </c>
      <c r="AA794">
        <f t="shared" si="36"/>
        <v>8.15</v>
      </c>
      <c r="AB794">
        <f t="shared" si="37"/>
        <v>10.58</v>
      </c>
      <c r="AC794" t="str">
        <f t="shared" si="38"/>
        <v/>
      </c>
      <c r="AD794">
        <f>VLOOKUP(YEAR(Q794),Populations!$A$3:$B$999,2,0)</f>
        <v>63705000</v>
      </c>
      <c r="AE794">
        <f>(Calculations!B1/AD794)</f>
        <v>1.0722067655600001</v>
      </c>
      <c r="AG794">
        <v>2</v>
      </c>
      <c r="AH794" t="str">
        <f>VLOOKUP(AG794,WikiFormats!$A$3:$B$999,2,0)</f>
        <v>Episode</v>
      </c>
      <c r="AI794" t="s">
        <v>837</v>
      </c>
    </row>
    <row r="795" spans="1:35" s="3" customFormat="1" x14ac:dyDescent="0.55000000000000004">
      <c r="A795" s="3">
        <v>791</v>
      </c>
      <c r="B795" s="3">
        <v>3</v>
      </c>
      <c r="C795" s="3" t="str">
        <f>VLOOKUP(B795,Eras!$A$3:$B$999,2,0)</f>
        <v>New</v>
      </c>
      <c r="D795" s="3">
        <v>1</v>
      </c>
      <c r="E795" s="3" t="str">
        <f>VLOOKUP(D795,EpisodeFormats!$A$3:$B$999,2,0)</f>
        <v>Series</v>
      </c>
      <c r="F795" s="3">
        <v>11</v>
      </c>
      <c r="G795" s="3" t="str">
        <f>VLOOKUP(F795,Doctors!$A$3:$B$999,2,0)</f>
        <v>Matt Smith</v>
      </c>
      <c r="H795" s="3">
        <v>7</v>
      </c>
      <c r="I795" s="3">
        <v>3</v>
      </c>
      <c r="J795" s="3" t="str">
        <f>VLOOKUP(I795,SeasonFormats!$A$3:$B$999,2,0)</f>
        <v>Series</v>
      </c>
      <c r="K795" s="3">
        <v>232</v>
      </c>
      <c r="L795" s="3">
        <v>6</v>
      </c>
      <c r="M795" s="3" t="s">
        <v>130</v>
      </c>
      <c r="N795" s="3">
        <v>1</v>
      </c>
      <c r="P795" s="3">
        <v>6</v>
      </c>
      <c r="Q795" s="7" t="d">
        <v>2013-03-30</v>
      </c>
      <c r="R795" s="3">
        <v>45</v>
      </c>
      <c r="T795" s="4" t="s">
        <v>1153</v>
      </c>
      <c r="U795" s="3" t="str" cm="1">
        <f t="array" ref="U795">_xlfn.TEXTJOIN(",",TRUE,_xlfn.XLOOKUP(_xlfn.FILTERXML("&lt;t&gt;&lt;s&gt;" &amp; SUBSTITUTE(T795,",","&lt;/s&gt;&lt;s&gt;") &amp; "&lt;/s&gt;&lt;/t&gt;", "//s"),Writers!$A$3:$A$999,Writers!$B$3:$B$999,""))</f>
        <v>Steven Moffat</v>
      </c>
      <c r="W795" s="3" t="str">
        <f>IF(V795="","",_xlfn.XLOOKUP(V795,Writers!$A$3:$A$999,Writers!$B$3:$B$999,""))</f>
        <v/>
      </c>
      <c r="X795" s="3">
        <v>6.18</v>
      </c>
      <c r="Y795" s="3">
        <v>8.44</v>
      </c>
      <c r="AA795" s="3">
        <f t="shared" si="36"/>
        <v>6.58</v>
      </c>
      <c r="AB795" s="3">
        <f t="shared" si="37"/>
        <v>8.99</v>
      </c>
      <c r="AC795" s="3" t="str">
        <f t="shared" si="38"/>
        <v/>
      </c>
      <c r="AD795" s="3">
        <f>VLOOKUP(YEAR(Q795),Populations!$A$3:$B$999,2,0)</f>
        <v>64105700</v>
      </c>
      <c r="AE795" s="3">
        <f>(Calculations!B1/AD795)</f>
        <v>1.0655048147044599</v>
      </c>
      <c r="AG795" s="3">
        <v>2</v>
      </c>
      <c r="AH795" s="3" t="str">
        <f>VLOOKUP(AG795,WikiFormats!$A$3:$B$999,2,0)</f>
        <v>Episode</v>
      </c>
      <c r="AI795" s="3" t="s">
        <v>838</v>
      </c>
    </row>
    <row r="796" spans="1:35" s="3" customFormat="1" x14ac:dyDescent="0.55000000000000004">
      <c r="A796" s="3">
        <v>792</v>
      </c>
      <c r="B796" s="3">
        <v>3</v>
      </c>
      <c r="C796" s="3" t="str">
        <f>VLOOKUP(B796,Eras!$A$3:$B$999,2,0)</f>
        <v>New</v>
      </c>
      <c r="D796" s="3">
        <v>1</v>
      </c>
      <c r="E796" s="3" t="str">
        <f>VLOOKUP(D796,EpisodeFormats!$A$3:$B$999,2,0)</f>
        <v>Series</v>
      </c>
      <c r="F796" s="3">
        <v>11</v>
      </c>
      <c r="G796" s="3" t="str">
        <f>VLOOKUP(F796,Doctors!$A$3:$B$999,2,0)</f>
        <v>Matt Smith</v>
      </c>
      <c r="H796" s="3">
        <v>7</v>
      </c>
      <c r="I796" s="3">
        <v>3</v>
      </c>
      <c r="J796" s="3" t="str">
        <f>VLOOKUP(I796,SeasonFormats!$A$3:$B$999,2,0)</f>
        <v>Series</v>
      </c>
      <c r="K796" s="3">
        <v>233</v>
      </c>
      <c r="L796" s="3">
        <v>7</v>
      </c>
      <c r="M796" s="3" t="s">
        <v>131</v>
      </c>
      <c r="N796" s="3">
        <v>1</v>
      </c>
      <c r="P796" s="3">
        <v>7</v>
      </c>
      <c r="Q796" s="7" t="d">
        <v>2013-04-06</v>
      </c>
      <c r="R796" s="3">
        <v>44</v>
      </c>
      <c r="T796" s="4" t="s">
        <v>1093</v>
      </c>
      <c r="U796" s="3" t="str" cm="1">
        <f t="array" ref="U796">_xlfn.TEXTJOIN(",",TRUE,_xlfn.XLOOKUP(_xlfn.FILTERXML("&lt;t&gt;&lt;s&gt;" &amp; SUBSTITUTE(T796,",","&lt;/s&gt;&lt;s&gt;") &amp; "&lt;/s&gt;&lt;/t&gt;", "//s"),Writers!$A$3:$A$999,Writers!$B$3:$B$999,""))</f>
        <v>Neil Cross</v>
      </c>
      <c r="W796" s="3" t="str">
        <f>IF(V796="","",_xlfn.XLOOKUP(V796,Writers!$A$3:$A$999,Writers!$B$3:$B$999,""))</f>
        <v/>
      </c>
      <c r="X796" s="3">
        <v>5.5</v>
      </c>
      <c r="Y796" s="3">
        <v>7.45</v>
      </c>
      <c r="AA796" s="3">
        <f t="shared" si="36"/>
        <v>5.86</v>
      </c>
      <c r="AB796" s="3">
        <f t="shared" si="37"/>
        <v>7.94</v>
      </c>
      <c r="AC796" s="3" t="str">
        <f t="shared" si="38"/>
        <v/>
      </c>
      <c r="AD796" s="3">
        <f>VLOOKUP(YEAR(Q796),Populations!$A$3:$B$999,2,0)</f>
        <v>64105700</v>
      </c>
      <c r="AE796" s="3">
        <f>(Calculations!B1/AD796)</f>
        <v>1.0655048147044599</v>
      </c>
      <c r="AG796" s="3">
        <v>2</v>
      </c>
      <c r="AH796" s="3" t="str">
        <f>VLOOKUP(AG796,WikiFormats!$A$3:$B$999,2,0)</f>
        <v>Episode</v>
      </c>
      <c r="AI796" s="3" t="s">
        <v>839</v>
      </c>
    </row>
    <row r="797" spans="1:35" s="3" customFormat="1" x14ac:dyDescent="0.55000000000000004">
      <c r="A797" s="3">
        <v>793</v>
      </c>
      <c r="B797" s="3">
        <v>3</v>
      </c>
      <c r="C797" s="3" t="str">
        <f>VLOOKUP(B797,Eras!$A$3:$B$999,2,0)</f>
        <v>New</v>
      </c>
      <c r="D797" s="3">
        <v>1</v>
      </c>
      <c r="E797" s="3" t="str">
        <f>VLOOKUP(D797,EpisodeFormats!$A$3:$B$999,2,0)</f>
        <v>Series</v>
      </c>
      <c r="F797" s="3">
        <v>11</v>
      </c>
      <c r="G797" s="3" t="str">
        <f>VLOOKUP(F797,Doctors!$A$3:$B$999,2,0)</f>
        <v>Matt Smith</v>
      </c>
      <c r="H797" s="3">
        <v>7</v>
      </c>
      <c r="I797" s="3">
        <v>3</v>
      </c>
      <c r="J797" s="3" t="str">
        <f>VLOOKUP(I797,SeasonFormats!$A$3:$B$999,2,0)</f>
        <v>Series</v>
      </c>
      <c r="K797" s="3">
        <v>234</v>
      </c>
      <c r="L797" s="3">
        <v>8</v>
      </c>
      <c r="M797" s="3" t="s">
        <v>132</v>
      </c>
      <c r="N797" s="3">
        <v>1</v>
      </c>
      <c r="P797" s="3">
        <v>8</v>
      </c>
      <c r="Q797" s="7" t="d">
        <v>2013-04-13</v>
      </c>
      <c r="R797" s="3">
        <v>41</v>
      </c>
      <c r="T797" s="4" t="s">
        <v>1117</v>
      </c>
      <c r="U797" s="3" t="str" cm="1">
        <f t="array" ref="U797">_xlfn.TEXTJOIN(",",TRUE,_xlfn.XLOOKUP(_xlfn.FILTERXML("&lt;t&gt;&lt;s&gt;" &amp; SUBSTITUTE(T797,",","&lt;/s&gt;&lt;s&gt;") &amp; "&lt;/s&gt;&lt;/t&gt;", "//s"),Writers!$A$3:$A$999,Writers!$B$3:$B$999,""))</f>
        <v>Mark Gatiss</v>
      </c>
      <c r="W797" s="3" t="str">
        <f>IF(V797="","",_xlfn.XLOOKUP(V797,Writers!$A$3:$A$999,Writers!$B$3:$B$999,""))</f>
        <v/>
      </c>
      <c r="X797" s="3">
        <v>5.73</v>
      </c>
      <c r="Y797" s="3">
        <v>7.37</v>
      </c>
      <c r="AA797" s="3">
        <f t="shared" si="36"/>
        <v>6.11</v>
      </c>
      <c r="AB797" s="3">
        <f t="shared" si="37"/>
        <v>7.85</v>
      </c>
      <c r="AC797" s="3" t="str">
        <f t="shared" si="38"/>
        <v/>
      </c>
      <c r="AD797" s="3">
        <f>VLOOKUP(YEAR(Q797),Populations!$A$3:$B$999,2,0)</f>
        <v>64105700</v>
      </c>
      <c r="AE797" s="3">
        <f>(Calculations!B1/AD797)</f>
        <v>1.0655048147044599</v>
      </c>
      <c r="AG797" s="3">
        <v>2</v>
      </c>
      <c r="AH797" s="3" t="str">
        <f>VLOOKUP(AG797,WikiFormats!$A$3:$B$999,2,0)</f>
        <v>Episode</v>
      </c>
      <c r="AI797" s="3" t="s">
        <v>840</v>
      </c>
    </row>
    <row r="798" spans="1:35" s="3" customFormat="1" x14ac:dyDescent="0.55000000000000004">
      <c r="A798" s="3">
        <v>794</v>
      </c>
      <c r="B798" s="3">
        <v>3</v>
      </c>
      <c r="C798" s="3" t="str">
        <f>VLOOKUP(B798,Eras!$A$3:$B$999,2,0)</f>
        <v>New</v>
      </c>
      <c r="D798" s="3">
        <v>1</v>
      </c>
      <c r="E798" s="3" t="str">
        <f>VLOOKUP(D798,EpisodeFormats!$A$3:$B$999,2,0)</f>
        <v>Series</v>
      </c>
      <c r="F798" s="3">
        <v>11</v>
      </c>
      <c r="G798" s="3" t="str">
        <f>VLOOKUP(F798,Doctors!$A$3:$B$999,2,0)</f>
        <v>Matt Smith</v>
      </c>
      <c r="H798" s="3">
        <v>7</v>
      </c>
      <c r="I798" s="3">
        <v>3</v>
      </c>
      <c r="J798" s="3" t="str">
        <f>VLOOKUP(I798,SeasonFormats!$A$3:$B$999,2,0)</f>
        <v>Series</v>
      </c>
      <c r="K798" s="3">
        <v>235</v>
      </c>
      <c r="L798" s="3">
        <v>9</v>
      </c>
      <c r="M798" s="3" t="s">
        <v>133</v>
      </c>
      <c r="N798" s="3">
        <v>1</v>
      </c>
      <c r="P798" s="3">
        <v>9</v>
      </c>
      <c r="Q798" s="7" t="d">
        <v>2013-04-20</v>
      </c>
      <c r="R798" s="3">
        <v>45</v>
      </c>
      <c r="T798" s="4" t="s">
        <v>1093</v>
      </c>
      <c r="U798" s="3" t="str" cm="1">
        <f t="array" ref="U798">_xlfn.TEXTJOIN(",",TRUE,_xlfn.XLOOKUP(_xlfn.FILTERXML("&lt;t&gt;&lt;s&gt;" &amp; SUBSTITUTE(T798,",","&lt;/s&gt;&lt;s&gt;") &amp; "&lt;/s&gt;&lt;/t&gt;", "//s"),Writers!$A$3:$A$999,Writers!$B$3:$B$999,""))</f>
        <v>Neil Cross</v>
      </c>
      <c r="W798" s="3" t="str">
        <f>IF(V798="","",_xlfn.XLOOKUP(V798,Writers!$A$3:$A$999,Writers!$B$3:$B$999,""))</f>
        <v/>
      </c>
      <c r="X798" s="3">
        <v>5</v>
      </c>
      <c r="Y798" s="3">
        <v>6.61</v>
      </c>
      <c r="AA798" s="3">
        <f t="shared" si="36"/>
        <v>5.33</v>
      </c>
      <c r="AB798" s="3">
        <f t="shared" si="37"/>
        <v>7.04</v>
      </c>
      <c r="AC798" s="3" t="str">
        <f t="shared" si="38"/>
        <v/>
      </c>
      <c r="AD798" s="3">
        <f>VLOOKUP(YEAR(Q798),Populations!$A$3:$B$999,2,0)</f>
        <v>64105700</v>
      </c>
      <c r="AE798" s="3">
        <f>(Calculations!B1/AD798)</f>
        <v>1.0655048147044599</v>
      </c>
      <c r="AG798" s="3">
        <v>2</v>
      </c>
      <c r="AH798" s="3" t="str">
        <f>VLOOKUP(AG798,WikiFormats!$A$3:$B$999,2,0)</f>
        <v>Episode</v>
      </c>
      <c r="AI798" s="3" t="s">
        <v>841</v>
      </c>
    </row>
    <row r="799" spans="1:35" s="3" customFormat="1" x14ac:dyDescent="0.55000000000000004">
      <c r="A799" s="3">
        <v>795</v>
      </c>
      <c r="B799" s="3">
        <v>3</v>
      </c>
      <c r="C799" s="3" t="str">
        <f>VLOOKUP(B799,Eras!$A$3:$B$999,2,0)</f>
        <v>New</v>
      </c>
      <c r="D799" s="3">
        <v>1</v>
      </c>
      <c r="E799" s="3" t="str">
        <f>VLOOKUP(D799,EpisodeFormats!$A$3:$B$999,2,0)</f>
        <v>Series</v>
      </c>
      <c r="F799" s="3">
        <v>11</v>
      </c>
      <c r="G799" s="3" t="str">
        <f>VLOOKUP(F799,Doctors!$A$3:$B$999,2,0)</f>
        <v>Matt Smith</v>
      </c>
      <c r="H799" s="3">
        <v>7</v>
      </c>
      <c r="I799" s="3">
        <v>3</v>
      </c>
      <c r="J799" s="3" t="str">
        <f>VLOOKUP(I799,SeasonFormats!$A$3:$B$999,2,0)</f>
        <v>Series</v>
      </c>
      <c r="K799" s="3">
        <v>236</v>
      </c>
      <c r="L799" s="3">
        <v>10</v>
      </c>
      <c r="M799" s="3" t="s">
        <v>134</v>
      </c>
      <c r="N799" s="3">
        <v>1</v>
      </c>
      <c r="P799" s="3">
        <v>10</v>
      </c>
      <c r="Q799" s="7" t="d">
        <v>2013-04-27</v>
      </c>
      <c r="R799" s="3">
        <v>45</v>
      </c>
      <c r="T799" s="4" t="s">
        <v>1128</v>
      </c>
      <c r="U799" s="3" t="str" cm="1">
        <f t="array" ref="U799">_xlfn.TEXTJOIN(",",TRUE,_xlfn.XLOOKUP(_xlfn.FILTERXML("&lt;t&gt;&lt;s&gt;" &amp; SUBSTITUTE(T799,",","&lt;/s&gt;&lt;s&gt;") &amp; "&lt;/s&gt;&lt;/t&gt;", "//s"),Writers!$A$3:$A$999,Writers!$B$3:$B$999,""))</f>
        <v>Steve Thompson</v>
      </c>
      <c r="W799" s="3" t="str">
        <f>IF(V799="","",_xlfn.XLOOKUP(V799,Writers!$A$3:$A$999,Writers!$B$3:$B$999,""))</f>
        <v/>
      </c>
      <c r="X799" s="3">
        <v>4.9000000000000004</v>
      </c>
      <c r="Y799" s="3">
        <v>6.5</v>
      </c>
      <c r="AA799" s="3">
        <f t="shared" si="36"/>
        <v>5.22</v>
      </c>
      <c r="AB799" s="3">
        <f t="shared" si="37"/>
        <v>6.93</v>
      </c>
      <c r="AC799" s="3" t="str">
        <f t="shared" si="38"/>
        <v/>
      </c>
      <c r="AD799" s="3">
        <f>VLOOKUP(YEAR(Q799),Populations!$A$3:$B$999,2,0)</f>
        <v>64105700</v>
      </c>
      <c r="AE799" s="3">
        <f>(Calculations!B1/AD799)</f>
        <v>1.0655048147044599</v>
      </c>
      <c r="AG799" s="3">
        <v>2</v>
      </c>
      <c r="AH799" s="3" t="str">
        <f>VLOOKUP(AG799,WikiFormats!$A$3:$B$999,2,0)</f>
        <v>Episode</v>
      </c>
      <c r="AI799" s="3" t="s">
        <v>842</v>
      </c>
    </row>
    <row r="800" spans="1:35" s="3" customFormat="1" x14ac:dyDescent="0.55000000000000004">
      <c r="A800" s="3">
        <v>796</v>
      </c>
      <c r="B800" s="3">
        <v>3</v>
      </c>
      <c r="C800" s="3" t="str">
        <f>VLOOKUP(B800,Eras!$A$3:$B$999,2,0)</f>
        <v>New</v>
      </c>
      <c r="D800" s="3">
        <v>1</v>
      </c>
      <c r="E800" s="3" t="str">
        <f>VLOOKUP(D800,EpisodeFormats!$A$3:$B$999,2,0)</f>
        <v>Series</v>
      </c>
      <c r="F800" s="3">
        <v>11</v>
      </c>
      <c r="G800" s="3" t="str">
        <f>VLOOKUP(F800,Doctors!$A$3:$B$999,2,0)</f>
        <v>Matt Smith</v>
      </c>
      <c r="H800" s="3">
        <v>7</v>
      </c>
      <c r="I800" s="3">
        <v>3</v>
      </c>
      <c r="J800" s="3" t="str">
        <f>VLOOKUP(I800,SeasonFormats!$A$3:$B$999,2,0)</f>
        <v>Series</v>
      </c>
      <c r="K800" s="3">
        <v>237</v>
      </c>
      <c r="L800" s="3">
        <v>11</v>
      </c>
      <c r="M800" s="3" t="s">
        <v>135</v>
      </c>
      <c r="N800" s="3">
        <v>1</v>
      </c>
      <c r="P800" s="3">
        <v>11</v>
      </c>
      <c r="Q800" s="7" t="d">
        <v>2013-05-04</v>
      </c>
      <c r="R800" s="3">
        <v>45</v>
      </c>
      <c r="T800" s="4" t="s">
        <v>1117</v>
      </c>
      <c r="U800" s="3" t="str" cm="1">
        <f t="array" ref="U800">_xlfn.TEXTJOIN(",",TRUE,_xlfn.XLOOKUP(_xlfn.FILTERXML("&lt;t&gt;&lt;s&gt;" &amp; SUBSTITUTE(T800,",","&lt;/s&gt;&lt;s&gt;") &amp; "&lt;/s&gt;&lt;/t&gt;", "//s"),Writers!$A$3:$A$999,Writers!$B$3:$B$999,""))</f>
        <v>Mark Gatiss</v>
      </c>
      <c r="W800" s="3" t="str">
        <f>IF(V800="","",_xlfn.XLOOKUP(V800,Writers!$A$3:$A$999,Writers!$B$3:$B$999,""))</f>
        <v/>
      </c>
      <c r="X800" s="3">
        <v>4.6100000000000003</v>
      </c>
      <c r="Y800" s="3">
        <v>6.47</v>
      </c>
      <c r="AA800" s="3">
        <f t="shared" si="36"/>
        <v>4.91</v>
      </c>
      <c r="AB800" s="3">
        <f t="shared" si="37"/>
        <v>6.89</v>
      </c>
      <c r="AC800" s="3" t="str">
        <f t="shared" si="38"/>
        <v/>
      </c>
      <c r="AD800" s="3">
        <f>VLOOKUP(YEAR(Q800),Populations!$A$3:$B$999,2,0)</f>
        <v>64105700</v>
      </c>
      <c r="AE800" s="3">
        <f>(Calculations!B1/AD800)</f>
        <v>1.0655048147044599</v>
      </c>
      <c r="AG800" s="3">
        <v>2</v>
      </c>
      <c r="AH800" s="3" t="str">
        <f>VLOOKUP(AG800,WikiFormats!$A$3:$B$999,2,0)</f>
        <v>Episode</v>
      </c>
      <c r="AI800" s="3" t="s">
        <v>843</v>
      </c>
    </row>
    <row r="801" spans="1:35" s="3" customFormat="1" x14ac:dyDescent="0.55000000000000004">
      <c r="A801" s="3">
        <v>797</v>
      </c>
      <c r="B801" s="3">
        <v>3</v>
      </c>
      <c r="C801" s="3" t="str">
        <f>VLOOKUP(B801,Eras!$A$3:$B$999,2,0)</f>
        <v>New</v>
      </c>
      <c r="D801" s="3">
        <v>1</v>
      </c>
      <c r="E801" s="3" t="str">
        <f>VLOOKUP(D801,EpisodeFormats!$A$3:$B$999,2,0)</f>
        <v>Series</v>
      </c>
      <c r="F801" s="3">
        <v>11</v>
      </c>
      <c r="G801" s="3" t="str">
        <f>VLOOKUP(F801,Doctors!$A$3:$B$999,2,0)</f>
        <v>Matt Smith</v>
      </c>
      <c r="H801" s="3">
        <v>7</v>
      </c>
      <c r="I801" s="3">
        <v>3</v>
      </c>
      <c r="J801" s="3" t="str">
        <f>VLOOKUP(I801,SeasonFormats!$A$3:$B$999,2,0)</f>
        <v>Series</v>
      </c>
      <c r="K801" s="3">
        <v>238</v>
      </c>
      <c r="L801" s="3">
        <v>12</v>
      </c>
      <c r="M801" s="3" t="s">
        <v>136</v>
      </c>
      <c r="N801" s="3">
        <v>1</v>
      </c>
      <c r="P801" s="3">
        <v>12</v>
      </c>
      <c r="Q801" s="7" t="d">
        <v>2013-05-11</v>
      </c>
      <c r="R801" s="3">
        <v>45</v>
      </c>
      <c r="T801" s="4" t="s">
        <v>1102</v>
      </c>
      <c r="U801" s="3" t="str" cm="1">
        <f t="array" ref="U801">_xlfn.TEXTJOIN(",",TRUE,_xlfn.XLOOKUP(_xlfn.FILTERXML("&lt;t&gt;&lt;s&gt;" &amp; SUBSTITUTE(T801,",","&lt;/s&gt;&lt;s&gt;") &amp; "&lt;/s&gt;&lt;/t&gt;", "//s"),Writers!$A$3:$A$999,Writers!$B$3:$B$999,""))</f>
        <v>Neil Gaiman</v>
      </c>
      <c r="W801" s="3" t="str">
        <f>IF(V801="","",_xlfn.XLOOKUP(V801,Writers!$A$3:$A$999,Writers!$B$3:$B$999,""))</f>
        <v/>
      </c>
      <c r="X801" s="3">
        <v>4.7</v>
      </c>
      <c r="Y801" s="3">
        <v>6.64</v>
      </c>
      <c r="AA801" s="3">
        <f t="shared" si="36"/>
        <v>5.01</v>
      </c>
      <c r="AB801" s="3">
        <f t="shared" si="37"/>
        <v>7.07</v>
      </c>
      <c r="AC801" s="3" t="str">
        <f t="shared" si="38"/>
        <v/>
      </c>
      <c r="AD801" s="3">
        <f>VLOOKUP(YEAR(Q801),Populations!$A$3:$B$999,2,0)</f>
        <v>64105700</v>
      </c>
      <c r="AE801" s="3">
        <f>(Calculations!B1/AD801)</f>
        <v>1.0655048147044599</v>
      </c>
      <c r="AG801" s="3">
        <v>2</v>
      </c>
      <c r="AH801" s="3" t="str">
        <f>VLOOKUP(AG801,WikiFormats!$A$3:$B$999,2,0)</f>
        <v>Episode</v>
      </c>
      <c r="AI801" s="3" t="s">
        <v>844</v>
      </c>
    </row>
    <row r="802" spans="1:35" s="3" customFormat="1" x14ac:dyDescent="0.55000000000000004">
      <c r="A802" s="3">
        <v>798</v>
      </c>
      <c r="B802" s="3">
        <v>3</v>
      </c>
      <c r="C802" s="3" t="str">
        <f>VLOOKUP(B802,Eras!$A$3:$B$999,2,0)</f>
        <v>New</v>
      </c>
      <c r="D802" s="3">
        <v>1</v>
      </c>
      <c r="E802" s="3" t="str">
        <f>VLOOKUP(D802,EpisodeFormats!$A$3:$B$999,2,0)</f>
        <v>Series</v>
      </c>
      <c r="F802" s="3">
        <v>11</v>
      </c>
      <c r="G802" s="3" t="str">
        <f>VLOOKUP(F802,Doctors!$A$3:$B$999,2,0)</f>
        <v>Matt Smith</v>
      </c>
      <c r="H802" s="3">
        <v>7</v>
      </c>
      <c r="I802" s="3">
        <v>3</v>
      </c>
      <c r="J802" s="3" t="str">
        <f>VLOOKUP(I802,SeasonFormats!$A$3:$B$999,2,0)</f>
        <v>Series</v>
      </c>
      <c r="K802" s="3">
        <v>239</v>
      </c>
      <c r="L802" s="3">
        <v>13</v>
      </c>
      <c r="M802" s="3" t="s">
        <v>137</v>
      </c>
      <c r="N802" s="3">
        <v>1</v>
      </c>
      <c r="P802" s="3">
        <v>13</v>
      </c>
      <c r="Q802" s="7" t="d">
        <v>2013-05-18</v>
      </c>
      <c r="R802" s="3">
        <v>44</v>
      </c>
      <c r="T802" s="4" t="s">
        <v>1153</v>
      </c>
      <c r="U802" s="3" t="str" cm="1">
        <f t="array" ref="U802">_xlfn.TEXTJOIN(",",TRUE,_xlfn.XLOOKUP(_xlfn.FILTERXML("&lt;t&gt;&lt;s&gt;" &amp; SUBSTITUTE(T802,",","&lt;/s&gt;&lt;s&gt;") &amp; "&lt;/s&gt;&lt;/t&gt;", "//s"),Writers!$A$3:$A$999,Writers!$B$3:$B$999,""))</f>
        <v>Steven Moffat</v>
      </c>
      <c r="W802" s="3" t="str">
        <f>IF(V802="","",_xlfn.XLOOKUP(V802,Writers!$A$3:$A$999,Writers!$B$3:$B$999,""))</f>
        <v/>
      </c>
      <c r="X802" s="3">
        <v>5.46</v>
      </c>
      <c r="Y802" s="3">
        <v>7.45</v>
      </c>
      <c r="AA802" s="3">
        <f t="shared" si="36"/>
        <v>5.82</v>
      </c>
      <c r="AB802" s="3">
        <f t="shared" si="37"/>
        <v>7.94</v>
      </c>
      <c r="AC802" s="3" t="str">
        <f t="shared" si="38"/>
        <v/>
      </c>
      <c r="AD802" s="3">
        <f>VLOOKUP(YEAR(Q802),Populations!$A$3:$B$999,2,0)</f>
        <v>64105700</v>
      </c>
      <c r="AE802" s="3">
        <f>(Calculations!B1/AD802)</f>
        <v>1.0655048147044599</v>
      </c>
      <c r="AG802" s="3">
        <v>2</v>
      </c>
      <c r="AH802" s="3" t="str">
        <f>VLOOKUP(AG802,WikiFormats!$A$3:$B$999,2,0)</f>
        <v>Episode</v>
      </c>
      <c r="AI802" s="3" t="s">
        <v>845</v>
      </c>
    </row>
    <row r="803" spans="1:35" x14ac:dyDescent="0.55000000000000004">
      <c r="A803">
        <v>799</v>
      </c>
      <c r="B803">
        <v>3</v>
      </c>
      <c r="C803" t="str">
        <f>VLOOKUP(B803,Eras!$A$3:$B$999,2,0)</f>
        <v>New</v>
      </c>
      <c r="D803">
        <v>2</v>
      </c>
      <c r="E803" t="str">
        <f>VLOOKUP(D803,EpisodeFormats!$A$3:$B$999,2,0)</f>
        <v>Special</v>
      </c>
      <c r="F803">
        <v>11</v>
      </c>
      <c r="G803" t="str">
        <f>VLOOKUP(F803,Doctors!$A$3:$B$999,2,0)</f>
        <v>Matt Smith</v>
      </c>
      <c r="I803">
        <v>4</v>
      </c>
      <c r="J803" t="str">
        <f>VLOOKUP(I803,SeasonFormats!$A$3:$B$999,2,0)</f>
        <v>Special</v>
      </c>
      <c r="K803">
        <v>240</v>
      </c>
      <c r="M803" t="s">
        <v>138</v>
      </c>
      <c r="N803">
        <v>1</v>
      </c>
      <c r="Q803" s="6" t="d">
        <v>2013-11-23</v>
      </c>
      <c r="R803">
        <v>77</v>
      </c>
      <c r="T803" s="15" t="s">
        <v>1153</v>
      </c>
      <c r="U803" t="str" cm="1">
        <f t="array" ref="U803">_xlfn.TEXTJOIN(",",TRUE,_xlfn.XLOOKUP(_xlfn.FILTERXML("&lt;t&gt;&lt;s&gt;" &amp; SUBSTITUTE(T803,",","&lt;/s&gt;&lt;s&gt;") &amp; "&lt;/s&gt;&lt;/t&gt;", "//s"),Writers!$A$3:$A$999,Writers!$B$3:$B$999,""))</f>
        <v>Steven Moffat</v>
      </c>
      <c r="W803" t="str">
        <f>IF(V803="","",_xlfn.XLOOKUP(V803,Writers!$A$3:$A$999,Writers!$B$3:$B$999,""))</f>
        <v/>
      </c>
      <c r="X803">
        <v>10.18</v>
      </c>
      <c r="Y803">
        <v>12.8</v>
      </c>
      <c r="AA803">
        <f t="shared" si="36"/>
        <v>10.85</v>
      </c>
      <c r="AB803">
        <f t="shared" si="37"/>
        <v>13.64</v>
      </c>
      <c r="AC803" t="str">
        <f t="shared" si="38"/>
        <v/>
      </c>
      <c r="AD803">
        <f>VLOOKUP(YEAR(Q803),Populations!$A$3:$B$999,2,0)</f>
        <v>64105700</v>
      </c>
      <c r="AE803">
        <f>(Calculations!B1/AD803)</f>
        <v>1.0655048147044599</v>
      </c>
      <c r="AG803">
        <v>2</v>
      </c>
      <c r="AH803" t="str">
        <f>VLOOKUP(AG803,WikiFormats!$A$3:$B$999,2,0)</f>
        <v>Episode</v>
      </c>
      <c r="AI803" t="s">
        <v>846</v>
      </c>
    </row>
    <row r="804" spans="1:35" x14ac:dyDescent="0.55000000000000004">
      <c r="A804">
        <v>800</v>
      </c>
      <c r="B804">
        <v>3</v>
      </c>
      <c r="C804" t="str">
        <f>VLOOKUP(B804,Eras!$A$3:$B$999,2,0)</f>
        <v>New</v>
      </c>
      <c r="D804">
        <v>2</v>
      </c>
      <c r="E804" t="str">
        <f>VLOOKUP(D804,EpisodeFormats!$A$3:$B$999,2,0)</f>
        <v>Special</v>
      </c>
      <c r="F804">
        <v>11</v>
      </c>
      <c r="G804" t="str">
        <f>VLOOKUP(F804,Doctors!$A$3:$B$999,2,0)</f>
        <v>Matt Smith</v>
      </c>
      <c r="I804">
        <v>4</v>
      </c>
      <c r="J804" t="str">
        <f>VLOOKUP(I804,SeasonFormats!$A$3:$B$999,2,0)</f>
        <v>Special</v>
      </c>
      <c r="K804">
        <v>241</v>
      </c>
      <c r="M804" t="s">
        <v>139</v>
      </c>
      <c r="N804">
        <v>1</v>
      </c>
      <c r="Q804" s="6" t="d">
        <v>2013-12-25</v>
      </c>
      <c r="R804">
        <v>61</v>
      </c>
      <c r="T804" s="15" t="s">
        <v>1153</v>
      </c>
      <c r="U804" t="str" cm="1">
        <f t="array" ref="U804">_xlfn.TEXTJOIN(",",TRUE,_xlfn.XLOOKUP(_xlfn.FILTERXML("&lt;t&gt;&lt;s&gt;" &amp; SUBSTITUTE(T804,",","&lt;/s&gt;&lt;s&gt;") &amp; "&lt;/s&gt;&lt;/t&gt;", "//s"),Writers!$A$3:$A$999,Writers!$B$3:$B$999,""))</f>
        <v>Steven Moffat</v>
      </c>
      <c r="W804" t="str">
        <f>IF(V804="","",_xlfn.XLOOKUP(V804,Writers!$A$3:$A$999,Writers!$B$3:$B$999,""))</f>
        <v/>
      </c>
      <c r="X804">
        <v>8.3000000000000007</v>
      </c>
      <c r="Y804">
        <v>11.14</v>
      </c>
      <c r="AA804">
        <f t="shared" si="36"/>
        <v>8.84</v>
      </c>
      <c r="AB804">
        <f t="shared" si="37"/>
        <v>11.87</v>
      </c>
      <c r="AC804" t="str">
        <f t="shared" si="38"/>
        <v/>
      </c>
      <c r="AD804">
        <f>VLOOKUP(YEAR(Q804),Populations!$A$3:$B$999,2,0)</f>
        <v>64105700</v>
      </c>
      <c r="AE804">
        <f>(Calculations!B1/AD804)</f>
        <v>1.0655048147044599</v>
      </c>
      <c r="AG804">
        <v>2</v>
      </c>
      <c r="AH804" t="str">
        <f>VLOOKUP(AG804,WikiFormats!$A$3:$B$999,2,0)</f>
        <v>Episode</v>
      </c>
      <c r="AI804" t="s">
        <v>847</v>
      </c>
    </row>
    <row r="805" spans="1:35" s="3" customFormat="1" x14ac:dyDescent="0.55000000000000004">
      <c r="A805" s="3">
        <v>801</v>
      </c>
      <c r="B805" s="3">
        <v>3</v>
      </c>
      <c r="C805" s="3" t="str">
        <f>VLOOKUP(B805,Eras!$A$3:$B$999,2,0)</f>
        <v>New</v>
      </c>
      <c r="D805" s="3">
        <v>1</v>
      </c>
      <c r="E805" s="3" t="str">
        <f>VLOOKUP(D805,EpisodeFormats!$A$3:$B$999,2,0)</f>
        <v>Series</v>
      </c>
      <c r="F805" s="3">
        <v>12</v>
      </c>
      <c r="G805" s="3" t="str">
        <f>VLOOKUP(F805,Doctors!$A$3:$B$999,2,0)</f>
        <v>Peter Capaldi</v>
      </c>
      <c r="H805" s="3">
        <v>8</v>
      </c>
      <c r="I805" s="3">
        <v>3</v>
      </c>
      <c r="J805" s="3" t="str">
        <f>VLOOKUP(I805,SeasonFormats!$A$3:$B$999,2,0)</f>
        <v>Series</v>
      </c>
      <c r="K805" s="3">
        <v>242</v>
      </c>
      <c r="L805" s="3">
        <v>1</v>
      </c>
      <c r="M805" s="3" t="s">
        <v>140</v>
      </c>
      <c r="N805" s="3">
        <v>1</v>
      </c>
      <c r="P805" s="3">
        <v>1</v>
      </c>
      <c r="Q805" s="7" t="d">
        <v>2014-08-23</v>
      </c>
      <c r="R805" s="3">
        <v>76</v>
      </c>
      <c r="T805" s="4" t="s">
        <v>1153</v>
      </c>
      <c r="U805" s="3" t="str" cm="1">
        <f t="array" ref="U805">_xlfn.TEXTJOIN(",",TRUE,_xlfn.XLOOKUP(_xlfn.FILTERXML("&lt;t&gt;&lt;s&gt;" &amp; SUBSTITUTE(T805,",","&lt;/s&gt;&lt;s&gt;") &amp; "&lt;/s&gt;&lt;/t&gt;", "//s"),Writers!$A$3:$A$999,Writers!$B$3:$B$999,""))</f>
        <v>Steven Moffat</v>
      </c>
      <c r="W805" s="3" t="str">
        <f>IF(V805="","",_xlfn.XLOOKUP(V805,Writers!$A$3:$A$999,Writers!$B$3:$B$999,""))</f>
        <v/>
      </c>
      <c r="X805" s="3">
        <v>6.79</v>
      </c>
      <c r="Y805" s="3">
        <v>9.17</v>
      </c>
      <c r="Z805" s="3">
        <v>10.76</v>
      </c>
      <c r="AA805" s="3">
        <f t="shared" si="36"/>
        <v>7.18</v>
      </c>
      <c r="AB805" s="3">
        <f t="shared" si="37"/>
        <v>9.6999999999999993</v>
      </c>
      <c r="AC805" s="3">
        <f t="shared" si="38"/>
        <v>11.38</v>
      </c>
      <c r="AD805" s="3">
        <f>VLOOKUP(YEAR(Q805),Populations!$A$3:$B$999,2,0)</f>
        <v>64596800</v>
      </c>
      <c r="AE805" s="3">
        <f>(Calculations!B1/AD805)</f>
        <v>1.0574042677036599</v>
      </c>
      <c r="AG805" s="3">
        <v>2</v>
      </c>
      <c r="AH805" s="3" t="str">
        <f>VLOOKUP(AG805,WikiFormats!$A$3:$B$999,2,0)</f>
        <v>Episode</v>
      </c>
      <c r="AI805" s="3" t="s">
        <v>848</v>
      </c>
    </row>
    <row r="806" spans="1:35" s="3" customFormat="1" x14ac:dyDescent="0.55000000000000004">
      <c r="A806" s="3">
        <v>802</v>
      </c>
      <c r="B806" s="3">
        <v>3</v>
      </c>
      <c r="C806" s="3" t="str">
        <f>VLOOKUP(B806,Eras!$A$3:$B$999,2,0)</f>
        <v>New</v>
      </c>
      <c r="D806" s="3">
        <v>1</v>
      </c>
      <c r="E806" s="3" t="str">
        <f>VLOOKUP(D806,EpisodeFormats!$A$3:$B$999,2,0)</f>
        <v>Series</v>
      </c>
      <c r="F806" s="3">
        <v>12</v>
      </c>
      <c r="G806" s="3" t="str">
        <f>VLOOKUP(F806,Doctors!$A$3:$B$999,2,0)</f>
        <v>Peter Capaldi</v>
      </c>
      <c r="H806" s="3">
        <v>8</v>
      </c>
      <c r="I806" s="3">
        <v>3</v>
      </c>
      <c r="J806" s="3" t="str">
        <f>VLOOKUP(I806,SeasonFormats!$A$3:$B$999,2,0)</f>
        <v>Series</v>
      </c>
      <c r="K806" s="3">
        <v>243</v>
      </c>
      <c r="L806" s="3">
        <v>2</v>
      </c>
      <c r="M806" s="3" t="s">
        <v>141</v>
      </c>
      <c r="N806" s="3">
        <v>1</v>
      </c>
      <c r="P806" s="3">
        <v>2</v>
      </c>
      <c r="Q806" s="7" t="d">
        <v>2014-08-30</v>
      </c>
      <c r="R806" s="3">
        <v>47</v>
      </c>
      <c r="T806" s="4" t="s">
        <v>1116</v>
      </c>
      <c r="U806" s="3" t="str" cm="1">
        <f t="array" ref="U806">_xlfn.TEXTJOIN(",",TRUE,_xlfn.XLOOKUP(_xlfn.FILTERXML("&lt;t&gt;&lt;s&gt;" &amp; SUBSTITUTE(T806,",","&lt;/s&gt;&lt;s&gt;") &amp; "&lt;/s&gt;&lt;/t&gt;", "//s"),Writers!$A$3:$A$999,Writers!$B$3:$B$999,""))</f>
        <v>Phil Ford,Steven Moffat</v>
      </c>
      <c r="W806" s="3" t="str">
        <f>IF(V806="","",_xlfn.XLOOKUP(V806,Writers!$A$3:$A$999,Writers!$B$3:$B$999,""))</f>
        <v/>
      </c>
      <c r="X806" s="3">
        <v>5.2</v>
      </c>
      <c r="Y806" s="3">
        <v>7.29</v>
      </c>
      <c r="Z806" s="3">
        <v>8.26</v>
      </c>
      <c r="AA806" s="3">
        <f t="shared" si="36"/>
        <v>5.5</v>
      </c>
      <c r="AB806" s="3">
        <f t="shared" si="37"/>
        <v>7.71</v>
      </c>
      <c r="AC806" s="3">
        <f t="shared" si="38"/>
        <v>8.73</v>
      </c>
      <c r="AD806" s="3">
        <f>VLOOKUP(YEAR(Q806),Populations!$A$3:$B$999,2,0)</f>
        <v>64596800</v>
      </c>
      <c r="AE806" s="3">
        <f>(Calculations!B1/AD806)</f>
        <v>1.0574042677036599</v>
      </c>
      <c r="AG806" s="3">
        <v>2</v>
      </c>
      <c r="AH806" s="3" t="str">
        <f>VLOOKUP(AG806,WikiFormats!$A$3:$B$999,2,0)</f>
        <v>Episode</v>
      </c>
      <c r="AI806" s="3" t="s">
        <v>849</v>
      </c>
    </row>
    <row r="807" spans="1:35" s="3" customFormat="1" x14ac:dyDescent="0.55000000000000004">
      <c r="A807" s="3">
        <v>803</v>
      </c>
      <c r="B807" s="3">
        <v>3</v>
      </c>
      <c r="C807" s="3" t="str">
        <f>VLOOKUP(B807,Eras!$A$3:$B$999,2,0)</f>
        <v>New</v>
      </c>
      <c r="D807" s="3">
        <v>1</v>
      </c>
      <c r="E807" s="3" t="str">
        <f>VLOOKUP(D807,EpisodeFormats!$A$3:$B$999,2,0)</f>
        <v>Series</v>
      </c>
      <c r="F807" s="3">
        <v>12</v>
      </c>
      <c r="G807" s="3" t="str">
        <f>VLOOKUP(F807,Doctors!$A$3:$B$999,2,0)</f>
        <v>Peter Capaldi</v>
      </c>
      <c r="H807" s="3">
        <v>8</v>
      </c>
      <c r="I807" s="3">
        <v>3</v>
      </c>
      <c r="J807" s="3" t="str">
        <f>VLOOKUP(I807,SeasonFormats!$A$3:$B$999,2,0)</f>
        <v>Series</v>
      </c>
      <c r="K807" s="3">
        <v>244</v>
      </c>
      <c r="L807" s="3">
        <v>3</v>
      </c>
      <c r="M807" s="3" t="s">
        <v>142</v>
      </c>
      <c r="N807" s="3">
        <v>1</v>
      </c>
      <c r="P807" s="3">
        <v>3</v>
      </c>
      <c r="Q807" s="7" t="d">
        <v>2014-09-06</v>
      </c>
      <c r="R807" s="3">
        <v>46</v>
      </c>
      <c r="T807" s="4" t="s">
        <v>1117</v>
      </c>
      <c r="U807" s="3" t="str" cm="1">
        <f t="array" ref="U807">_xlfn.TEXTJOIN(",",TRUE,_xlfn.XLOOKUP(_xlfn.FILTERXML("&lt;t&gt;&lt;s&gt;" &amp; SUBSTITUTE(T807,",","&lt;/s&gt;&lt;s&gt;") &amp; "&lt;/s&gt;&lt;/t&gt;", "//s"),Writers!$A$3:$A$999,Writers!$B$3:$B$999,""))</f>
        <v>Mark Gatiss</v>
      </c>
      <c r="W807" s="3" t="str">
        <f>IF(V807="","",_xlfn.XLOOKUP(V807,Writers!$A$3:$A$999,Writers!$B$3:$B$999,""))</f>
        <v/>
      </c>
      <c r="X807" s="3">
        <v>5.2</v>
      </c>
      <c r="Y807" s="3">
        <v>7.28</v>
      </c>
      <c r="Z807" s="3">
        <v>8.25</v>
      </c>
      <c r="AA807" s="3">
        <f t="shared" si="36"/>
        <v>5.5</v>
      </c>
      <c r="AB807" s="3">
        <f t="shared" si="37"/>
        <v>7.7</v>
      </c>
      <c r="AC807" s="3">
        <f t="shared" si="38"/>
        <v>8.7200000000000006</v>
      </c>
      <c r="AD807" s="3">
        <f>VLOOKUP(YEAR(Q807),Populations!$A$3:$B$999,2,0)</f>
        <v>64596800</v>
      </c>
      <c r="AE807" s="3">
        <f>(Calculations!B1/AD807)</f>
        <v>1.0574042677036599</v>
      </c>
      <c r="AG807" s="3">
        <v>2</v>
      </c>
      <c r="AH807" s="3" t="str">
        <f>VLOOKUP(AG807,WikiFormats!$A$3:$B$999,2,0)</f>
        <v>Episode</v>
      </c>
      <c r="AI807" s="3" t="s">
        <v>850</v>
      </c>
    </row>
    <row r="808" spans="1:35" s="3" customFormat="1" x14ac:dyDescent="0.55000000000000004">
      <c r="A808" s="3">
        <v>804</v>
      </c>
      <c r="B808" s="3">
        <v>3</v>
      </c>
      <c r="C808" s="3" t="str">
        <f>VLOOKUP(B808,Eras!$A$3:$B$999,2,0)</f>
        <v>New</v>
      </c>
      <c r="D808" s="3">
        <v>1</v>
      </c>
      <c r="E808" s="3" t="str">
        <f>VLOOKUP(D808,EpisodeFormats!$A$3:$B$999,2,0)</f>
        <v>Series</v>
      </c>
      <c r="F808" s="3">
        <v>12</v>
      </c>
      <c r="G808" s="3" t="str">
        <f>VLOOKUP(F808,Doctors!$A$3:$B$999,2,0)</f>
        <v>Peter Capaldi</v>
      </c>
      <c r="H808" s="3">
        <v>8</v>
      </c>
      <c r="I808" s="3">
        <v>3</v>
      </c>
      <c r="J808" s="3" t="str">
        <f>VLOOKUP(I808,SeasonFormats!$A$3:$B$999,2,0)</f>
        <v>Series</v>
      </c>
      <c r="K808" s="3">
        <v>245</v>
      </c>
      <c r="L808" s="3">
        <v>4</v>
      </c>
      <c r="M808" s="3" t="s">
        <v>143</v>
      </c>
      <c r="N808" s="3">
        <v>1</v>
      </c>
      <c r="P808" s="3">
        <v>4</v>
      </c>
      <c r="Q808" s="7" t="d">
        <v>2014-09-13</v>
      </c>
      <c r="R808" s="3">
        <v>48</v>
      </c>
      <c r="T808" s="4" t="s">
        <v>1153</v>
      </c>
      <c r="U808" s="3" t="str" cm="1">
        <f t="array" ref="U808">_xlfn.TEXTJOIN(",",TRUE,_xlfn.XLOOKUP(_xlfn.FILTERXML("&lt;t&gt;&lt;s&gt;" &amp; SUBSTITUTE(T808,",","&lt;/s&gt;&lt;s&gt;") &amp; "&lt;/s&gt;&lt;/t&gt;", "//s"),Writers!$A$3:$A$999,Writers!$B$3:$B$999,""))</f>
        <v>Steven Moffat</v>
      </c>
      <c r="W808" s="3" t="str">
        <f>IF(V808="","",_xlfn.XLOOKUP(V808,Writers!$A$3:$A$999,Writers!$B$3:$B$999,""))</f>
        <v/>
      </c>
      <c r="X808" s="3">
        <v>4.8099999999999996</v>
      </c>
      <c r="Y808" s="3">
        <v>7.01</v>
      </c>
      <c r="Z808" s="3">
        <v>7.8</v>
      </c>
      <c r="AA808" s="3">
        <f t="shared" si="36"/>
        <v>5.09</v>
      </c>
      <c r="AB808" s="3">
        <f t="shared" si="37"/>
        <v>7.41</v>
      </c>
      <c r="AC808" s="3">
        <f t="shared" si="38"/>
        <v>8.25</v>
      </c>
      <c r="AD808" s="3">
        <f>VLOOKUP(YEAR(Q808),Populations!$A$3:$B$999,2,0)</f>
        <v>64596800</v>
      </c>
      <c r="AE808" s="3">
        <f>(Calculations!B1/AD808)</f>
        <v>1.0574042677036599</v>
      </c>
      <c r="AG808" s="3">
        <v>2</v>
      </c>
      <c r="AH808" s="3" t="str">
        <f>VLOOKUP(AG808,WikiFormats!$A$3:$B$999,2,0)</f>
        <v>Episode</v>
      </c>
      <c r="AI808" s="3" t="s">
        <v>851</v>
      </c>
    </row>
    <row r="809" spans="1:35" s="3" customFormat="1" x14ac:dyDescent="0.55000000000000004">
      <c r="A809" s="3">
        <v>805</v>
      </c>
      <c r="B809" s="3">
        <v>3</v>
      </c>
      <c r="C809" s="3" t="str">
        <f>VLOOKUP(B809,Eras!$A$3:$B$999,2,0)</f>
        <v>New</v>
      </c>
      <c r="D809" s="3">
        <v>1</v>
      </c>
      <c r="E809" s="3" t="str">
        <f>VLOOKUP(D809,EpisodeFormats!$A$3:$B$999,2,0)</f>
        <v>Series</v>
      </c>
      <c r="F809" s="3">
        <v>12</v>
      </c>
      <c r="G809" s="3" t="str">
        <f>VLOOKUP(F809,Doctors!$A$3:$B$999,2,0)</f>
        <v>Peter Capaldi</v>
      </c>
      <c r="H809" s="3">
        <v>8</v>
      </c>
      <c r="I809" s="3">
        <v>3</v>
      </c>
      <c r="J809" s="3" t="str">
        <f>VLOOKUP(I809,SeasonFormats!$A$3:$B$999,2,0)</f>
        <v>Series</v>
      </c>
      <c r="K809" s="3">
        <v>246</v>
      </c>
      <c r="L809" s="3">
        <v>5</v>
      </c>
      <c r="M809" s="3" t="s">
        <v>144</v>
      </c>
      <c r="N809" s="3">
        <v>1</v>
      </c>
      <c r="P809" s="3">
        <v>5</v>
      </c>
      <c r="Q809" s="7" t="d">
        <v>2014-09-20</v>
      </c>
      <c r="R809" s="3">
        <v>45</v>
      </c>
      <c r="T809" s="4" t="s">
        <v>1154</v>
      </c>
      <c r="U809" s="3" t="str" cm="1">
        <f t="array" ref="U809">_xlfn.TEXTJOIN(",",TRUE,_xlfn.XLOOKUP(_xlfn.FILTERXML("&lt;t&gt;&lt;s&gt;" &amp; SUBSTITUTE(T809,",","&lt;/s&gt;&lt;s&gt;") &amp; "&lt;/s&gt;&lt;/t&gt;", "//s"),Writers!$A$3:$A$999,Writers!$B$3:$B$999,""))</f>
        <v>Steven Moffat,Steve Thompson</v>
      </c>
      <c r="W809" s="3" t="str">
        <f>IF(V809="","",_xlfn.XLOOKUP(V809,Writers!$A$3:$A$999,Writers!$B$3:$B$999,""))</f>
        <v/>
      </c>
      <c r="X809" s="3">
        <v>4.93</v>
      </c>
      <c r="Y809" s="3">
        <v>6.99</v>
      </c>
      <c r="Z809" s="3">
        <v>7.96</v>
      </c>
      <c r="AA809" s="3">
        <f t="shared" si="36"/>
        <v>5.21</v>
      </c>
      <c r="AB809" s="3">
        <f t="shared" si="37"/>
        <v>7.39</v>
      </c>
      <c r="AC809" s="3">
        <f t="shared" si="38"/>
        <v>8.42</v>
      </c>
      <c r="AD809" s="3">
        <f>VLOOKUP(YEAR(Q809),Populations!$A$3:$B$999,2,0)</f>
        <v>64596800</v>
      </c>
      <c r="AE809" s="3">
        <f>(Calculations!B1/AD809)</f>
        <v>1.0574042677036599</v>
      </c>
      <c r="AG809" s="3">
        <v>2</v>
      </c>
      <c r="AH809" s="3" t="str">
        <f>VLOOKUP(AG809,WikiFormats!$A$3:$B$999,2,0)</f>
        <v>Episode</v>
      </c>
      <c r="AI809" s="3" t="s">
        <v>852</v>
      </c>
    </row>
    <row r="810" spans="1:35" s="3" customFormat="1" x14ac:dyDescent="0.55000000000000004">
      <c r="A810" s="3">
        <v>806</v>
      </c>
      <c r="B810" s="3">
        <v>3</v>
      </c>
      <c r="C810" s="3" t="str">
        <f>VLOOKUP(B810,Eras!$A$3:$B$999,2,0)</f>
        <v>New</v>
      </c>
      <c r="D810" s="3">
        <v>1</v>
      </c>
      <c r="E810" s="3" t="str">
        <f>VLOOKUP(D810,EpisodeFormats!$A$3:$B$999,2,0)</f>
        <v>Series</v>
      </c>
      <c r="F810" s="3">
        <v>12</v>
      </c>
      <c r="G810" s="3" t="str">
        <f>VLOOKUP(F810,Doctors!$A$3:$B$999,2,0)</f>
        <v>Peter Capaldi</v>
      </c>
      <c r="H810" s="3">
        <v>8</v>
      </c>
      <c r="I810" s="3">
        <v>3</v>
      </c>
      <c r="J810" s="3" t="str">
        <f>VLOOKUP(I810,SeasonFormats!$A$3:$B$999,2,0)</f>
        <v>Series</v>
      </c>
      <c r="K810" s="3">
        <v>247</v>
      </c>
      <c r="L810" s="3">
        <v>6</v>
      </c>
      <c r="M810" s="3" t="s">
        <v>145</v>
      </c>
      <c r="N810" s="3">
        <v>1</v>
      </c>
      <c r="P810" s="3">
        <v>6</v>
      </c>
      <c r="Q810" s="7" t="d">
        <v>2014-09-27</v>
      </c>
      <c r="R810" s="3">
        <v>45</v>
      </c>
      <c r="T810" s="4" t="s">
        <v>1155</v>
      </c>
      <c r="U810" s="3" t="str" cm="1">
        <f t="array" ref="U810">_xlfn.TEXTJOIN(",",TRUE,_xlfn.XLOOKUP(_xlfn.FILTERXML("&lt;t&gt;&lt;s&gt;" &amp; SUBSTITUTE(T810,",","&lt;/s&gt;&lt;s&gt;") &amp; "&lt;/s&gt;&lt;/t&gt;", "//s"),Writers!$A$3:$A$999,Writers!$B$3:$B$999,""))</f>
        <v>Steven Moffat,Gareth Roberts</v>
      </c>
      <c r="W810" s="3" t="str">
        <f>IF(V810="","",_xlfn.XLOOKUP(V810,Writers!$A$3:$A$999,Writers!$B$3:$B$999,""))</f>
        <v/>
      </c>
      <c r="X810" s="3">
        <v>4.8899999999999997</v>
      </c>
      <c r="Y810" s="3">
        <v>6.82</v>
      </c>
      <c r="Z810" s="3">
        <v>7.76</v>
      </c>
      <c r="AA810" s="3">
        <f t="shared" si="36"/>
        <v>5.17</v>
      </c>
      <c r="AB810" s="3">
        <f t="shared" si="37"/>
        <v>7.21</v>
      </c>
      <c r="AC810" s="3">
        <f t="shared" si="38"/>
        <v>8.2100000000000009</v>
      </c>
      <c r="AD810" s="3">
        <f>VLOOKUP(YEAR(Q810),Populations!$A$3:$B$999,2,0)</f>
        <v>64596800</v>
      </c>
      <c r="AE810" s="3">
        <f>(Calculations!B1/AD810)</f>
        <v>1.0574042677036599</v>
      </c>
      <c r="AG810" s="3">
        <v>2</v>
      </c>
      <c r="AH810" s="3" t="str">
        <f>VLOOKUP(AG810,WikiFormats!$A$3:$B$999,2,0)</f>
        <v>Episode</v>
      </c>
      <c r="AI810" s="3" t="s">
        <v>853</v>
      </c>
    </row>
    <row r="811" spans="1:35" s="3" customFormat="1" x14ac:dyDescent="0.55000000000000004">
      <c r="A811" s="3">
        <v>807</v>
      </c>
      <c r="B811" s="3">
        <v>3</v>
      </c>
      <c r="C811" s="3" t="str">
        <f>VLOOKUP(B811,Eras!$A$3:$B$999,2,0)</f>
        <v>New</v>
      </c>
      <c r="D811" s="3">
        <v>1</v>
      </c>
      <c r="E811" s="3" t="str">
        <f>VLOOKUP(D811,EpisodeFormats!$A$3:$B$999,2,0)</f>
        <v>Series</v>
      </c>
      <c r="F811" s="3">
        <v>12</v>
      </c>
      <c r="G811" s="3" t="str">
        <f>VLOOKUP(F811,Doctors!$A$3:$B$999,2,0)</f>
        <v>Peter Capaldi</v>
      </c>
      <c r="H811" s="3">
        <v>8</v>
      </c>
      <c r="I811" s="3">
        <v>3</v>
      </c>
      <c r="J811" s="3" t="str">
        <f>VLOOKUP(I811,SeasonFormats!$A$3:$B$999,2,0)</f>
        <v>Series</v>
      </c>
      <c r="K811" s="3">
        <v>248</v>
      </c>
      <c r="L811" s="3">
        <v>7</v>
      </c>
      <c r="M811" s="3" t="s">
        <v>146</v>
      </c>
      <c r="N811" s="3">
        <v>1</v>
      </c>
      <c r="P811" s="3">
        <v>7</v>
      </c>
      <c r="Q811" s="7" t="d">
        <v>2014-10-04</v>
      </c>
      <c r="R811" s="3">
        <v>45</v>
      </c>
      <c r="T811" s="4" t="s">
        <v>1114</v>
      </c>
      <c r="U811" s="3" t="str" cm="1">
        <f t="array" ref="U811">_xlfn.TEXTJOIN(",",TRUE,_xlfn.XLOOKUP(_xlfn.FILTERXML("&lt;t&gt;&lt;s&gt;" &amp; SUBSTITUTE(T811,",","&lt;/s&gt;&lt;s&gt;") &amp; "&lt;/s&gt;&lt;/t&gt;", "//s"),Writers!$A$3:$A$999,Writers!$B$3:$B$999,""))</f>
        <v>Peter Harness</v>
      </c>
      <c r="W811" s="3" t="str">
        <f>IF(V811="","",_xlfn.XLOOKUP(V811,Writers!$A$3:$A$999,Writers!$B$3:$B$999,""))</f>
        <v/>
      </c>
      <c r="X811" s="3">
        <v>4.8099999999999996</v>
      </c>
      <c r="Y811" s="3">
        <v>6.91</v>
      </c>
      <c r="Z811" s="3">
        <v>7.83</v>
      </c>
      <c r="AA811" s="3">
        <f t="shared" si="36"/>
        <v>5.09</v>
      </c>
      <c r="AB811" s="3">
        <f t="shared" si="37"/>
        <v>7.31</v>
      </c>
      <c r="AC811" s="3">
        <f t="shared" si="38"/>
        <v>8.2799999999999994</v>
      </c>
      <c r="AD811" s="3">
        <f>VLOOKUP(YEAR(Q811),Populations!$A$3:$B$999,2,0)</f>
        <v>64596800</v>
      </c>
      <c r="AE811" s="3">
        <f>(Calculations!B1/AD811)</f>
        <v>1.0574042677036599</v>
      </c>
      <c r="AG811" s="3">
        <v>2</v>
      </c>
      <c r="AH811" s="3" t="str">
        <f>VLOOKUP(AG811,WikiFormats!$A$3:$B$999,2,0)</f>
        <v>Episode</v>
      </c>
      <c r="AI811" s="3" t="s">
        <v>854</v>
      </c>
    </row>
    <row r="812" spans="1:35" s="3" customFormat="1" x14ac:dyDescent="0.55000000000000004">
      <c r="A812" s="3">
        <v>808</v>
      </c>
      <c r="B812" s="3">
        <v>3</v>
      </c>
      <c r="C812" s="3" t="str">
        <f>VLOOKUP(B812,Eras!$A$3:$B$999,2,0)</f>
        <v>New</v>
      </c>
      <c r="D812" s="3">
        <v>1</v>
      </c>
      <c r="E812" s="3" t="str">
        <f>VLOOKUP(D812,EpisodeFormats!$A$3:$B$999,2,0)</f>
        <v>Series</v>
      </c>
      <c r="F812" s="3">
        <v>12</v>
      </c>
      <c r="G812" s="3" t="str">
        <f>VLOOKUP(F812,Doctors!$A$3:$B$999,2,0)</f>
        <v>Peter Capaldi</v>
      </c>
      <c r="H812" s="3">
        <v>8</v>
      </c>
      <c r="I812" s="3">
        <v>3</v>
      </c>
      <c r="J812" s="3" t="str">
        <f>VLOOKUP(I812,SeasonFormats!$A$3:$B$999,2,0)</f>
        <v>Series</v>
      </c>
      <c r="K812" s="3">
        <v>249</v>
      </c>
      <c r="L812" s="3">
        <v>8</v>
      </c>
      <c r="M812" s="3" t="s">
        <v>147</v>
      </c>
      <c r="N812" s="3">
        <v>1</v>
      </c>
      <c r="P812" s="3">
        <v>8</v>
      </c>
      <c r="Q812" s="7" t="d">
        <v>2014-10-11</v>
      </c>
      <c r="R812" s="3">
        <v>47</v>
      </c>
      <c r="T812" s="4" t="s">
        <v>1141</v>
      </c>
      <c r="U812" s="3" t="str" cm="1">
        <f t="array" ref="U812">_xlfn.TEXTJOIN(",",TRUE,_xlfn.XLOOKUP(_xlfn.FILTERXML("&lt;t&gt;&lt;s&gt;" &amp; SUBSTITUTE(T812,",","&lt;/s&gt;&lt;s&gt;") &amp; "&lt;/s&gt;&lt;/t&gt;", "//s"),Writers!$A$3:$A$999,Writers!$B$3:$B$999,""))</f>
        <v>Jamie Mathieson</v>
      </c>
      <c r="W812" s="3" t="str">
        <f>IF(V812="","",_xlfn.XLOOKUP(V812,Writers!$A$3:$A$999,Writers!$B$3:$B$999,""))</f>
        <v/>
      </c>
      <c r="X812" s="3">
        <v>5.08</v>
      </c>
      <c r="Y812" s="3">
        <v>7.11</v>
      </c>
      <c r="Z812" s="3">
        <v>8.09</v>
      </c>
      <c r="AA812" s="3">
        <f t="shared" si="36"/>
        <v>5.37</v>
      </c>
      <c r="AB812" s="3">
        <f t="shared" si="37"/>
        <v>7.52</v>
      </c>
      <c r="AC812" s="3">
        <f t="shared" si="38"/>
        <v>8.5500000000000007</v>
      </c>
      <c r="AD812" s="3">
        <f>VLOOKUP(YEAR(Q812),Populations!$A$3:$B$999,2,0)</f>
        <v>64596800</v>
      </c>
      <c r="AE812" s="3">
        <f>(Calculations!B1/AD812)</f>
        <v>1.0574042677036599</v>
      </c>
      <c r="AG812" s="3">
        <v>2</v>
      </c>
      <c r="AH812" s="3" t="str">
        <f>VLOOKUP(AG812,WikiFormats!$A$3:$B$999,2,0)</f>
        <v>Episode</v>
      </c>
      <c r="AI812" s="3" t="s">
        <v>855</v>
      </c>
    </row>
    <row r="813" spans="1:35" s="3" customFormat="1" x14ac:dyDescent="0.55000000000000004">
      <c r="A813" s="3">
        <v>809</v>
      </c>
      <c r="B813" s="3">
        <v>3</v>
      </c>
      <c r="C813" s="3" t="str">
        <f>VLOOKUP(B813,Eras!$A$3:$B$999,2,0)</f>
        <v>New</v>
      </c>
      <c r="D813" s="3">
        <v>1</v>
      </c>
      <c r="E813" s="3" t="str">
        <f>VLOOKUP(D813,EpisodeFormats!$A$3:$B$999,2,0)</f>
        <v>Series</v>
      </c>
      <c r="F813" s="3">
        <v>12</v>
      </c>
      <c r="G813" s="3" t="str">
        <f>VLOOKUP(F813,Doctors!$A$3:$B$999,2,0)</f>
        <v>Peter Capaldi</v>
      </c>
      <c r="H813" s="3">
        <v>8</v>
      </c>
      <c r="I813" s="3">
        <v>3</v>
      </c>
      <c r="J813" s="3" t="str">
        <f>VLOOKUP(I813,SeasonFormats!$A$3:$B$999,2,0)</f>
        <v>Series</v>
      </c>
      <c r="K813" s="3">
        <v>250</v>
      </c>
      <c r="L813" s="3">
        <v>9</v>
      </c>
      <c r="M813" s="3" t="s">
        <v>148</v>
      </c>
      <c r="N813" s="3">
        <v>1</v>
      </c>
      <c r="P813" s="3">
        <v>9</v>
      </c>
      <c r="Q813" s="7" t="d">
        <v>2014-10-18</v>
      </c>
      <c r="R813" s="3">
        <v>43</v>
      </c>
      <c r="T813" s="4" t="s">
        <v>1141</v>
      </c>
      <c r="U813" s="3" t="str" cm="1">
        <f t="array" ref="U813">_xlfn.TEXTJOIN(",",TRUE,_xlfn.XLOOKUP(_xlfn.FILTERXML("&lt;t&gt;&lt;s&gt;" &amp; SUBSTITUTE(T813,",","&lt;/s&gt;&lt;s&gt;") &amp; "&lt;/s&gt;&lt;/t&gt;", "//s"),Writers!$A$3:$A$999,Writers!$B$3:$B$999,""))</f>
        <v>Jamie Mathieson</v>
      </c>
      <c r="W813" s="3" t="str">
        <f>IF(V813="","",_xlfn.XLOOKUP(V813,Writers!$A$3:$A$999,Writers!$B$3:$B$999,""))</f>
        <v/>
      </c>
      <c r="X813" s="3">
        <v>4.5999999999999996</v>
      </c>
      <c r="Y813" s="3">
        <v>6.71</v>
      </c>
      <c r="Z813" s="3">
        <v>7.85</v>
      </c>
      <c r="AA813" s="3">
        <f t="shared" si="36"/>
        <v>4.8600000000000003</v>
      </c>
      <c r="AB813" s="3">
        <f t="shared" si="37"/>
        <v>7.1</v>
      </c>
      <c r="AC813" s="3">
        <f t="shared" si="38"/>
        <v>8.3000000000000007</v>
      </c>
      <c r="AD813" s="3">
        <f>VLOOKUP(YEAR(Q813),Populations!$A$3:$B$999,2,0)</f>
        <v>64596800</v>
      </c>
      <c r="AE813" s="3">
        <f>(Calculations!B1/AD813)</f>
        <v>1.0574042677036599</v>
      </c>
      <c r="AG813" s="3">
        <v>2</v>
      </c>
      <c r="AH813" s="3" t="str">
        <f>VLOOKUP(AG813,WikiFormats!$A$3:$B$999,2,0)</f>
        <v>Episode</v>
      </c>
      <c r="AI813" s="3" t="s">
        <v>856</v>
      </c>
    </row>
    <row r="814" spans="1:35" s="3" customFormat="1" x14ac:dyDescent="0.55000000000000004">
      <c r="A814" s="3">
        <v>810</v>
      </c>
      <c r="B814" s="3">
        <v>3</v>
      </c>
      <c r="C814" s="3" t="str">
        <f>VLOOKUP(B814,Eras!$A$3:$B$999,2,0)</f>
        <v>New</v>
      </c>
      <c r="D814" s="3">
        <v>1</v>
      </c>
      <c r="E814" s="3" t="str">
        <f>VLOOKUP(D814,EpisodeFormats!$A$3:$B$999,2,0)</f>
        <v>Series</v>
      </c>
      <c r="F814" s="3">
        <v>12</v>
      </c>
      <c r="G814" s="3" t="str">
        <f>VLOOKUP(F814,Doctors!$A$3:$B$999,2,0)</f>
        <v>Peter Capaldi</v>
      </c>
      <c r="H814" s="3">
        <v>8</v>
      </c>
      <c r="I814" s="3">
        <v>3</v>
      </c>
      <c r="J814" s="3" t="str">
        <f>VLOOKUP(I814,SeasonFormats!$A$3:$B$999,2,0)</f>
        <v>Series</v>
      </c>
      <c r="K814" s="3">
        <v>251</v>
      </c>
      <c r="L814" s="3">
        <v>10</v>
      </c>
      <c r="M814" s="3" t="s">
        <v>149</v>
      </c>
      <c r="N814" s="3">
        <v>1</v>
      </c>
      <c r="P814" s="3">
        <v>10</v>
      </c>
      <c r="Q814" s="7" t="d">
        <v>2014-10-25</v>
      </c>
      <c r="R814" s="3">
        <v>45</v>
      </c>
      <c r="T814" s="4" t="s">
        <v>1096</v>
      </c>
      <c r="U814" s="3" t="str" cm="1">
        <f t="array" ref="U814">_xlfn.TEXTJOIN(",",TRUE,_xlfn.XLOOKUP(_xlfn.FILTERXML("&lt;t&gt;&lt;s&gt;" &amp; SUBSTITUTE(T814,",","&lt;/s&gt;&lt;s&gt;") &amp; "&lt;/s&gt;&lt;/t&gt;", "//s"),Writers!$A$3:$A$999,Writers!$B$3:$B$999,""))</f>
        <v>Frank Cottrell-Boyce</v>
      </c>
      <c r="W814" s="3" t="str">
        <f>IF(V814="","",_xlfn.XLOOKUP(V814,Writers!$A$3:$A$999,Writers!$B$3:$B$999,""))</f>
        <v/>
      </c>
      <c r="X814" s="3">
        <v>5.03</v>
      </c>
      <c r="Y814" s="3">
        <v>6.92</v>
      </c>
      <c r="Z814" s="3">
        <v>7.79</v>
      </c>
      <c r="AA814" s="3">
        <f t="shared" si="36"/>
        <v>5.32</v>
      </c>
      <c r="AB814" s="3">
        <f t="shared" si="37"/>
        <v>7.32</v>
      </c>
      <c r="AC814" s="3">
        <f t="shared" si="38"/>
        <v>8.24</v>
      </c>
      <c r="AD814" s="3">
        <f>VLOOKUP(YEAR(Q814),Populations!$A$3:$B$999,2,0)</f>
        <v>64596800</v>
      </c>
      <c r="AE814" s="3">
        <f>(Calculations!B1/AD814)</f>
        <v>1.0574042677036599</v>
      </c>
      <c r="AG814" s="3">
        <v>2</v>
      </c>
      <c r="AH814" s="3" t="str">
        <f>VLOOKUP(AG814,WikiFormats!$A$3:$B$999,2,0)</f>
        <v>Episode</v>
      </c>
      <c r="AI814" s="3" t="s">
        <v>857</v>
      </c>
    </row>
    <row r="815" spans="1:35" s="3" customFormat="1" x14ac:dyDescent="0.55000000000000004">
      <c r="A815" s="3">
        <v>811</v>
      </c>
      <c r="B815" s="3">
        <v>3</v>
      </c>
      <c r="C815" s="3" t="str">
        <f>VLOOKUP(B815,Eras!$A$3:$B$999,2,0)</f>
        <v>New</v>
      </c>
      <c r="D815" s="3">
        <v>1</v>
      </c>
      <c r="E815" s="3" t="str">
        <f>VLOOKUP(D815,EpisodeFormats!$A$3:$B$999,2,0)</f>
        <v>Series</v>
      </c>
      <c r="F815" s="3">
        <v>12</v>
      </c>
      <c r="G815" s="3" t="str">
        <f>VLOOKUP(F815,Doctors!$A$3:$B$999,2,0)</f>
        <v>Peter Capaldi</v>
      </c>
      <c r="H815" s="3">
        <v>8</v>
      </c>
      <c r="I815" s="3">
        <v>3</v>
      </c>
      <c r="J815" s="3" t="str">
        <f>VLOOKUP(I815,SeasonFormats!$A$3:$B$999,2,0)</f>
        <v>Series</v>
      </c>
      <c r="K815" s="3">
        <v>252</v>
      </c>
      <c r="L815" s="3">
        <v>11</v>
      </c>
      <c r="M815" s="3" t="s">
        <v>150</v>
      </c>
      <c r="N815" s="3">
        <v>1</v>
      </c>
      <c r="P815" s="3">
        <v>11</v>
      </c>
      <c r="Q815" s="7" t="d">
        <v>2014-11-01</v>
      </c>
      <c r="R815" s="3">
        <v>46</v>
      </c>
      <c r="T815" s="4" t="s">
        <v>1153</v>
      </c>
      <c r="U815" s="3" t="str" cm="1">
        <f t="array" ref="U815">_xlfn.TEXTJOIN(",",TRUE,_xlfn.XLOOKUP(_xlfn.FILTERXML("&lt;t&gt;&lt;s&gt;" &amp; SUBSTITUTE(T815,",","&lt;/s&gt;&lt;s&gt;") &amp; "&lt;/s&gt;&lt;/t&gt;", "//s"),Writers!$A$3:$A$999,Writers!$B$3:$B$999,""))</f>
        <v>Steven Moffat</v>
      </c>
      <c r="W815" s="3" t="str">
        <f>IF(V815="","",_xlfn.XLOOKUP(V815,Writers!$A$3:$A$999,Writers!$B$3:$B$999,""))</f>
        <v/>
      </c>
      <c r="X815" s="3">
        <v>5.27</v>
      </c>
      <c r="Y815" s="3">
        <v>7.34</v>
      </c>
      <c r="Z815" s="3">
        <v>8.52</v>
      </c>
      <c r="AA815" s="3">
        <f t="shared" si="36"/>
        <v>5.57</v>
      </c>
      <c r="AB815" s="3">
        <f t="shared" si="37"/>
        <v>7.76</v>
      </c>
      <c r="AC815" s="3">
        <f t="shared" si="38"/>
        <v>9.01</v>
      </c>
      <c r="AD815" s="3">
        <f>VLOOKUP(YEAR(Q815),Populations!$A$3:$B$999,2,0)</f>
        <v>64596800</v>
      </c>
      <c r="AE815" s="3">
        <f>(Calculations!B1/AD815)</f>
        <v>1.0574042677036599</v>
      </c>
      <c r="AG815" s="3">
        <v>2</v>
      </c>
      <c r="AH815" s="3" t="str">
        <f>VLOOKUP(AG815,WikiFormats!$A$3:$B$999,2,0)</f>
        <v>Episode</v>
      </c>
      <c r="AI815" s="3" t="s">
        <v>858</v>
      </c>
    </row>
    <row r="816" spans="1:35" s="3" customFormat="1" x14ac:dyDescent="0.55000000000000004">
      <c r="A816" s="3">
        <v>812</v>
      </c>
      <c r="B816" s="3">
        <v>3</v>
      </c>
      <c r="C816" s="3" t="str">
        <f>VLOOKUP(B816,Eras!$A$3:$B$999,2,0)</f>
        <v>New</v>
      </c>
      <c r="D816" s="3">
        <v>1</v>
      </c>
      <c r="E816" s="3" t="str">
        <f>VLOOKUP(D816,EpisodeFormats!$A$3:$B$999,2,0)</f>
        <v>Series</v>
      </c>
      <c r="F816" s="3">
        <v>12</v>
      </c>
      <c r="G816" s="3" t="str">
        <f>VLOOKUP(F816,Doctors!$A$3:$B$999,2,0)</f>
        <v>Peter Capaldi</v>
      </c>
      <c r="H816" s="3">
        <v>8</v>
      </c>
      <c r="I816" s="3">
        <v>3</v>
      </c>
      <c r="J816" s="3" t="str">
        <f>VLOOKUP(I816,SeasonFormats!$A$3:$B$999,2,0)</f>
        <v>Series</v>
      </c>
      <c r="K816" s="3">
        <v>252</v>
      </c>
      <c r="L816" s="3">
        <v>11</v>
      </c>
      <c r="M816" s="3" t="s">
        <v>151</v>
      </c>
      <c r="N816" s="3">
        <v>2</v>
      </c>
      <c r="P816" s="3">
        <v>12</v>
      </c>
      <c r="Q816" s="7" t="d">
        <v>2014-11-08</v>
      </c>
      <c r="R816" s="3">
        <v>57</v>
      </c>
      <c r="T816" s="4" t="s">
        <v>1153</v>
      </c>
      <c r="U816" s="3" t="str" cm="1">
        <f t="array" ref="U816">_xlfn.TEXTJOIN(",",TRUE,_xlfn.XLOOKUP(_xlfn.FILTERXML("&lt;t&gt;&lt;s&gt;" &amp; SUBSTITUTE(T816,",","&lt;/s&gt;&lt;s&gt;") &amp; "&lt;/s&gt;&lt;/t&gt;", "//s"),Writers!$A$3:$A$999,Writers!$B$3:$B$999,""))</f>
        <v>Steven Moffat</v>
      </c>
      <c r="W816" s="3" t="str">
        <f>IF(V816="","",_xlfn.XLOOKUP(V816,Writers!$A$3:$A$999,Writers!$B$3:$B$999,""))</f>
        <v/>
      </c>
      <c r="X816" s="3">
        <v>5.45</v>
      </c>
      <c r="Y816" s="3">
        <v>7.6</v>
      </c>
      <c r="Z816" s="3">
        <v>8.81</v>
      </c>
      <c r="AA816" s="3">
        <f t="shared" si="36"/>
        <v>5.76</v>
      </c>
      <c r="AB816" s="3">
        <f t="shared" si="37"/>
        <v>8.0399999999999991</v>
      </c>
      <c r="AC816" s="3">
        <f t="shared" si="38"/>
        <v>9.32</v>
      </c>
      <c r="AD816" s="3">
        <f>VLOOKUP(YEAR(Q816),Populations!$A$3:$B$999,2,0)</f>
        <v>64596800</v>
      </c>
      <c r="AE816" s="3">
        <f>(Calculations!B1/AD816)</f>
        <v>1.0574042677036599</v>
      </c>
      <c r="AG816" s="3">
        <v>2</v>
      </c>
      <c r="AH816" s="3" t="str">
        <f>VLOOKUP(AG816,WikiFormats!$A$3:$B$999,2,0)</f>
        <v>Episode</v>
      </c>
      <c r="AI816" s="3" t="s">
        <v>859</v>
      </c>
    </row>
    <row r="817" spans="1:35" x14ac:dyDescent="0.55000000000000004">
      <c r="A817">
        <v>813</v>
      </c>
      <c r="B817">
        <v>3</v>
      </c>
      <c r="C817" t="str">
        <f>VLOOKUP(B817,Eras!$A$3:$B$999,2,0)</f>
        <v>New</v>
      </c>
      <c r="D817">
        <v>2</v>
      </c>
      <c r="E817" t="str">
        <f>VLOOKUP(D817,EpisodeFormats!$A$3:$B$999,2,0)</f>
        <v>Special</v>
      </c>
      <c r="F817">
        <v>12</v>
      </c>
      <c r="G817" t="str">
        <f>VLOOKUP(F817,Doctors!$A$3:$B$999,2,0)</f>
        <v>Peter Capaldi</v>
      </c>
      <c r="I817">
        <v>4</v>
      </c>
      <c r="J817" t="str">
        <f>VLOOKUP(I817,SeasonFormats!$A$3:$B$999,2,0)</f>
        <v>Special</v>
      </c>
      <c r="K817">
        <v>253</v>
      </c>
      <c r="M817" t="s">
        <v>152</v>
      </c>
      <c r="N817">
        <v>1</v>
      </c>
      <c r="Q817" s="6" t="d">
        <v>2014-12-25</v>
      </c>
      <c r="R817">
        <v>60</v>
      </c>
      <c r="T817" s="15" t="s">
        <v>1153</v>
      </c>
      <c r="U817" t="str" cm="1">
        <f t="array" ref="U817">_xlfn.TEXTJOIN(",",TRUE,_xlfn.XLOOKUP(_xlfn.FILTERXML("&lt;t&gt;&lt;s&gt;" &amp; SUBSTITUTE(T817,",","&lt;/s&gt;&lt;s&gt;") &amp; "&lt;/s&gt;&lt;/t&gt;", "//s"),Writers!$A$3:$A$999,Writers!$B$3:$B$999,""))</f>
        <v>Steven Moffat</v>
      </c>
      <c r="W817" t="str">
        <f>IF(V817="","",_xlfn.XLOOKUP(V817,Writers!$A$3:$A$999,Writers!$B$3:$B$999,""))</f>
        <v/>
      </c>
      <c r="X817">
        <v>6.34</v>
      </c>
      <c r="Y817">
        <v>8.2799999999999994</v>
      </c>
      <c r="Z817">
        <v>9.6199999999999992</v>
      </c>
      <c r="AA817">
        <f t="shared" si="36"/>
        <v>6.7</v>
      </c>
      <c r="AB817">
        <f t="shared" si="37"/>
        <v>8.76</v>
      </c>
      <c r="AC817">
        <f t="shared" si="38"/>
        <v>10.17</v>
      </c>
      <c r="AD817">
        <f>VLOOKUP(YEAR(Q817),Populations!$A$3:$B$999,2,0)</f>
        <v>64596800</v>
      </c>
      <c r="AE817">
        <f>(Calculations!B1/AD817)</f>
        <v>1.0574042677036599</v>
      </c>
      <c r="AG817">
        <v>2</v>
      </c>
      <c r="AH817" t="str">
        <f>VLOOKUP(AG817,WikiFormats!$A$3:$B$999,2,0)</f>
        <v>Episode</v>
      </c>
      <c r="AI817" t="s">
        <v>860</v>
      </c>
    </row>
    <row r="818" spans="1:35" s="3" customFormat="1" x14ac:dyDescent="0.55000000000000004">
      <c r="A818" s="3">
        <v>814</v>
      </c>
      <c r="B818" s="3">
        <v>3</v>
      </c>
      <c r="C818" s="3" t="str">
        <f>VLOOKUP(B818,Eras!$A$3:$B$999,2,0)</f>
        <v>New</v>
      </c>
      <c r="D818" s="3">
        <v>1</v>
      </c>
      <c r="E818" s="3" t="str">
        <f>VLOOKUP(D818,EpisodeFormats!$A$3:$B$999,2,0)</f>
        <v>Series</v>
      </c>
      <c r="F818" s="3">
        <v>12</v>
      </c>
      <c r="G818" s="3" t="str">
        <f>VLOOKUP(F818,Doctors!$A$3:$B$999,2,0)</f>
        <v>Peter Capaldi</v>
      </c>
      <c r="H818" s="3">
        <v>9</v>
      </c>
      <c r="I818" s="3">
        <v>3</v>
      </c>
      <c r="J818" s="3" t="str">
        <f>VLOOKUP(I818,SeasonFormats!$A$3:$B$999,2,0)</f>
        <v>Series</v>
      </c>
      <c r="K818" s="3">
        <v>254</v>
      </c>
      <c r="L818" s="3">
        <v>1</v>
      </c>
      <c r="M818" s="3" t="s">
        <v>153</v>
      </c>
      <c r="N818" s="3">
        <v>1</v>
      </c>
      <c r="P818" s="3">
        <v>1</v>
      </c>
      <c r="Q818" s="7" t="d">
        <v>2015-09-19</v>
      </c>
      <c r="R818" s="3">
        <v>46</v>
      </c>
      <c r="T818" s="4" t="s">
        <v>1153</v>
      </c>
      <c r="U818" s="3" t="str" cm="1">
        <f t="array" ref="U818">_xlfn.TEXTJOIN(",",TRUE,_xlfn.XLOOKUP(_xlfn.FILTERXML("&lt;t&gt;&lt;s&gt;" &amp; SUBSTITUTE(T818,",","&lt;/s&gt;&lt;s&gt;") &amp; "&lt;/s&gt;&lt;/t&gt;", "//s"),Writers!$A$3:$A$999,Writers!$B$3:$B$999,""))</f>
        <v>Steven Moffat</v>
      </c>
      <c r="W818" s="3" t="str">
        <f>IF(V818="","",_xlfn.XLOOKUP(V818,Writers!$A$3:$A$999,Writers!$B$3:$B$999,""))</f>
        <v/>
      </c>
      <c r="X818" s="3">
        <v>4.58</v>
      </c>
      <c r="Y818" s="3">
        <v>6.54</v>
      </c>
      <c r="Z818" s="3">
        <v>7.41</v>
      </c>
      <c r="AA818" s="3">
        <f t="shared" si="36"/>
        <v>4.8</v>
      </c>
      <c r="AB818" s="3">
        <f t="shared" si="37"/>
        <v>6.86</v>
      </c>
      <c r="AC818" s="3">
        <f t="shared" si="38"/>
        <v>7.77</v>
      </c>
      <c r="AD818" s="3">
        <f>VLOOKUP(YEAR(Q818),Populations!$A$3:$B$999,2,0)</f>
        <v>65110000</v>
      </c>
      <c r="AE818" s="3">
        <f>(Calculations!B1/AD818)</f>
        <v>1.0490697588696101</v>
      </c>
      <c r="AG818" s="3">
        <v>2</v>
      </c>
      <c r="AH818" s="3" t="str">
        <f>VLOOKUP(AG818,WikiFormats!$A$3:$B$999,2,0)</f>
        <v>Episode</v>
      </c>
      <c r="AI818" s="3" t="s">
        <v>861</v>
      </c>
    </row>
    <row r="819" spans="1:35" s="3" customFormat="1" x14ac:dyDescent="0.55000000000000004">
      <c r="A819" s="3">
        <v>815</v>
      </c>
      <c r="B819" s="3">
        <v>3</v>
      </c>
      <c r="C819" s="3" t="str">
        <f>VLOOKUP(B819,Eras!$A$3:$B$999,2,0)</f>
        <v>New</v>
      </c>
      <c r="D819" s="3">
        <v>1</v>
      </c>
      <c r="E819" s="3" t="str">
        <f>VLOOKUP(D819,EpisodeFormats!$A$3:$B$999,2,0)</f>
        <v>Series</v>
      </c>
      <c r="F819" s="3">
        <v>12</v>
      </c>
      <c r="G819" s="3" t="str">
        <f>VLOOKUP(F819,Doctors!$A$3:$B$999,2,0)</f>
        <v>Peter Capaldi</v>
      </c>
      <c r="H819" s="3">
        <v>9</v>
      </c>
      <c r="I819" s="3">
        <v>3</v>
      </c>
      <c r="J819" s="3" t="str">
        <f>VLOOKUP(I819,SeasonFormats!$A$3:$B$999,2,0)</f>
        <v>Series</v>
      </c>
      <c r="K819" s="3">
        <v>254</v>
      </c>
      <c r="L819" s="3">
        <v>1</v>
      </c>
      <c r="M819" s="3" t="s">
        <v>154</v>
      </c>
      <c r="N819" s="3">
        <v>2</v>
      </c>
      <c r="P819" s="3">
        <v>2</v>
      </c>
      <c r="Q819" s="7" t="d">
        <v>2015-09-26</v>
      </c>
      <c r="R819" s="3">
        <v>48</v>
      </c>
      <c r="T819" s="4" t="s">
        <v>1153</v>
      </c>
      <c r="U819" s="3" t="str" cm="1">
        <f t="array" ref="U819">_xlfn.TEXTJOIN(",",TRUE,_xlfn.XLOOKUP(_xlfn.FILTERXML("&lt;t&gt;&lt;s&gt;" &amp; SUBSTITUTE(T819,",","&lt;/s&gt;&lt;s&gt;") &amp; "&lt;/s&gt;&lt;/t&gt;", "//s"),Writers!$A$3:$A$999,Writers!$B$3:$B$999,""))</f>
        <v>Steven Moffat</v>
      </c>
      <c r="W819" s="3" t="str">
        <f>IF(V819="","",_xlfn.XLOOKUP(V819,Writers!$A$3:$A$999,Writers!$B$3:$B$999,""))</f>
        <v/>
      </c>
      <c r="X819" s="3">
        <v>3.71</v>
      </c>
      <c r="Y819" s="3">
        <v>5.71</v>
      </c>
      <c r="Z819" s="3">
        <v>6.58</v>
      </c>
      <c r="AA819" s="3">
        <f t="shared" si="36"/>
        <v>3.89</v>
      </c>
      <c r="AB819" s="3">
        <f t="shared" si="37"/>
        <v>5.99</v>
      </c>
      <c r="AC819" s="3">
        <f t="shared" si="38"/>
        <v>6.9</v>
      </c>
      <c r="AD819" s="3">
        <f>VLOOKUP(YEAR(Q819),Populations!$A$3:$B$999,2,0)</f>
        <v>65110000</v>
      </c>
      <c r="AE819" s="3">
        <f>(Calculations!B1/AD819)</f>
        <v>1.0490697588696101</v>
      </c>
      <c r="AG819" s="3">
        <v>2</v>
      </c>
      <c r="AH819" s="3" t="str">
        <f>VLOOKUP(AG819,WikiFormats!$A$3:$B$999,2,0)</f>
        <v>Episode</v>
      </c>
      <c r="AI819" s="3" t="s">
        <v>862</v>
      </c>
    </row>
    <row r="820" spans="1:35" s="3" customFormat="1" x14ac:dyDescent="0.55000000000000004">
      <c r="A820" s="3">
        <v>816</v>
      </c>
      <c r="B820" s="3">
        <v>3</v>
      </c>
      <c r="C820" s="3" t="str">
        <f>VLOOKUP(B820,Eras!$A$3:$B$999,2,0)</f>
        <v>New</v>
      </c>
      <c r="D820" s="3">
        <v>1</v>
      </c>
      <c r="E820" s="3" t="str">
        <f>VLOOKUP(D820,EpisodeFormats!$A$3:$B$999,2,0)</f>
        <v>Series</v>
      </c>
      <c r="F820" s="3">
        <v>12</v>
      </c>
      <c r="G820" s="3" t="str">
        <f>VLOOKUP(F820,Doctors!$A$3:$B$999,2,0)</f>
        <v>Peter Capaldi</v>
      </c>
      <c r="H820" s="3">
        <v>9</v>
      </c>
      <c r="I820" s="3">
        <v>3</v>
      </c>
      <c r="J820" s="3" t="str">
        <f>VLOOKUP(I820,SeasonFormats!$A$3:$B$999,2,0)</f>
        <v>Series</v>
      </c>
      <c r="K820" s="3">
        <v>255</v>
      </c>
      <c r="L820" s="3">
        <v>2</v>
      </c>
      <c r="M820" s="3" t="s">
        <v>155</v>
      </c>
      <c r="N820" s="3">
        <v>1</v>
      </c>
      <c r="P820" s="3">
        <v>3</v>
      </c>
      <c r="Q820" s="7" t="d">
        <v>2015-10-03</v>
      </c>
      <c r="R820" s="3">
        <v>43</v>
      </c>
      <c r="T820" s="4" t="s">
        <v>1177</v>
      </c>
      <c r="U820" s="3" t="str" cm="1">
        <f t="array" ref="U820">_xlfn.TEXTJOIN(",",TRUE,_xlfn.XLOOKUP(_xlfn.FILTERXML("&lt;t&gt;&lt;s&gt;" &amp; SUBSTITUTE(T820,",","&lt;/s&gt;&lt;s&gt;") &amp; "&lt;/s&gt;&lt;/t&gt;", "//s"),Writers!$A$3:$A$999,Writers!$B$3:$B$999,""))</f>
        <v>Toby Whithouse</v>
      </c>
      <c r="W820" s="3" t="str">
        <f>IF(V820="","",_xlfn.XLOOKUP(V820,Writers!$A$3:$A$999,Writers!$B$3:$B$999,""))</f>
        <v/>
      </c>
      <c r="X820" s="3">
        <v>3.74</v>
      </c>
      <c r="Y820" s="3">
        <v>5.63</v>
      </c>
      <c r="Z820" s="3">
        <v>6.51</v>
      </c>
      <c r="AA820" s="3">
        <f t="shared" si="36"/>
        <v>3.92</v>
      </c>
      <c r="AB820" s="3">
        <f t="shared" si="37"/>
        <v>5.91</v>
      </c>
      <c r="AC820" s="3">
        <f t="shared" si="38"/>
        <v>6.83</v>
      </c>
      <c r="AD820" s="3">
        <f>VLOOKUP(YEAR(Q820),Populations!$A$3:$B$999,2,0)</f>
        <v>65110000</v>
      </c>
      <c r="AE820" s="3">
        <f>(Calculations!B1/AD820)</f>
        <v>1.0490697588696101</v>
      </c>
      <c r="AG820" s="3">
        <v>2</v>
      </c>
      <c r="AH820" s="3" t="str">
        <f>VLOOKUP(AG820,WikiFormats!$A$3:$B$999,2,0)</f>
        <v>Episode</v>
      </c>
      <c r="AI820" s="3" t="s">
        <v>863</v>
      </c>
    </row>
    <row r="821" spans="1:35" s="3" customFormat="1" x14ac:dyDescent="0.55000000000000004">
      <c r="A821" s="3">
        <v>817</v>
      </c>
      <c r="B821" s="3">
        <v>3</v>
      </c>
      <c r="C821" s="3" t="str">
        <f>VLOOKUP(B821,Eras!$A$3:$B$999,2,0)</f>
        <v>New</v>
      </c>
      <c r="D821" s="3">
        <v>1</v>
      </c>
      <c r="E821" s="3" t="str">
        <f>VLOOKUP(D821,EpisodeFormats!$A$3:$B$999,2,0)</f>
        <v>Series</v>
      </c>
      <c r="F821" s="3">
        <v>12</v>
      </c>
      <c r="G821" s="3" t="str">
        <f>VLOOKUP(F821,Doctors!$A$3:$B$999,2,0)</f>
        <v>Peter Capaldi</v>
      </c>
      <c r="H821" s="3">
        <v>9</v>
      </c>
      <c r="I821" s="3">
        <v>3</v>
      </c>
      <c r="J821" s="3" t="str">
        <f>VLOOKUP(I821,SeasonFormats!$A$3:$B$999,2,0)</f>
        <v>Series</v>
      </c>
      <c r="K821" s="3">
        <v>255</v>
      </c>
      <c r="L821" s="3">
        <v>2</v>
      </c>
      <c r="M821" s="3" t="s">
        <v>156</v>
      </c>
      <c r="N821" s="3">
        <v>2</v>
      </c>
      <c r="P821" s="3">
        <v>4</v>
      </c>
      <c r="Q821" s="7" t="d">
        <v>2015-10-10</v>
      </c>
      <c r="R821" s="3">
        <v>42</v>
      </c>
      <c r="T821" s="4" t="s">
        <v>1177</v>
      </c>
      <c r="U821" s="3" t="str" cm="1">
        <f t="array" ref="U821">_xlfn.TEXTJOIN(",",TRUE,_xlfn.XLOOKUP(_xlfn.FILTERXML("&lt;t&gt;&lt;s&gt;" &amp; SUBSTITUTE(T821,",","&lt;/s&gt;&lt;s&gt;") &amp; "&lt;/s&gt;&lt;/t&gt;", "//s"),Writers!$A$3:$A$999,Writers!$B$3:$B$999,""))</f>
        <v>Toby Whithouse</v>
      </c>
      <c r="W821" s="3" t="str">
        <f>IF(V821="","",_xlfn.XLOOKUP(V821,Writers!$A$3:$A$999,Writers!$B$3:$B$999,""))</f>
        <v/>
      </c>
      <c r="X821" s="3">
        <v>4.38</v>
      </c>
      <c r="Y821" s="3">
        <v>6.05</v>
      </c>
      <c r="Z821" s="3">
        <v>6.77</v>
      </c>
      <c r="AA821" s="3">
        <f t="shared" si="36"/>
        <v>4.59</v>
      </c>
      <c r="AB821" s="3">
        <f t="shared" si="37"/>
        <v>6.35</v>
      </c>
      <c r="AC821" s="3">
        <f t="shared" si="38"/>
        <v>7.1</v>
      </c>
      <c r="AD821" s="3">
        <f>VLOOKUP(YEAR(Q821),Populations!$A$3:$B$999,2,0)</f>
        <v>65110000</v>
      </c>
      <c r="AE821" s="3">
        <f>(Calculations!B1/AD821)</f>
        <v>1.0490697588696101</v>
      </c>
      <c r="AG821" s="3">
        <v>2</v>
      </c>
      <c r="AH821" s="3" t="str">
        <f>VLOOKUP(AG821,WikiFormats!$A$3:$B$999,2,0)</f>
        <v>Episode</v>
      </c>
      <c r="AI821" s="3" t="s">
        <v>864</v>
      </c>
    </row>
    <row r="822" spans="1:35" s="3" customFormat="1" x14ac:dyDescent="0.55000000000000004">
      <c r="A822" s="3">
        <v>818</v>
      </c>
      <c r="B822" s="3">
        <v>3</v>
      </c>
      <c r="C822" s="3" t="str">
        <f>VLOOKUP(B822,Eras!$A$3:$B$999,2,0)</f>
        <v>New</v>
      </c>
      <c r="D822" s="3">
        <v>1</v>
      </c>
      <c r="E822" s="3" t="str">
        <f>VLOOKUP(D822,EpisodeFormats!$A$3:$B$999,2,0)</f>
        <v>Series</v>
      </c>
      <c r="F822" s="3">
        <v>12</v>
      </c>
      <c r="G822" s="3" t="str">
        <f>VLOOKUP(F822,Doctors!$A$3:$B$999,2,0)</f>
        <v>Peter Capaldi</v>
      </c>
      <c r="H822" s="3">
        <v>9</v>
      </c>
      <c r="I822" s="3">
        <v>3</v>
      </c>
      <c r="J822" s="3" t="str">
        <f>VLOOKUP(I822,SeasonFormats!$A$3:$B$999,2,0)</f>
        <v>Series</v>
      </c>
      <c r="K822" s="3">
        <v>256</v>
      </c>
      <c r="L822" s="3">
        <v>3</v>
      </c>
      <c r="M822" s="3" t="s">
        <v>157</v>
      </c>
      <c r="N822" s="3">
        <v>1</v>
      </c>
      <c r="P822" s="3">
        <v>5</v>
      </c>
      <c r="Q822" s="7" t="d">
        <v>2015-10-17</v>
      </c>
      <c r="R822" s="3">
        <v>46</v>
      </c>
      <c r="T822" s="4" t="s">
        <v>1151</v>
      </c>
      <c r="U822" s="3" t="str" cm="1">
        <f t="array" ref="U822">_xlfn.TEXTJOIN(",",TRUE,_xlfn.XLOOKUP(_xlfn.FILTERXML("&lt;t&gt;&lt;s&gt;" &amp; SUBSTITUTE(T822,",","&lt;/s&gt;&lt;s&gt;") &amp; "&lt;/s&gt;&lt;/t&gt;", "//s"),Writers!$A$3:$A$999,Writers!$B$3:$B$999,""))</f>
        <v>Jamie Mathieson,Steven Moffat</v>
      </c>
      <c r="W822" s="3" t="str">
        <f>IF(V822="","",_xlfn.XLOOKUP(V822,Writers!$A$3:$A$999,Writers!$B$3:$B$999,""))</f>
        <v/>
      </c>
      <c r="X822" s="3">
        <v>4.63</v>
      </c>
      <c r="Y822" s="3">
        <v>6.56</v>
      </c>
      <c r="Z822" s="3">
        <v>7.19</v>
      </c>
      <c r="AA822" s="3">
        <f t="shared" si="36"/>
        <v>4.8600000000000003</v>
      </c>
      <c r="AB822" s="3">
        <f t="shared" si="37"/>
        <v>6.88</v>
      </c>
      <c r="AC822" s="3">
        <f t="shared" si="38"/>
        <v>7.54</v>
      </c>
      <c r="AD822" s="3">
        <f>VLOOKUP(YEAR(Q822),Populations!$A$3:$B$999,2,0)</f>
        <v>65110000</v>
      </c>
      <c r="AE822" s="3">
        <f>(Calculations!B1/AD822)</f>
        <v>1.0490697588696101</v>
      </c>
      <c r="AG822" s="3">
        <v>2</v>
      </c>
      <c r="AH822" s="3" t="str">
        <f>VLOOKUP(AG822,WikiFormats!$A$3:$B$999,2,0)</f>
        <v>Episode</v>
      </c>
      <c r="AI822" s="3" t="s">
        <v>865</v>
      </c>
    </row>
    <row r="823" spans="1:35" s="3" customFormat="1" x14ac:dyDescent="0.55000000000000004">
      <c r="A823" s="3">
        <v>819</v>
      </c>
      <c r="B823" s="3">
        <v>3</v>
      </c>
      <c r="C823" s="3" t="str">
        <f>VLOOKUP(B823,Eras!$A$3:$B$999,2,0)</f>
        <v>New</v>
      </c>
      <c r="D823" s="3">
        <v>1</v>
      </c>
      <c r="E823" s="3" t="str">
        <f>VLOOKUP(D823,EpisodeFormats!$A$3:$B$999,2,0)</f>
        <v>Series</v>
      </c>
      <c r="F823" s="3">
        <v>12</v>
      </c>
      <c r="G823" s="3" t="str">
        <f>VLOOKUP(F823,Doctors!$A$3:$B$999,2,0)</f>
        <v>Peter Capaldi</v>
      </c>
      <c r="H823" s="3">
        <v>9</v>
      </c>
      <c r="I823" s="3">
        <v>3</v>
      </c>
      <c r="J823" s="3" t="str">
        <f>VLOOKUP(I823,SeasonFormats!$A$3:$B$999,2,0)</f>
        <v>Series</v>
      </c>
      <c r="K823" s="3">
        <v>257</v>
      </c>
      <c r="L823" s="3">
        <v>4</v>
      </c>
      <c r="M823" s="3" t="s">
        <v>158</v>
      </c>
      <c r="N823" s="3">
        <v>1</v>
      </c>
      <c r="P823" s="3">
        <v>6</v>
      </c>
      <c r="Q823" s="7" t="d">
        <v>2015-10-24</v>
      </c>
      <c r="R823" s="3">
        <v>46</v>
      </c>
      <c r="T823" s="4" t="s">
        <v>1174</v>
      </c>
      <c r="U823" s="3" t="str" cm="1">
        <f t="array" ref="U823">_xlfn.TEXTJOIN(",",TRUE,_xlfn.XLOOKUP(_xlfn.FILTERXML("&lt;t&gt;&lt;s&gt;" &amp; SUBSTITUTE(T823,",","&lt;/s&gt;&lt;s&gt;") &amp; "&lt;/s&gt;&lt;/t&gt;", "//s"),Writers!$A$3:$A$999,Writers!$B$3:$B$999,""))</f>
        <v>Catherine Tregenna</v>
      </c>
      <c r="W823" s="3" t="str">
        <f>IF(V823="","",_xlfn.XLOOKUP(V823,Writers!$A$3:$A$999,Writers!$B$3:$B$999,""))</f>
        <v/>
      </c>
      <c r="X823" s="3">
        <v>4.3899999999999997</v>
      </c>
      <c r="Y823" s="3">
        <v>6.11</v>
      </c>
      <c r="Z823" s="3">
        <v>6.73</v>
      </c>
      <c r="AA823" s="3">
        <f t="shared" si="36"/>
        <v>4.6100000000000003</v>
      </c>
      <c r="AB823" s="3">
        <f t="shared" si="37"/>
        <v>6.41</v>
      </c>
      <c r="AC823" s="3">
        <f t="shared" si="38"/>
        <v>7.06</v>
      </c>
      <c r="AD823" s="3">
        <f>VLOOKUP(YEAR(Q823),Populations!$A$3:$B$999,2,0)</f>
        <v>65110000</v>
      </c>
      <c r="AE823" s="3">
        <f>(Calculations!B1/AD823)</f>
        <v>1.0490697588696101</v>
      </c>
      <c r="AG823" s="3">
        <v>2</v>
      </c>
      <c r="AH823" s="3" t="str">
        <f>VLOOKUP(AG823,WikiFormats!$A$3:$B$999,2,0)</f>
        <v>Episode</v>
      </c>
      <c r="AI823" s="3" t="s">
        <v>866</v>
      </c>
    </row>
    <row r="824" spans="1:35" s="3" customFormat="1" x14ac:dyDescent="0.55000000000000004">
      <c r="A824" s="3">
        <v>820</v>
      </c>
      <c r="B824" s="3">
        <v>3</v>
      </c>
      <c r="C824" s="3" t="str">
        <f>VLOOKUP(B824,Eras!$A$3:$B$999,2,0)</f>
        <v>New</v>
      </c>
      <c r="D824" s="3">
        <v>1</v>
      </c>
      <c r="E824" s="3" t="str">
        <f>VLOOKUP(D824,EpisodeFormats!$A$3:$B$999,2,0)</f>
        <v>Series</v>
      </c>
      <c r="F824" s="3">
        <v>12</v>
      </c>
      <c r="G824" s="3" t="str">
        <f>VLOOKUP(F824,Doctors!$A$3:$B$999,2,0)</f>
        <v>Peter Capaldi</v>
      </c>
      <c r="H824" s="3">
        <v>9</v>
      </c>
      <c r="I824" s="3">
        <v>3</v>
      </c>
      <c r="J824" s="3" t="str">
        <f>VLOOKUP(I824,SeasonFormats!$A$3:$B$999,2,0)</f>
        <v>Series</v>
      </c>
      <c r="K824" s="3">
        <v>258</v>
      </c>
      <c r="L824" s="3">
        <v>5</v>
      </c>
      <c r="M824" s="3" t="s">
        <v>159</v>
      </c>
      <c r="N824" s="3">
        <v>1</v>
      </c>
      <c r="P824" s="3">
        <v>7</v>
      </c>
      <c r="Q824" s="7" t="d">
        <v>2015-10-31</v>
      </c>
      <c r="R824" s="3">
        <v>45</v>
      </c>
      <c r="T824" s="4" t="s">
        <v>1114</v>
      </c>
      <c r="U824" s="3" t="str" cm="1">
        <f t="array" ref="U824">_xlfn.TEXTJOIN(",",TRUE,_xlfn.XLOOKUP(_xlfn.FILTERXML("&lt;t&gt;&lt;s&gt;" &amp; SUBSTITUTE(T824,",","&lt;/s&gt;&lt;s&gt;") &amp; "&lt;/s&gt;&lt;/t&gt;", "//s"),Writers!$A$3:$A$999,Writers!$B$3:$B$999,""))</f>
        <v>Peter Harness</v>
      </c>
      <c r="W824" s="3" t="str">
        <f>IF(V824="","",_xlfn.XLOOKUP(V824,Writers!$A$3:$A$999,Writers!$B$3:$B$999,""))</f>
        <v/>
      </c>
      <c r="X824" s="3">
        <v>3.87</v>
      </c>
      <c r="Y824" s="3">
        <v>5.76</v>
      </c>
      <c r="Z824" s="3">
        <v>6.49</v>
      </c>
      <c r="AA824" s="3">
        <f t="shared" si="36"/>
        <v>4.0599999999999996</v>
      </c>
      <c r="AB824" s="3">
        <f t="shared" si="37"/>
        <v>6.04</v>
      </c>
      <c r="AC824" s="3">
        <f t="shared" si="38"/>
        <v>6.81</v>
      </c>
      <c r="AD824" s="3">
        <f>VLOOKUP(YEAR(Q824),Populations!$A$3:$B$999,2,0)</f>
        <v>65110000</v>
      </c>
      <c r="AE824" s="3">
        <f>(Calculations!B1/AD824)</f>
        <v>1.0490697588696101</v>
      </c>
      <c r="AG824" s="3">
        <v>2</v>
      </c>
      <c r="AH824" s="3" t="str">
        <f>VLOOKUP(AG824,WikiFormats!$A$3:$B$999,2,0)</f>
        <v>Episode</v>
      </c>
      <c r="AI824" s="3" t="s">
        <v>867</v>
      </c>
    </row>
    <row r="825" spans="1:35" s="3" customFormat="1" x14ac:dyDescent="0.55000000000000004">
      <c r="A825" s="3">
        <v>821</v>
      </c>
      <c r="B825" s="3">
        <v>3</v>
      </c>
      <c r="C825" s="3" t="str">
        <f>VLOOKUP(B825,Eras!$A$3:$B$999,2,0)</f>
        <v>New</v>
      </c>
      <c r="D825" s="3">
        <v>1</v>
      </c>
      <c r="E825" s="3" t="str">
        <f>VLOOKUP(D825,EpisodeFormats!$A$3:$B$999,2,0)</f>
        <v>Series</v>
      </c>
      <c r="F825" s="3">
        <v>12</v>
      </c>
      <c r="G825" s="3" t="str">
        <f>VLOOKUP(F825,Doctors!$A$3:$B$999,2,0)</f>
        <v>Peter Capaldi</v>
      </c>
      <c r="H825" s="3">
        <v>9</v>
      </c>
      <c r="I825" s="3">
        <v>3</v>
      </c>
      <c r="J825" s="3" t="str">
        <f>VLOOKUP(I825,SeasonFormats!$A$3:$B$999,2,0)</f>
        <v>Series</v>
      </c>
      <c r="K825" s="3">
        <v>258</v>
      </c>
      <c r="L825" s="3">
        <v>5</v>
      </c>
      <c r="M825" s="3" t="s">
        <v>160</v>
      </c>
      <c r="N825" s="3">
        <v>2</v>
      </c>
      <c r="P825" s="3">
        <v>8</v>
      </c>
      <c r="Q825" s="7" t="d">
        <v>2015-11-07</v>
      </c>
      <c r="R825" s="3">
        <v>46</v>
      </c>
      <c r="T825" s="4" t="s">
        <v>1119</v>
      </c>
      <c r="U825" s="3" t="str" cm="1">
        <f t="array" ref="U825">_xlfn.TEXTJOIN(",",TRUE,_xlfn.XLOOKUP(_xlfn.FILTERXML("&lt;t&gt;&lt;s&gt;" &amp; SUBSTITUTE(T825,",","&lt;/s&gt;&lt;s&gt;") &amp; "&lt;/s&gt;&lt;/t&gt;", "//s"),Writers!$A$3:$A$999,Writers!$B$3:$B$999,""))</f>
        <v>Peter Harness,Steven Moffat</v>
      </c>
      <c r="W825" s="3" t="str">
        <f>IF(V825="","",_xlfn.XLOOKUP(V825,Writers!$A$3:$A$999,Writers!$B$3:$B$999,""))</f>
        <v/>
      </c>
      <c r="X825" s="3">
        <v>4.22</v>
      </c>
      <c r="Y825" s="3">
        <v>6.03</v>
      </c>
      <c r="Z825" s="3">
        <v>6.48</v>
      </c>
      <c r="AA825" s="3">
        <f t="shared" si="36"/>
        <v>4.43</v>
      </c>
      <c r="AB825" s="3">
        <f t="shared" si="37"/>
        <v>6.33</v>
      </c>
      <c r="AC825" s="3">
        <f t="shared" si="38"/>
        <v>6.8</v>
      </c>
      <c r="AD825" s="3">
        <f>VLOOKUP(YEAR(Q825),Populations!$A$3:$B$999,2,0)</f>
        <v>65110000</v>
      </c>
      <c r="AE825" s="3">
        <f>(Calculations!B1/AD825)</f>
        <v>1.0490697588696101</v>
      </c>
      <c r="AG825" s="3">
        <v>2</v>
      </c>
      <c r="AH825" s="3" t="str">
        <f>VLOOKUP(AG825,WikiFormats!$A$3:$B$999,2,0)</f>
        <v>Episode</v>
      </c>
      <c r="AI825" s="3" t="s">
        <v>868</v>
      </c>
    </row>
    <row r="826" spans="1:35" s="3" customFormat="1" x14ac:dyDescent="0.55000000000000004">
      <c r="A826" s="3">
        <v>822</v>
      </c>
      <c r="B826" s="3">
        <v>3</v>
      </c>
      <c r="C826" s="3" t="str">
        <f>VLOOKUP(B826,Eras!$A$3:$B$999,2,0)</f>
        <v>New</v>
      </c>
      <c r="D826" s="3">
        <v>1</v>
      </c>
      <c r="E826" s="3" t="str">
        <f>VLOOKUP(D826,EpisodeFormats!$A$3:$B$999,2,0)</f>
        <v>Series</v>
      </c>
      <c r="F826" s="3">
        <v>12</v>
      </c>
      <c r="G826" s="3" t="str">
        <f>VLOOKUP(F826,Doctors!$A$3:$B$999,2,0)</f>
        <v>Peter Capaldi</v>
      </c>
      <c r="H826" s="3">
        <v>9</v>
      </c>
      <c r="I826" s="3">
        <v>3</v>
      </c>
      <c r="J826" s="3" t="str">
        <f>VLOOKUP(I826,SeasonFormats!$A$3:$B$999,2,0)</f>
        <v>Series</v>
      </c>
      <c r="K826" s="3">
        <v>259</v>
      </c>
      <c r="L826" s="3">
        <v>6</v>
      </c>
      <c r="M826" s="3" t="s">
        <v>161</v>
      </c>
      <c r="N826" s="3">
        <v>1</v>
      </c>
      <c r="P826" s="3">
        <v>9</v>
      </c>
      <c r="Q826" s="7" t="d">
        <v>2015-11-14</v>
      </c>
      <c r="R826" s="3">
        <v>45</v>
      </c>
      <c r="T826" s="4" t="s">
        <v>1117</v>
      </c>
      <c r="U826" s="3" t="str" cm="1">
        <f t="array" ref="U826">_xlfn.TEXTJOIN(",",TRUE,_xlfn.XLOOKUP(_xlfn.FILTERXML("&lt;t&gt;&lt;s&gt;" &amp; SUBSTITUTE(T826,",","&lt;/s&gt;&lt;s&gt;") &amp; "&lt;/s&gt;&lt;/t&gt;", "//s"),Writers!$A$3:$A$999,Writers!$B$3:$B$999,""))</f>
        <v>Mark Gatiss</v>
      </c>
      <c r="W826" s="3" t="str">
        <f>IF(V826="","",_xlfn.XLOOKUP(V826,Writers!$A$3:$A$999,Writers!$B$3:$B$999,""))</f>
        <v/>
      </c>
      <c r="X826" s="3">
        <v>4</v>
      </c>
      <c r="Y826" s="3">
        <v>5.61</v>
      </c>
      <c r="Z826" s="3">
        <v>6.09</v>
      </c>
      <c r="AA826" s="3">
        <f t="shared" si="36"/>
        <v>4.2</v>
      </c>
      <c r="AB826" s="3">
        <f t="shared" si="37"/>
        <v>5.89</v>
      </c>
      <c r="AC826" s="3">
        <f t="shared" si="38"/>
        <v>6.39</v>
      </c>
      <c r="AD826" s="3">
        <f>VLOOKUP(YEAR(Q826),Populations!$A$3:$B$999,2,0)</f>
        <v>65110000</v>
      </c>
      <c r="AE826" s="3">
        <f>(Calculations!B1/AD826)</f>
        <v>1.0490697588696101</v>
      </c>
      <c r="AG826" s="3">
        <v>2</v>
      </c>
      <c r="AH826" s="3" t="str">
        <f>VLOOKUP(AG826,WikiFormats!$A$3:$B$999,2,0)</f>
        <v>Episode</v>
      </c>
      <c r="AI826" s="3" t="s">
        <v>869</v>
      </c>
    </row>
    <row r="827" spans="1:35" s="3" customFormat="1" x14ac:dyDescent="0.55000000000000004">
      <c r="A827" s="3">
        <v>823</v>
      </c>
      <c r="B827" s="3">
        <v>3</v>
      </c>
      <c r="C827" s="3" t="str">
        <f>VLOOKUP(B827,Eras!$A$3:$B$999,2,0)</f>
        <v>New</v>
      </c>
      <c r="D827" s="3">
        <v>1</v>
      </c>
      <c r="E827" s="3" t="str">
        <f>VLOOKUP(D827,EpisodeFormats!$A$3:$B$999,2,0)</f>
        <v>Series</v>
      </c>
      <c r="F827" s="3">
        <v>12</v>
      </c>
      <c r="G827" s="3" t="str">
        <f>VLOOKUP(F827,Doctors!$A$3:$B$999,2,0)</f>
        <v>Peter Capaldi</v>
      </c>
      <c r="H827" s="3">
        <v>9</v>
      </c>
      <c r="I827" s="3">
        <v>3</v>
      </c>
      <c r="J827" s="3" t="str">
        <f>VLOOKUP(I827,SeasonFormats!$A$3:$B$999,2,0)</f>
        <v>Series</v>
      </c>
      <c r="K827" s="3">
        <v>260</v>
      </c>
      <c r="L827" s="3">
        <v>7</v>
      </c>
      <c r="M827" s="3" t="s">
        <v>162</v>
      </c>
      <c r="N827" s="3">
        <v>1</v>
      </c>
      <c r="P827" s="3">
        <v>10</v>
      </c>
      <c r="Q827" s="7" t="d">
        <v>2015-11-21</v>
      </c>
      <c r="R827" s="3">
        <v>47</v>
      </c>
      <c r="T827" s="4" t="s">
        <v>1092</v>
      </c>
      <c r="U827" s="3" t="str" cm="1">
        <f t="array" ref="U827">_xlfn.TEXTJOIN(",",TRUE,_xlfn.XLOOKUP(_xlfn.FILTERXML("&lt;t&gt;&lt;s&gt;" &amp; SUBSTITUTE(T827,",","&lt;/s&gt;&lt;s&gt;") &amp; "&lt;/s&gt;&lt;/t&gt;", "//s"),Writers!$A$3:$A$999,Writers!$B$3:$B$999,""))</f>
        <v>Sarah Dollard</v>
      </c>
      <c r="W827" s="3" t="str">
        <f>IF(V827="","",_xlfn.XLOOKUP(V827,Writers!$A$3:$A$999,Writers!$B$3:$B$999,""))</f>
        <v/>
      </c>
      <c r="X827" s="3">
        <v>4.4800000000000004</v>
      </c>
      <c r="Y827" s="3">
        <v>6.05</v>
      </c>
      <c r="Z827" s="3">
        <v>6.55</v>
      </c>
      <c r="AA827" s="3">
        <f t="shared" si="36"/>
        <v>4.7</v>
      </c>
      <c r="AB827" s="3">
        <f t="shared" si="37"/>
        <v>6.35</v>
      </c>
      <c r="AC827" s="3">
        <f t="shared" si="38"/>
        <v>6.87</v>
      </c>
      <c r="AD827" s="3">
        <f>VLOOKUP(YEAR(Q827),Populations!$A$3:$B$999,2,0)</f>
        <v>65110000</v>
      </c>
      <c r="AE827" s="3">
        <f>(Calculations!B1/AD827)</f>
        <v>1.0490697588696101</v>
      </c>
      <c r="AG827" s="3">
        <v>2</v>
      </c>
      <c r="AH827" s="3" t="str">
        <f>VLOOKUP(AG827,WikiFormats!$A$3:$B$999,2,0)</f>
        <v>Episode</v>
      </c>
      <c r="AI827" s="3" t="s">
        <v>870</v>
      </c>
    </row>
    <row r="828" spans="1:35" s="3" customFormat="1" x14ac:dyDescent="0.55000000000000004">
      <c r="A828" s="3">
        <v>824</v>
      </c>
      <c r="B828" s="3">
        <v>3</v>
      </c>
      <c r="C828" s="3" t="str">
        <f>VLOOKUP(B828,Eras!$A$3:$B$999,2,0)</f>
        <v>New</v>
      </c>
      <c r="D828" s="3">
        <v>1</v>
      </c>
      <c r="E828" s="3" t="str">
        <f>VLOOKUP(D828,EpisodeFormats!$A$3:$B$999,2,0)</f>
        <v>Series</v>
      </c>
      <c r="F828" s="3">
        <v>12</v>
      </c>
      <c r="G828" s="3" t="str">
        <f>VLOOKUP(F828,Doctors!$A$3:$B$999,2,0)</f>
        <v>Peter Capaldi</v>
      </c>
      <c r="H828" s="3">
        <v>9</v>
      </c>
      <c r="I828" s="3">
        <v>3</v>
      </c>
      <c r="J828" s="3" t="str">
        <f>VLOOKUP(I828,SeasonFormats!$A$3:$B$999,2,0)</f>
        <v>Series</v>
      </c>
      <c r="K828" s="3">
        <v>261</v>
      </c>
      <c r="L828" s="3">
        <v>8</v>
      </c>
      <c r="M828" s="3" t="s">
        <v>163</v>
      </c>
      <c r="N828" s="3">
        <v>1</v>
      </c>
      <c r="P828" s="3">
        <v>11</v>
      </c>
      <c r="Q828" s="7" t="d">
        <v>2015-11-28</v>
      </c>
      <c r="R828" s="3">
        <v>54</v>
      </c>
      <c r="T828" s="4" t="s">
        <v>1153</v>
      </c>
      <c r="U828" s="3" t="str" cm="1">
        <f t="array" ref="U828">_xlfn.TEXTJOIN(",",TRUE,_xlfn.XLOOKUP(_xlfn.FILTERXML("&lt;t&gt;&lt;s&gt;" &amp; SUBSTITUTE(T828,",","&lt;/s&gt;&lt;s&gt;") &amp; "&lt;/s&gt;&lt;/t&gt;", "//s"),Writers!$A$3:$A$999,Writers!$B$3:$B$999,""))</f>
        <v>Steven Moffat</v>
      </c>
      <c r="W828" s="3" t="str">
        <f>IF(V828="","",_xlfn.XLOOKUP(V828,Writers!$A$3:$A$999,Writers!$B$3:$B$999,""))</f>
        <v/>
      </c>
      <c r="X828" s="3">
        <v>4.51</v>
      </c>
      <c r="Y828" s="3">
        <v>6.19</v>
      </c>
      <c r="Z828" s="3">
        <v>6.92</v>
      </c>
      <c r="AA828" s="3">
        <f t="shared" si="36"/>
        <v>4.7300000000000004</v>
      </c>
      <c r="AB828" s="3">
        <f t="shared" si="37"/>
        <v>6.49</v>
      </c>
      <c r="AC828" s="3">
        <f t="shared" si="38"/>
        <v>7.26</v>
      </c>
      <c r="AD828" s="3">
        <f>VLOOKUP(YEAR(Q828),Populations!$A$3:$B$999,2,0)</f>
        <v>65110000</v>
      </c>
      <c r="AE828" s="3">
        <f>(Calculations!B1/AD828)</f>
        <v>1.0490697588696101</v>
      </c>
      <c r="AG828" s="3">
        <v>2</v>
      </c>
      <c r="AH828" s="3" t="str">
        <f>VLOOKUP(AG828,WikiFormats!$A$3:$B$999,2,0)</f>
        <v>Episode</v>
      </c>
      <c r="AI828" s="3" t="s">
        <v>871</v>
      </c>
    </row>
    <row r="829" spans="1:35" s="3" customFormat="1" x14ac:dyDescent="0.55000000000000004">
      <c r="A829" s="3">
        <v>825</v>
      </c>
      <c r="B829" s="3">
        <v>3</v>
      </c>
      <c r="C829" s="3" t="str">
        <f>VLOOKUP(B829,Eras!$A$3:$B$999,2,0)</f>
        <v>New</v>
      </c>
      <c r="D829" s="3">
        <v>1</v>
      </c>
      <c r="E829" s="3" t="str">
        <f>VLOOKUP(D829,EpisodeFormats!$A$3:$B$999,2,0)</f>
        <v>Series</v>
      </c>
      <c r="F829" s="3">
        <v>12</v>
      </c>
      <c r="G829" s="3" t="str">
        <f>VLOOKUP(F829,Doctors!$A$3:$B$999,2,0)</f>
        <v>Peter Capaldi</v>
      </c>
      <c r="H829" s="3">
        <v>9</v>
      </c>
      <c r="I829" s="3">
        <v>3</v>
      </c>
      <c r="J829" s="3" t="str">
        <f>VLOOKUP(I829,SeasonFormats!$A$3:$B$999,2,0)</f>
        <v>Series</v>
      </c>
      <c r="K829" s="3">
        <v>262</v>
      </c>
      <c r="L829" s="3">
        <v>9</v>
      </c>
      <c r="M829" s="3" t="s">
        <v>164</v>
      </c>
      <c r="N829" s="3">
        <v>1</v>
      </c>
      <c r="P829" s="3">
        <v>12</v>
      </c>
      <c r="Q829" s="7" t="d">
        <v>2015-12-05</v>
      </c>
      <c r="R829" s="3">
        <v>60</v>
      </c>
      <c r="T829" s="4" t="s">
        <v>1153</v>
      </c>
      <c r="U829" s="3" t="str" cm="1">
        <f t="array" ref="U829">_xlfn.TEXTJOIN(",",TRUE,_xlfn.XLOOKUP(_xlfn.FILTERXML("&lt;t&gt;&lt;s&gt;" &amp; SUBSTITUTE(T829,",","&lt;/s&gt;&lt;s&gt;") &amp; "&lt;/s&gt;&lt;/t&gt;", "//s"),Writers!$A$3:$A$999,Writers!$B$3:$B$999,""))</f>
        <v>Steven Moffat</v>
      </c>
      <c r="W829" s="3" t="str">
        <f>IF(V829="","",_xlfn.XLOOKUP(V829,Writers!$A$3:$A$999,Writers!$B$3:$B$999,""))</f>
        <v/>
      </c>
      <c r="X829" s="3">
        <v>4.47</v>
      </c>
      <c r="Y829" s="3">
        <v>6.17</v>
      </c>
      <c r="Z829" s="3">
        <v>6.86</v>
      </c>
      <c r="AA829" s="3">
        <f t="shared" si="36"/>
        <v>4.6900000000000004</v>
      </c>
      <c r="AB829" s="3">
        <f t="shared" si="37"/>
        <v>6.47</v>
      </c>
      <c r="AC829" s="3">
        <f t="shared" si="38"/>
        <v>7.2</v>
      </c>
      <c r="AD829" s="3">
        <f>VLOOKUP(YEAR(Q829),Populations!$A$3:$B$999,2,0)</f>
        <v>65110000</v>
      </c>
      <c r="AE829" s="3">
        <f>(Calculations!B1/AD829)</f>
        <v>1.0490697588696101</v>
      </c>
      <c r="AG829" s="3">
        <v>2</v>
      </c>
      <c r="AH829" s="3" t="str">
        <f>VLOOKUP(AG829,WikiFormats!$A$3:$B$999,2,0)</f>
        <v>Episode</v>
      </c>
      <c r="AI829" s="3" t="s">
        <v>872</v>
      </c>
    </row>
    <row r="830" spans="1:35" x14ac:dyDescent="0.55000000000000004">
      <c r="A830">
        <v>826</v>
      </c>
      <c r="B830">
        <v>3</v>
      </c>
      <c r="C830" t="str">
        <f>VLOOKUP(B830,Eras!$A$3:$B$999,2,0)</f>
        <v>New</v>
      </c>
      <c r="D830">
        <v>2</v>
      </c>
      <c r="E830" t="str">
        <f>VLOOKUP(D830,EpisodeFormats!$A$3:$B$999,2,0)</f>
        <v>Special</v>
      </c>
      <c r="F830">
        <v>12</v>
      </c>
      <c r="G830" t="str">
        <f>VLOOKUP(F830,Doctors!$A$3:$B$999,2,0)</f>
        <v>Peter Capaldi</v>
      </c>
      <c r="I830">
        <v>4</v>
      </c>
      <c r="J830" t="str">
        <f>VLOOKUP(I830,SeasonFormats!$A$3:$B$999,2,0)</f>
        <v>Special</v>
      </c>
      <c r="K830">
        <v>263</v>
      </c>
      <c r="M830" t="s">
        <v>165</v>
      </c>
      <c r="N830">
        <v>1</v>
      </c>
      <c r="Q830" s="6" t="d">
        <v>2015-12-25</v>
      </c>
      <c r="R830">
        <v>56</v>
      </c>
      <c r="T830" s="15" t="s">
        <v>1153</v>
      </c>
      <c r="U830" t="str" cm="1">
        <f t="array" ref="U830">_xlfn.TEXTJOIN(",",TRUE,_xlfn.XLOOKUP(_xlfn.FILTERXML("&lt;t&gt;&lt;s&gt;" &amp; SUBSTITUTE(T830,",","&lt;/s&gt;&lt;s&gt;") &amp; "&lt;/s&gt;&lt;/t&gt;", "//s"),Writers!$A$3:$A$999,Writers!$B$3:$B$999,""))</f>
        <v>Steven Moffat</v>
      </c>
      <c r="W830" t="str">
        <f>IF(V830="","",_xlfn.XLOOKUP(V830,Writers!$A$3:$A$999,Writers!$B$3:$B$999,""))</f>
        <v/>
      </c>
      <c r="X830">
        <v>5.77</v>
      </c>
      <c r="Y830">
        <v>7.69</v>
      </c>
      <c r="Z830">
        <v>8.27</v>
      </c>
      <c r="AA830">
        <f t="shared" si="36"/>
        <v>6.05</v>
      </c>
      <c r="AB830">
        <f t="shared" si="37"/>
        <v>8.07</v>
      </c>
      <c r="AC830">
        <f t="shared" si="38"/>
        <v>8.68</v>
      </c>
      <c r="AD830">
        <f>VLOOKUP(YEAR(Q830),Populations!$A$3:$B$999,2,0)</f>
        <v>65110000</v>
      </c>
      <c r="AE830">
        <f>(Calculations!B1/AD830)</f>
        <v>1.0490697588696101</v>
      </c>
      <c r="AG830">
        <v>2</v>
      </c>
      <c r="AH830" t="str">
        <f>VLOOKUP(AG830,WikiFormats!$A$3:$B$999,2,0)</f>
        <v>Episode</v>
      </c>
      <c r="AI830" t="s">
        <v>873</v>
      </c>
    </row>
    <row r="831" spans="1:35" s="3" customFormat="1" x14ac:dyDescent="0.55000000000000004">
      <c r="A831" s="3">
        <v>827</v>
      </c>
      <c r="B831" s="3">
        <v>3</v>
      </c>
      <c r="C831" s="3" t="str">
        <f>VLOOKUP(B831,Eras!$A$3:$B$999,2,0)</f>
        <v>New</v>
      </c>
      <c r="D831" s="3">
        <v>2</v>
      </c>
      <c r="E831" s="3" t="str">
        <f>VLOOKUP(D831,EpisodeFormats!$A$3:$B$999,2,0)</f>
        <v>Special</v>
      </c>
      <c r="F831" s="3">
        <v>12</v>
      </c>
      <c r="G831" s="3" t="str">
        <f>VLOOKUP(F831,Doctors!$A$3:$B$999,2,0)</f>
        <v>Peter Capaldi</v>
      </c>
      <c r="I831" s="3">
        <v>4</v>
      </c>
      <c r="J831" s="3" t="str">
        <f>VLOOKUP(I831,SeasonFormats!$A$3:$B$999,2,0)</f>
        <v>Special</v>
      </c>
      <c r="K831" s="3">
        <v>264</v>
      </c>
      <c r="M831" s="3" t="s">
        <v>166</v>
      </c>
      <c r="N831" s="3">
        <v>1</v>
      </c>
      <c r="Q831" s="7" t="d">
        <v>2016-12-25</v>
      </c>
      <c r="R831" s="3">
        <v>60</v>
      </c>
      <c r="T831" s="4" t="s">
        <v>1153</v>
      </c>
      <c r="U831" s="3" t="str" cm="1">
        <f t="array" ref="U831">_xlfn.TEXTJOIN(",",TRUE,_xlfn.XLOOKUP(_xlfn.FILTERXML("&lt;t&gt;&lt;s&gt;" &amp; SUBSTITUTE(T831,",","&lt;/s&gt;&lt;s&gt;") &amp; "&lt;/s&gt;&lt;/t&gt;", "//s"),Writers!$A$3:$A$999,Writers!$B$3:$B$999,""))</f>
        <v>Steven Moffat</v>
      </c>
      <c r="W831" s="3" t="str">
        <f>IF(V831="","",_xlfn.XLOOKUP(V831,Writers!$A$3:$A$999,Writers!$B$3:$B$999,""))</f>
        <v/>
      </c>
      <c r="X831" s="3">
        <v>5.68</v>
      </c>
      <c r="Y831" s="3">
        <v>7.83</v>
      </c>
      <c r="AA831" s="3">
        <f t="shared" si="36"/>
        <v>5.91</v>
      </c>
      <c r="AB831" s="3">
        <f t="shared" si="37"/>
        <v>8.15</v>
      </c>
      <c r="AC831" s="3" t="str">
        <f t="shared" si="38"/>
        <v/>
      </c>
      <c r="AD831" s="3">
        <f>VLOOKUP(YEAR(Q831),Populations!$A$3:$B$999,2,0)</f>
        <v>65648100</v>
      </c>
      <c r="AE831" s="3">
        <f>(Calculations!B1/AD831)</f>
        <v>1.0404708133213301</v>
      </c>
      <c r="AG831" s="3">
        <v>2</v>
      </c>
      <c r="AH831" s="3" t="str">
        <f>VLOOKUP(AG831,WikiFormats!$A$3:$B$999,2,0)</f>
        <v>Episode</v>
      </c>
      <c r="AI831" s="3" t="s">
        <v>874</v>
      </c>
    </row>
    <row r="832" spans="1:35" x14ac:dyDescent="0.55000000000000004">
      <c r="A832">
        <v>828</v>
      </c>
      <c r="B832">
        <v>3</v>
      </c>
      <c r="C832" t="str">
        <f>VLOOKUP(B832,Eras!$A$3:$B$999,2,0)</f>
        <v>New</v>
      </c>
      <c r="D832">
        <v>1</v>
      </c>
      <c r="E832" t="str">
        <f>VLOOKUP(D832,EpisodeFormats!$A$3:$B$999,2,0)</f>
        <v>Series</v>
      </c>
      <c r="F832">
        <v>12</v>
      </c>
      <c r="G832" t="str">
        <f>VLOOKUP(F832,Doctors!$A$3:$B$999,2,0)</f>
        <v>Peter Capaldi</v>
      </c>
      <c r="H832">
        <v>10</v>
      </c>
      <c r="I832">
        <v>3</v>
      </c>
      <c r="J832" t="str">
        <f>VLOOKUP(I832,SeasonFormats!$A$3:$B$999,2,0)</f>
        <v>Series</v>
      </c>
      <c r="K832">
        <v>265</v>
      </c>
      <c r="L832">
        <v>1</v>
      </c>
      <c r="M832" t="s">
        <v>167</v>
      </c>
      <c r="N832">
        <v>1</v>
      </c>
      <c r="P832">
        <v>1</v>
      </c>
      <c r="Q832" s="6" t="d">
        <v>2017-04-15</v>
      </c>
      <c r="R832">
        <v>50</v>
      </c>
      <c r="T832" s="15" t="s">
        <v>1153</v>
      </c>
      <c r="U832" t="str" cm="1">
        <f t="array" ref="U832">_xlfn.TEXTJOIN(",",TRUE,_xlfn.XLOOKUP(_xlfn.FILTERXML("&lt;t&gt;&lt;s&gt;" &amp; SUBSTITUTE(T832,",","&lt;/s&gt;&lt;s&gt;") &amp; "&lt;/s&gt;&lt;/t&gt;", "//s"),Writers!$A$3:$A$999,Writers!$B$3:$B$999,""))</f>
        <v>Steven Moffat</v>
      </c>
      <c r="W832" t="str">
        <f>IF(V832="","",_xlfn.XLOOKUP(V832,Writers!$A$3:$A$999,Writers!$B$3:$B$999,""))</f>
        <v/>
      </c>
      <c r="X832">
        <v>4.6399999999999997</v>
      </c>
      <c r="Y832">
        <v>6.68</v>
      </c>
      <c r="Z832">
        <v>7.24</v>
      </c>
      <c r="AA832">
        <f t="shared" si="36"/>
        <v>4.8</v>
      </c>
      <c r="AB832">
        <f t="shared" si="37"/>
        <v>6.91</v>
      </c>
      <c r="AC832">
        <f t="shared" si="38"/>
        <v>7.49</v>
      </c>
      <c r="AD832">
        <f>VLOOKUP(YEAR(Q832),Populations!$A$3:$B$999,2,0)</f>
        <v>66040200</v>
      </c>
      <c r="AE832">
        <f>(Calculations!B1/AD832)</f>
        <v>1.0342932335153401</v>
      </c>
      <c r="AG832">
        <v>2</v>
      </c>
      <c r="AH832" t="str">
        <f>VLOOKUP(AG832,WikiFormats!$A$3:$B$999,2,0)</f>
        <v>Episode</v>
      </c>
      <c r="AI832" t="s">
        <v>875</v>
      </c>
    </row>
    <row r="833" spans="1:35" x14ac:dyDescent="0.55000000000000004">
      <c r="A833">
        <v>829</v>
      </c>
      <c r="B833">
        <v>3</v>
      </c>
      <c r="C833" t="str">
        <f>VLOOKUP(B833,Eras!$A$3:$B$999,2,0)</f>
        <v>New</v>
      </c>
      <c r="D833">
        <v>1</v>
      </c>
      <c r="E833" t="str">
        <f>VLOOKUP(D833,EpisodeFormats!$A$3:$B$999,2,0)</f>
        <v>Series</v>
      </c>
      <c r="F833">
        <v>12</v>
      </c>
      <c r="G833" t="str">
        <f>VLOOKUP(F833,Doctors!$A$3:$B$999,2,0)</f>
        <v>Peter Capaldi</v>
      </c>
      <c r="H833">
        <v>10</v>
      </c>
      <c r="I833">
        <v>3</v>
      </c>
      <c r="J833" t="str">
        <f>VLOOKUP(I833,SeasonFormats!$A$3:$B$999,2,0)</f>
        <v>Series</v>
      </c>
      <c r="K833">
        <v>266</v>
      </c>
      <c r="L833">
        <v>2</v>
      </c>
      <c r="M833" t="s">
        <v>168</v>
      </c>
      <c r="N833">
        <v>1</v>
      </c>
      <c r="P833">
        <v>2</v>
      </c>
      <c r="Q833" s="6" t="d">
        <v>2017-04-22</v>
      </c>
      <c r="R833">
        <v>46</v>
      </c>
      <c r="T833" s="15" t="s">
        <v>1096</v>
      </c>
      <c r="U833" t="str" cm="1">
        <f t="array" ref="U833">_xlfn.TEXTJOIN(",",TRUE,_xlfn.XLOOKUP(_xlfn.FILTERXML("&lt;t&gt;&lt;s&gt;" &amp; SUBSTITUTE(T833,",","&lt;/s&gt;&lt;s&gt;") &amp; "&lt;/s&gt;&lt;/t&gt;", "//s"),Writers!$A$3:$A$999,Writers!$B$3:$B$999,""))</f>
        <v>Frank Cottrell-Boyce</v>
      </c>
      <c r="W833" t="str">
        <f>IF(V833="","",_xlfn.XLOOKUP(V833,Writers!$A$3:$A$999,Writers!$B$3:$B$999,""))</f>
        <v/>
      </c>
      <c r="X833">
        <v>4.25</v>
      </c>
      <c r="Y833">
        <v>5.98</v>
      </c>
      <c r="Z833">
        <v>6.45</v>
      </c>
      <c r="AA833">
        <f t="shared" si="36"/>
        <v>4.4000000000000004</v>
      </c>
      <c r="AB833">
        <f t="shared" si="37"/>
        <v>6.19</v>
      </c>
      <c r="AC833">
        <f t="shared" si="38"/>
        <v>6.67</v>
      </c>
      <c r="AD833">
        <f>VLOOKUP(YEAR(Q833),Populations!$A$3:$B$999,2,0)</f>
        <v>66040200</v>
      </c>
      <c r="AE833">
        <f>(Calculations!B1/AD833)</f>
        <v>1.0342932335153401</v>
      </c>
      <c r="AG833">
        <v>2</v>
      </c>
      <c r="AH833" t="str">
        <f>VLOOKUP(AG833,WikiFormats!$A$3:$B$999,2,0)</f>
        <v>Episode</v>
      </c>
      <c r="AI833" t="s">
        <v>876</v>
      </c>
    </row>
    <row r="834" spans="1:35" x14ac:dyDescent="0.55000000000000004">
      <c r="A834">
        <v>830</v>
      </c>
      <c r="B834">
        <v>3</v>
      </c>
      <c r="C834" t="str">
        <f>VLOOKUP(B834,Eras!$A$3:$B$999,2,0)</f>
        <v>New</v>
      </c>
      <c r="D834">
        <v>1</v>
      </c>
      <c r="E834" t="str">
        <f>VLOOKUP(D834,EpisodeFormats!$A$3:$B$999,2,0)</f>
        <v>Series</v>
      </c>
      <c r="F834">
        <v>12</v>
      </c>
      <c r="G834" t="str">
        <f>VLOOKUP(F834,Doctors!$A$3:$B$999,2,0)</f>
        <v>Peter Capaldi</v>
      </c>
      <c r="H834">
        <v>10</v>
      </c>
      <c r="I834">
        <v>3</v>
      </c>
      <c r="J834" t="str">
        <f>VLOOKUP(I834,SeasonFormats!$A$3:$B$999,2,0)</f>
        <v>Series</v>
      </c>
      <c r="K834">
        <v>267</v>
      </c>
      <c r="L834">
        <v>3</v>
      </c>
      <c r="M834" t="s">
        <v>169</v>
      </c>
      <c r="N834">
        <v>1</v>
      </c>
      <c r="P834">
        <v>3</v>
      </c>
      <c r="Q834" s="6" t="d">
        <v>2017-04-29</v>
      </c>
      <c r="R834">
        <v>44</v>
      </c>
      <c r="T834" s="15" t="s">
        <v>1092</v>
      </c>
      <c r="U834" t="str" cm="1">
        <f t="array" ref="U834">_xlfn.TEXTJOIN(",",TRUE,_xlfn.XLOOKUP(_xlfn.FILTERXML("&lt;t&gt;&lt;s&gt;" &amp; SUBSTITUTE(T834,",","&lt;/s&gt;&lt;s&gt;") &amp; "&lt;/s&gt;&lt;/t&gt;", "//s"),Writers!$A$3:$A$999,Writers!$B$3:$B$999,""))</f>
        <v>Sarah Dollard</v>
      </c>
      <c r="W834" t="str">
        <f>IF(V834="","",_xlfn.XLOOKUP(V834,Writers!$A$3:$A$999,Writers!$B$3:$B$999,""))</f>
        <v/>
      </c>
      <c r="X834">
        <v>3.76</v>
      </c>
      <c r="Y834">
        <v>5.61</v>
      </c>
      <c r="Z834">
        <v>5.87</v>
      </c>
      <c r="AA834">
        <f t="shared" si="36"/>
        <v>3.89</v>
      </c>
      <c r="AB834">
        <f t="shared" si="37"/>
        <v>5.8</v>
      </c>
      <c r="AC834">
        <f t="shared" si="38"/>
        <v>6.07</v>
      </c>
      <c r="AD834">
        <f>VLOOKUP(YEAR(Q834),Populations!$A$3:$B$999,2,0)</f>
        <v>66040200</v>
      </c>
      <c r="AE834">
        <f>(Calculations!B1/AD834)</f>
        <v>1.0342932335153401</v>
      </c>
      <c r="AG834">
        <v>2</v>
      </c>
      <c r="AH834" t="str">
        <f>VLOOKUP(AG834,WikiFormats!$A$3:$B$999,2,0)</f>
        <v>Episode</v>
      </c>
      <c r="AI834" t="s">
        <v>877</v>
      </c>
    </row>
    <row r="835" spans="1:35" x14ac:dyDescent="0.55000000000000004">
      <c r="A835">
        <v>831</v>
      </c>
      <c r="B835">
        <v>3</v>
      </c>
      <c r="C835" t="str">
        <f>VLOOKUP(B835,Eras!$A$3:$B$999,2,0)</f>
        <v>New</v>
      </c>
      <c r="D835">
        <v>1</v>
      </c>
      <c r="E835" t="str">
        <f>VLOOKUP(D835,EpisodeFormats!$A$3:$B$999,2,0)</f>
        <v>Series</v>
      </c>
      <c r="F835">
        <v>12</v>
      </c>
      <c r="G835" t="str">
        <f>VLOOKUP(F835,Doctors!$A$3:$B$999,2,0)</f>
        <v>Peter Capaldi</v>
      </c>
      <c r="H835">
        <v>10</v>
      </c>
      <c r="I835">
        <v>3</v>
      </c>
      <c r="J835" t="str">
        <f>VLOOKUP(I835,SeasonFormats!$A$3:$B$999,2,0)</f>
        <v>Series</v>
      </c>
      <c r="K835">
        <v>268</v>
      </c>
      <c r="L835">
        <v>4</v>
      </c>
      <c r="M835" t="s">
        <v>170</v>
      </c>
      <c r="N835">
        <v>1</v>
      </c>
      <c r="P835">
        <v>4</v>
      </c>
      <c r="Q835" s="6" t="d">
        <v>2017-05-06</v>
      </c>
      <c r="R835">
        <v>44</v>
      </c>
      <c r="T835" s="15" t="s">
        <v>1077</v>
      </c>
      <c r="U835" t="str" cm="1">
        <f t="array" ref="U835">_xlfn.TEXTJOIN(",",TRUE,_xlfn.XLOOKUP(_xlfn.FILTERXML("&lt;t&gt;&lt;s&gt;" &amp; SUBSTITUTE(T835,",","&lt;/s&gt;&lt;s&gt;") &amp; "&lt;/s&gt;&lt;/t&gt;", "//s"),Writers!$A$3:$A$999,Writers!$B$3:$B$999,""))</f>
        <v>Mike Bartlett</v>
      </c>
      <c r="W835" t="str">
        <f>IF(V835="","",_xlfn.XLOOKUP(V835,Writers!$A$3:$A$999,Writers!$B$3:$B$999,""))</f>
        <v/>
      </c>
      <c r="X835">
        <v>4.32</v>
      </c>
      <c r="Y835">
        <v>5.73</v>
      </c>
      <c r="Z835">
        <v>6.2</v>
      </c>
      <c r="AA835">
        <f t="shared" si="36"/>
        <v>4.47</v>
      </c>
      <c r="AB835">
        <f t="shared" si="37"/>
        <v>5.93</v>
      </c>
      <c r="AC835">
        <f t="shared" si="38"/>
        <v>6.41</v>
      </c>
      <c r="AD835">
        <f>VLOOKUP(YEAR(Q835),Populations!$A$3:$B$999,2,0)</f>
        <v>66040200</v>
      </c>
      <c r="AE835">
        <f>(Calculations!B1/AD835)</f>
        <v>1.0342932335153401</v>
      </c>
      <c r="AG835">
        <v>2</v>
      </c>
      <c r="AH835" t="str">
        <f>VLOOKUP(AG835,WikiFormats!$A$3:$B$999,2,0)</f>
        <v>Episode</v>
      </c>
      <c r="AI835" t="s">
        <v>878</v>
      </c>
    </row>
    <row r="836" spans="1:35" x14ac:dyDescent="0.55000000000000004">
      <c r="A836">
        <v>832</v>
      </c>
      <c r="B836">
        <v>3</v>
      </c>
      <c r="C836" t="str">
        <f>VLOOKUP(B836,Eras!$A$3:$B$999,2,0)</f>
        <v>New</v>
      </c>
      <c r="D836">
        <v>1</v>
      </c>
      <c r="E836" t="str">
        <f>VLOOKUP(D836,EpisodeFormats!$A$3:$B$999,2,0)</f>
        <v>Series</v>
      </c>
      <c r="F836">
        <v>12</v>
      </c>
      <c r="G836" t="str">
        <f>VLOOKUP(F836,Doctors!$A$3:$B$999,2,0)</f>
        <v>Peter Capaldi</v>
      </c>
      <c r="H836">
        <v>10</v>
      </c>
      <c r="I836">
        <v>3</v>
      </c>
      <c r="J836" t="str">
        <f>VLOOKUP(I836,SeasonFormats!$A$3:$B$999,2,0)</f>
        <v>Series</v>
      </c>
      <c r="K836">
        <v>269</v>
      </c>
      <c r="L836">
        <v>5</v>
      </c>
      <c r="M836" t="s">
        <v>171</v>
      </c>
      <c r="N836">
        <v>1</v>
      </c>
      <c r="P836">
        <v>5</v>
      </c>
      <c r="Q836" s="6" t="d">
        <v>2017-05-13</v>
      </c>
      <c r="R836">
        <v>45</v>
      </c>
      <c r="T836" s="15" t="s">
        <v>1141</v>
      </c>
      <c r="U836" t="str" cm="1">
        <f t="array" ref="U836">_xlfn.TEXTJOIN(",",TRUE,_xlfn.XLOOKUP(_xlfn.FILTERXML("&lt;t&gt;&lt;s&gt;" &amp; SUBSTITUTE(T836,",","&lt;/s&gt;&lt;s&gt;") &amp; "&lt;/s&gt;&lt;/t&gt;", "//s"),Writers!$A$3:$A$999,Writers!$B$3:$B$999,""))</f>
        <v>Jamie Mathieson</v>
      </c>
      <c r="W836" t="str">
        <f>IF(V836="","",_xlfn.XLOOKUP(V836,Writers!$A$3:$A$999,Writers!$B$3:$B$999,""))</f>
        <v/>
      </c>
      <c r="X836">
        <v>3.57</v>
      </c>
      <c r="Y836">
        <v>5.27</v>
      </c>
      <c r="Z836">
        <v>5.85</v>
      </c>
      <c r="AA836">
        <f t="shared" ref="AA836:AA888" si="39">IF(ISBLANK(X836),"",ROUND(X836*AE836,2))</f>
        <v>3.69</v>
      </c>
      <c r="AB836">
        <f t="shared" ref="AB836:AB887" si="40">IF(ISBLANK(Y836),"",ROUND(Y836*AE836,2))</f>
        <v>5.45</v>
      </c>
      <c r="AC836">
        <f t="shared" ref="AC836:AC887" si="41">IF(ISBLANK(Z836),"",ROUND(Z836*AE836,2))</f>
        <v>6.05</v>
      </c>
      <c r="AD836">
        <f>VLOOKUP(YEAR(Q836),Populations!$A$3:$B$999,2,0)</f>
        <v>66040200</v>
      </c>
      <c r="AE836">
        <f>(Calculations!B1/AD836)</f>
        <v>1.0342932335153401</v>
      </c>
      <c r="AG836">
        <v>2</v>
      </c>
      <c r="AH836" t="str">
        <f>VLOOKUP(AG836,WikiFormats!$A$3:$B$999,2,0)</f>
        <v>Episode</v>
      </c>
      <c r="AI836" t="s">
        <v>879</v>
      </c>
    </row>
    <row r="837" spans="1:35" x14ac:dyDescent="0.55000000000000004">
      <c r="A837">
        <v>833</v>
      </c>
      <c r="B837">
        <v>3</v>
      </c>
      <c r="C837" t="str">
        <f>VLOOKUP(B837,Eras!$A$3:$B$999,2,0)</f>
        <v>New</v>
      </c>
      <c r="D837">
        <v>1</v>
      </c>
      <c r="E837" t="str">
        <f>VLOOKUP(D837,EpisodeFormats!$A$3:$B$999,2,0)</f>
        <v>Series</v>
      </c>
      <c r="F837">
        <v>12</v>
      </c>
      <c r="G837" t="str">
        <f>VLOOKUP(F837,Doctors!$A$3:$B$999,2,0)</f>
        <v>Peter Capaldi</v>
      </c>
      <c r="H837">
        <v>10</v>
      </c>
      <c r="I837">
        <v>3</v>
      </c>
      <c r="J837" t="str">
        <f>VLOOKUP(I837,SeasonFormats!$A$3:$B$999,2,0)</f>
        <v>Series</v>
      </c>
      <c r="K837">
        <v>270</v>
      </c>
      <c r="L837">
        <v>6</v>
      </c>
      <c r="M837" t="s">
        <v>172</v>
      </c>
      <c r="N837">
        <v>1</v>
      </c>
      <c r="P837">
        <v>6</v>
      </c>
      <c r="Q837" s="6" t="d">
        <v>2017-05-20</v>
      </c>
      <c r="R837">
        <v>49</v>
      </c>
      <c r="T837" s="15" t="s">
        <v>1153</v>
      </c>
      <c r="U837" t="str" cm="1">
        <f t="array" ref="U837">_xlfn.TEXTJOIN(",",TRUE,_xlfn.XLOOKUP(_xlfn.FILTERXML("&lt;t&gt;&lt;s&gt;" &amp; SUBSTITUTE(T837,",","&lt;/s&gt;&lt;s&gt;") &amp; "&lt;/s&gt;&lt;/t&gt;", "//s"),Writers!$A$3:$A$999,Writers!$B$3:$B$999,""))</f>
        <v>Steven Moffat</v>
      </c>
      <c r="W837" t="str">
        <f>IF(V837="","",_xlfn.XLOOKUP(V837,Writers!$A$3:$A$999,Writers!$B$3:$B$999,""))</f>
        <v/>
      </c>
      <c r="X837">
        <v>4.16</v>
      </c>
      <c r="Y837">
        <v>5.53</v>
      </c>
      <c r="Z837">
        <v>5.97</v>
      </c>
      <c r="AA837">
        <f t="shared" si="39"/>
        <v>4.3</v>
      </c>
      <c r="AB837">
        <f t="shared" si="40"/>
        <v>5.72</v>
      </c>
      <c r="AC837">
        <f t="shared" si="41"/>
        <v>6.17</v>
      </c>
      <c r="AD837">
        <f>VLOOKUP(YEAR(Q837),Populations!$A$3:$B$999,2,0)</f>
        <v>66040200</v>
      </c>
      <c r="AE837">
        <f>(Calculations!B1/AD837)</f>
        <v>1.0342932335153401</v>
      </c>
      <c r="AG837">
        <v>2</v>
      </c>
      <c r="AH837" t="str">
        <f>VLOOKUP(AG837,WikiFormats!$A$3:$B$999,2,0)</f>
        <v>Episode</v>
      </c>
      <c r="AI837" t="s">
        <v>880</v>
      </c>
    </row>
    <row r="838" spans="1:35" x14ac:dyDescent="0.55000000000000004">
      <c r="A838">
        <v>834</v>
      </c>
      <c r="B838">
        <v>3</v>
      </c>
      <c r="C838" t="str">
        <f>VLOOKUP(B838,Eras!$A$3:$B$999,2,0)</f>
        <v>New</v>
      </c>
      <c r="D838">
        <v>1</v>
      </c>
      <c r="E838" t="str">
        <f>VLOOKUP(D838,EpisodeFormats!$A$3:$B$999,2,0)</f>
        <v>Series</v>
      </c>
      <c r="F838">
        <v>12</v>
      </c>
      <c r="G838" t="str">
        <f>VLOOKUP(F838,Doctors!$A$3:$B$999,2,0)</f>
        <v>Peter Capaldi</v>
      </c>
      <c r="H838">
        <v>10</v>
      </c>
      <c r="I838">
        <v>3</v>
      </c>
      <c r="J838" t="str">
        <f>VLOOKUP(I838,SeasonFormats!$A$3:$B$999,2,0)</f>
        <v>Series</v>
      </c>
      <c r="K838">
        <v>271</v>
      </c>
      <c r="L838">
        <v>7</v>
      </c>
      <c r="M838" t="s">
        <v>173</v>
      </c>
      <c r="N838">
        <v>1</v>
      </c>
      <c r="P838">
        <v>7</v>
      </c>
      <c r="Q838" s="6" t="d">
        <v>2017-05-27</v>
      </c>
      <c r="R838">
        <v>46</v>
      </c>
      <c r="T838" s="15" t="s">
        <v>1119</v>
      </c>
      <c r="U838" t="str" cm="1">
        <f t="array" ref="U838">_xlfn.TEXTJOIN(",",TRUE,_xlfn.XLOOKUP(_xlfn.FILTERXML("&lt;t&gt;&lt;s&gt;" &amp; SUBSTITUTE(T838,",","&lt;/s&gt;&lt;s&gt;") &amp; "&lt;/s&gt;&lt;/t&gt;", "//s"),Writers!$A$3:$A$999,Writers!$B$3:$B$999,""))</f>
        <v>Peter Harness,Steven Moffat</v>
      </c>
      <c r="W838" t="str">
        <f>IF(V838="","",_xlfn.XLOOKUP(V838,Writers!$A$3:$A$999,Writers!$B$3:$B$999,""))</f>
        <v/>
      </c>
      <c r="X838">
        <v>4.01</v>
      </c>
      <c r="Y838">
        <v>5.79</v>
      </c>
      <c r="Z838">
        <v>6.16</v>
      </c>
      <c r="AA838">
        <f t="shared" si="39"/>
        <v>4.1500000000000004</v>
      </c>
      <c r="AB838">
        <f t="shared" si="40"/>
        <v>5.99</v>
      </c>
      <c r="AC838">
        <f t="shared" si="41"/>
        <v>6.37</v>
      </c>
      <c r="AD838">
        <f>VLOOKUP(YEAR(Q838),Populations!$A$3:$B$999,2,0)</f>
        <v>66040200</v>
      </c>
      <c r="AE838">
        <f>(Calculations!B1/AD838)</f>
        <v>1.0342932335153401</v>
      </c>
      <c r="AG838">
        <v>2</v>
      </c>
      <c r="AH838" t="str">
        <f>VLOOKUP(AG838,WikiFormats!$A$3:$B$999,2,0)</f>
        <v>Episode</v>
      </c>
      <c r="AI838" t="s">
        <v>881</v>
      </c>
    </row>
    <row r="839" spans="1:35" x14ac:dyDescent="0.55000000000000004">
      <c r="A839">
        <v>835</v>
      </c>
      <c r="B839">
        <v>3</v>
      </c>
      <c r="C839" t="str">
        <f>VLOOKUP(B839,Eras!$A$3:$B$999,2,0)</f>
        <v>New</v>
      </c>
      <c r="D839">
        <v>1</v>
      </c>
      <c r="E839" t="str">
        <f>VLOOKUP(D839,EpisodeFormats!$A$3:$B$999,2,0)</f>
        <v>Series</v>
      </c>
      <c r="F839">
        <v>12</v>
      </c>
      <c r="G839" t="str">
        <f>VLOOKUP(F839,Doctors!$A$3:$B$999,2,0)</f>
        <v>Peter Capaldi</v>
      </c>
      <c r="H839">
        <v>10</v>
      </c>
      <c r="I839">
        <v>3</v>
      </c>
      <c r="J839" t="str">
        <f>VLOOKUP(I839,SeasonFormats!$A$3:$B$999,2,0)</f>
        <v>Series</v>
      </c>
      <c r="K839">
        <v>272</v>
      </c>
      <c r="L839">
        <v>8</v>
      </c>
      <c r="M839" t="s">
        <v>174</v>
      </c>
      <c r="N839">
        <v>1</v>
      </c>
      <c r="P839">
        <v>8</v>
      </c>
      <c r="Q839" s="6" t="d">
        <v>2017-06-03</v>
      </c>
      <c r="R839">
        <v>45</v>
      </c>
      <c r="T839" s="15" t="s">
        <v>1177</v>
      </c>
      <c r="U839" t="str" cm="1">
        <f t="array" ref="U839">_xlfn.TEXTJOIN(",",TRUE,_xlfn.XLOOKUP(_xlfn.FILTERXML("&lt;t&gt;&lt;s&gt;" &amp; SUBSTITUTE(T839,",","&lt;/s&gt;&lt;s&gt;") &amp; "&lt;/s&gt;&lt;/t&gt;", "//s"),Writers!$A$3:$A$999,Writers!$B$3:$B$999,""))</f>
        <v>Toby Whithouse</v>
      </c>
      <c r="W839" t="str">
        <f>IF(V839="","",_xlfn.XLOOKUP(V839,Writers!$A$3:$A$999,Writers!$B$3:$B$999,""))</f>
        <v/>
      </c>
      <c r="X839">
        <v>3.01</v>
      </c>
      <c r="Y839">
        <v>4.82</v>
      </c>
      <c r="Z839">
        <v>5.29</v>
      </c>
      <c r="AA839">
        <f t="shared" si="39"/>
        <v>3.11</v>
      </c>
      <c r="AB839">
        <f t="shared" si="40"/>
        <v>4.99</v>
      </c>
      <c r="AC839">
        <f t="shared" si="41"/>
        <v>5.47</v>
      </c>
      <c r="AD839">
        <f>VLOOKUP(YEAR(Q839),Populations!$A$3:$B$999,2,0)</f>
        <v>66040200</v>
      </c>
      <c r="AE839">
        <f>(Calculations!B1/AD839)</f>
        <v>1.0342932335153401</v>
      </c>
      <c r="AG839">
        <v>2</v>
      </c>
      <c r="AH839" t="str">
        <f>VLOOKUP(AG839,WikiFormats!$A$3:$B$999,2,0)</f>
        <v>Episode</v>
      </c>
      <c r="AI839" t="s">
        <v>882</v>
      </c>
    </row>
    <row r="840" spans="1:35" x14ac:dyDescent="0.55000000000000004">
      <c r="A840">
        <v>836</v>
      </c>
      <c r="B840">
        <v>3</v>
      </c>
      <c r="C840" t="str">
        <f>VLOOKUP(B840,Eras!$A$3:$B$999,2,0)</f>
        <v>New</v>
      </c>
      <c r="D840">
        <v>1</v>
      </c>
      <c r="E840" t="str">
        <f>VLOOKUP(D840,EpisodeFormats!$A$3:$B$999,2,0)</f>
        <v>Series</v>
      </c>
      <c r="F840">
        <v>12</v>
      </c>
      <c r="G840" t="str">
        <f>VLOOKUP(F840,Doctors!$A$3:$B$999,2,0)</f>
        <v>Peter Capaldi</v>
      </c>
      <c r="H840">
        <v>10</v>
      </c>
      <c r="I840">
        <v>3</v>
      </c>
      <c r="J840" t="str">
        <f>VLOOKUP(I840,SeasonFormats!$A$3:$B$999,2,0)</f>
        <v>Series</v>
      </c>
      <c r="K840">
        <v>273</v>
      </c>
      <c r="L840">
        <v>9</v>
      </c>
      <c r="M840" t="s">
        <v>175</v>
      </c>
      <c r="N840">
        <v>1</v>
      </c>
      <c r="P840">
        <v>9</v>
      </c>
      <c r="Q840" s="6" t="d">
        <v>2017-06-10</v>
      </c>
      <c r="R840">
        <v>44</v>
      </c>
      <c r="T840" s="15" t="s">
        <v>1117</v>
      </c>
      <c r="U840" t="str" cm="1">
        <f t="array" ref="U840">_xlfn.TEXTJOIN(",",TRUE,_xlfn.XLOOKUP(_xlfn.FILTERXML("&lt;t&gt;&lt;s&gt;" &amp; SUBSTITUTE(T840,",","&lt;/s&gt;&lt;s&gt;") &amp; "&lt;/s&gt;&lt;/t&gt;", "//s"),Writers!$A$3:$A$999,Writers!$B$3:$B$999,""))</f>
        <v>Mark Gatiss</v>
      </c>
      <c r="W840" t="str">
        <f>IF(V840="","",_xlfn.XLOOKUP(V840,Writers!$A$3:$A$999,Writers!$B$3:$B$999,""))</f>
        <v/>
      </c>
      <c r="X840">
        <v>3.58</v>
      </c>
      <c r="Y840">
        <v>5.0199999999999996</v>
      </c>
      <c r="Z840">
        <v>5.54</v>
      </c>
      <c r="AA840">
        <f t="shared" si="39"/>
        <v>3.7</v>
      </c>
      <c r="AB840">
        <f t="shared" si="40"/>
        <v>5.19</v>
      </c>
      <c r="AC840">
        <f t="shared" si="41"/>
        <v>5.73</v>
      </c>
      <c r="AD840">
        <f>VLOOKUP(YEAR(Q840),Populations!$A$3:$B$999,2,0)</f>
        <v>66040200</v>
      </c>
      <c r="AE840">
        <f>(Calculations!B1/AD840)</f>
        <v>1.0342932335153401</v>
      </c>
      <c r="AG840">
        <v>2</v>
      </c>
      <c r="AH840" t="str">
        <f>VLOOKUP(AG840,WikiFormats!$A$3:$B$999,2,0)</f>
        <v>Episode</v>
      </c>
      <c r="AI840" t="s">
        <v>883</v>
      </c>
    </row>
    <row r="841" spans="1:35" x14ac:dyDescent="0.55000000000000004">
      <c r="A841">
        <v>837</v>
      </c>
      <c r="B841">
        <v>3</v>
      </c>
      <c r="C841" t="str">
        <f>VLOOKUP(B841,Eras!$A$3:$B$999,2,0)</f>
        <v>New</v>
      </c>
      <c r="D841">
        <v>1</v>
      </c>
      <c r="E841" t="str">
        <f>VLOOKUP(D841,EpisodeFormats!$A$3:$B$999,2,0)</f>
        <v>Series</v>
      </c>
      <c r="F841">
        <v>12</v>
      </c>
      <c r="G841" t="str">
        <f>VLOOKUP(F841,Doctors!$A$3:$B$999,2,0)</f>
        <v>Peter Capaldi</v>
      </c>
      <c r="H841">
        <v>10</v>
      </c>
      <c r="I841">
        <v>3</v>
      </c>
      <c r="J841" t="str">
        <f>VLOOKUP(I841,SeasonFormats!$A$3:$B$999,2,0)</f>
        <v>Series</v>
      </c>
      <c r="K841">
        <v>274</v>
      </c>
      <c r="L841">
        <v>10</v>
      </c>
      <c r="M841" t="s">
        <v>176</v>
      </c>
      <c r="N841">
        <v>1</v>
      </c>
      <c r="P841">
        <v>10</v>
      </c>
      <c r="Q841" s="6" t="d">
        <v>2017-06-17</v>
      </c>
      <c r="R841">
        <v>42</v>
      </c>
      <c r="T841" s="15" t="s">
        <v>1131</v>
      </c>
      <c r="U841" t="str" cm="1">
        <f t="array" ref="U841">_xlfn.TEXTJOIN(",",TRUE,_xlfn.XLOOKUP(_xlfn.FILTERXML("&lt;t&gt;&lt;s&gt;" &amp; SUBSTITUTE(T841,",","&lt;/s&gt;&lt;s&gt;") &amp; "&lt;/s&gt;&lt;/t&gt;", "//s"),Writers!$A$3:$A$999,Writers!$B$3:$B$999,""))</f>
        <v>Rona Munro</v>
      </c>
      <c r="W841" t="str">
        <f>IF(V841="","",_xlfn.XLOOKUP(V841,Writers!$A$3:$A$999,Writers!$B$3:$B$999,""))</f>
        <v/>
      </c>
      <c r="X841">
        <v>2.89</v>
      </c>
      <c r="Y841">
        <v>4.7300000000000004</v>
      </c>
      <c r="Z841">
        <v>5.12</v>
      </c>
      <c r="AA841">
        <f t="shared" si="39"/>
        <v>2.99</v>
      </c>
      <c r="AB841">
        <f t="shared" si="40"/>
        <v>4.8899999999999997</v>
      </c>
      <c r="AC841">
        <f t="shared" si="41"/>
        <v>5.3</v>
      </c>
      <c r="AD841">
        <f>VLOOKUP(YEAR(Q841),Populations!$A$3:$B$999,2,0)</f>
        <v>66040200</v>
      </c>
      <c r="AE841">
        <f>(Calculations!B1/AD841)</f>
        <v>1.0342932335153401</v>
      </c>
      <c r="AG841">
        <v>2</v>
      </c>
      <c r="AH841" t="str">
        <f>VLOOKUP(AG841,WikiFormats!$A$3:$B$999,2,0)</f>
        <v>Episode</v>
      </c>
      <c r="AI841" t="s">
        <v>884</v>
      </c>
    </row>
    <row r="842" spans="1:35" x14ac:dyDescent="0.55000000000000004">
      <c r="A842">
        <v>838</v>
      </c>
      <c r="B842">
        <v>3</v>
      </c>
      <c r="C842" t="str">
        <f>VLOOKUP(B842,Eras!$A$3:$B$999,2,0)</f>
        <v>New</v>
      </c>
      <c r="D842">
        <v>1</v>
      </c>
      <c r="E842" t="str">
        <f>VLOOKUP(D842,EpisodeFormats!$A$3:$B$999,2,0)</f>
        <v>Series</v>
      </c>
      <c r="F842">
        <v>12</v>
      </c>
      <c r="G842" t="str">
        <f>VLOOKUP(F842,Doctors!$A$3:$B$999,2,0)</f>
        <v>Peter Capaldi</v>
      </c>
      <c r="H842">
        <v>10</v>
      </c>
      <c r="I842">
        <v>3</v>
      </c>
      <c r="J842" t="str">
        <f>VLOOKUP(I842,SeasonFormats!$A$3:$B$999,2,0)</f>
        <v>Series</v>
      </c>
      <c r="K842">
        <v>275</v>
      </c>
      <c r="L842">
        <v>11</v>
      </c>
      <c r="M842" t="s">
        <v>177</v>
      </c>
      <c r="N842">
        <v>1</v>
      </c>
      <c r="P842">
        <v>11</v>
      </c>
      <c r="Q842" s="6" t="d">
        <v>2017-06-24</v>
      </c>
      <c r="R842">
        <v>46</v>
      </c>
      <c r="T842" s="15" t="s">
        <v>1153</v>
      </c>
      <c r="U842" t="str" cm="1">
        <f t="array" ref="U842">_xlfn.TEXTJOIN(",",TRUE,_xlfn.XLOOKUP(_xlfn.FILTERXML("&lt;t&gt;&lt;s&gt;" &amp; SUBSTITUTE(T842,",","&lt;/s&gt;&lt;s&gt;") &amp; "&lt;/s&gt;&lt;/t&gt;", "//s"),Writers!$A$3:$A$999,Writers!$B$3:$B$999,""))</f>
        <v>Steven Moffat</v>
      </c>
      <c r="W842" t="str">
        <f>IF(V842="","",_xlfn.XLOOKUP(V842,Writers!$A$3:$A$999,Writers!$B$3:$B$999,""))</f>
        <v/>
      </c>
      <c r="X842">
        <v>3.37</v>
      </c>
      <c r="Y842">
        <v>5</v>
      </c>
      <c r="Z842">
        <v>5.3</v>
      </c>
      <c r="AA842">
        <f t="shared" si="39"/>
        <v>3.49</v>
      </c>
      <c r="AB842">
        <f t="shared" si="40"/>
        <v>5.17</v>
      </c>
      <c r="AC842">
        <f t="shared" si="41"/>
        <v>5.48</v>
      </c>
      <c r="AD842">
        <f>VLOOKUP(YEAR(Q842),Populations!$A$3:$B$999,2,0)</f>
        <v>66040200</v>
      </c>
      <c r="AE842">
        <f>(Calculations!B1/AD842)</f>
        <v>1.0342932335153401</v>
      </c>
      <c r="AG842">
        <v>2</v>
      </c>
      <c r="AH842" t="str">
        <f>VLOOKUP(AG842,WikiFormats!$A$3:$B$999,2,0)</f>
        <v>Episode</v>
      </c>
      <c r="AI842" t="s">
        <v>885</v>
      </c>
    </row>
    <row r="843" spans="1:35" x14ac:dyDescent="0.55000000000000004">
      <c r="A843">
        <v>839</v>
      </c>
      <c r="B843">
        <v>3</v>
      </c>
      <c r="C843" t="str">
        <f>VLOOKUP(B843,Eras!$A$3:$B$999,2,0)</f>
        <v>New</v>
      </c>
      <c r="D843">
        <v>1</v>
      </c>
      <c r="E843" t="str">
        <f>VLOOKUP(D843,EpisodeFormats!$A$3:$B$999,2,0)</f>
        <v>Series</v>
      </c>
      <c r="F843">
        <v>12</v>
      </c>
      <c r="G843" t="str">
        <f>VLOOKUP(F843,Doctors!$A$3:$B$999,2,0)</f>
        <v>Peter Capaldi</v>
      </c>
      <c r="H843">
        <v>10</v>
      </c>
      <c r="I843">
        <v>3</v>
      </c>
      <c r="J843" t="str">
        <f>VLOOKUP(I843,SeasonFormats!$A$3:$B$999,2,0)</f>
        <v>Series</v>
      </c>
      <c r="K843">
        <v>275</v>
      </c>
      <c r="L843">
        <v>11</v>
      </c>
      <c r="M843" t="s">
        <v>178</v>
      </c>
      <c r="N843">
        <v>2</v>
      </c>
      <c r="P843">
        <v>12</v>
      </c>
      <c r="Q843" s="6" t="d">
        <v>2017-07-01</v>
      </c>
      <c r="R843">
        <v>60</v>
      </c>
      <c r="T843" s="15" t="s">
        <v>1153</v>
      </c>
      <c r="U843" t="str" cm="1">
        <f t="array" ref="U843">_xlfn.TEXTJOIN(",",TRUE,_xlfn.XLOOKUP(_xlfn.FILTERXML("&lt;t&gt;&lt;s&gt;" &amp; SUBSTITUTE(T843,",","&lt;/s&gt;&lt;s&gt;") &amp; "&lt;/s&gt;&lt;/t&gt;", "//s"),Writers!$A$3:$A$999,Writers!$B$3:$B$999,""))</f>
        <v>Steven Moffat</v>
      </c>
      <c r="W843" t="str">
        <f>IF(V843="","",_xlfn.XLOOKUP(V843,Writers!$A$3:$A$999,Writers!$B$3:$B$999,""))</f>
        <v/>
      </c>
      <c r="X843">
        <v>3.75</v>
      </c>
      <c r="Y843">
        <v>5.3</v>
      </c>
      <c r="Z843">
        <v>5.6</v>
      </c>
      <c r="AA843">
        <f t="shared" si="39"/>
        <v>3.88</v>
      </c>
      <c r="AB843">
        <f t="shared" si="40"/>
        <v>5.48</v>
      </c>
      <c r="AC843">
        <f t="shared" si="41"/>
        <v>5.79</v>
      </c>
      <c r="AD843">
        <f>VLOOKUP(YEAR(Q843),Populations!$A$3:$B$999,2,0)</f>
        <v>66040200</v>
      </c>
      <c r="AE843">
        <f>(Calculations!B1/AD843)</f>
        <v>1.0342932335153401</v>
      </c>
      <c r="AG843">
        <v>2</v>
      </c>
      <c r="AH843" t="str">
        <f>VLOOKUP(AG843,WikiFormats!$A$3:$B$999,2,0)</f>
        <v>Episode</v>
      </c>
      <c r="AI843" t="s">
        <v>886</v>
      </c>
    </row>
    <row r="844" spans="1:35" s="3" customFormat="1" x14ac:dyDescent="0.55000000000000004">
      <c r="A844" s="3">
        <v>840</v>
      </c>
      <c r="B844" s="3">
        <v>3</v>
      </c>
      <c r="C844" s="3" t="str">
        <f>VLOOKUP(B844,Eras!$A$3:$B$999,2,0)</f>
        <v>New</v>
      </c>
      <c r="D844" s="3">
        <v>2</v>
      </c>
      <c r="E844" s="3" t="str">
        <f>VLOOKUP(D844,EpisodeFormats!$A$3:$B$999,2,0)</f>
        <v>Special</v>
      </c>
      <c r="F844" s="3">
        <v>12</v>
      </c>
      <c r="G844" s="3" t="str">
        <f>VLOOKUP(F844,Doctors!$A$3:$B$999,2,0)</f>
        <v>Peter Capaldi</v>
      </c>
      <c r="I844" s="3">
        <v>4</v>
      </c>
      <c r="J844" s="3" t="str">
        <f>VLOOKUP(I844,SeasonFormats!$A$3:$B$999,2,0)</f>
        <v>Special</v>
      </c>
      <c r="K844" s="3">
        <v>276</v>
      </c>
      <c r="M844" s="3" t="s">
        <v>179</v>
      </c>
      <c r="N844" s="3">
        <v>1</v>
      </c>
      <c r="Q844" s="7" t="d">
        <v>2017-12-25</v>
      </c>
      <c r="R844" s="3">
        <v>60</v>
      </c>
      <c r="T844" s="4" t="s">
        <v>1153</v>
      </c>
      <c r="U844" s="3" t="str" cm="1">
        <f t="array" ref="U844">_xlfn.TEXTJOIN(",",TRUE,_xlfn.XLOOKUP(_xlfn.FILTERXML("&lt;t&gt;&lt;s&gt;" &amp; SUBSTITUTE(T844,",","&lt;/s&gt;&lt;s&gt;") &amp; "&lt;/s&gt;&lt;/t&gt;", "//s"),Writers!$A$3:$A$999,Writers!$B$3:$B$999,""))</f>
        <v>Steven Moffat</v>
      </c>
      <c r="W844" s="3" t="str">
        <f>IF(V844="","",_xlfn.XLOOKUP(V844,Writers!$A$3:$A$999,Writers!$B$3:$B$999,""))</f>
        <v/>
      </c>
      <c r="X844" s="3">
        <v>5.7</v>
      </c>
      <c r="Y844" s="3">
        <v>7.92</v>
      </c>
      <c r="AA844" s="3">
        <f t="shared" si="39"/>
        <v>5.9</v>
      </c>
      <c r="AB844" s="3">
        <f t="shared" si="40"/>
        <v>8.19</v>
      </c>
      <c r="AC844" s="3" t="str">
        <f t="shared" si="41"/>
        <v/>
      </c>
      <c r="AD844" s="3">
        <f>VLOOKUP(YEAR(Q844),Populations!$A$3:$B$999,2,0)</f>
        <v>66040200</v>
      </c>
      <c r="AE844" s="3">
        <f>(Calculations!B1/AD844)</f>
        <v>1.0342932335153401</v>
      </c>
      <c r="AG844" s="3">
        <v>2</v>
      </c>
      <c r="AH844" s="3" t="str">
        <f>VLOOKUP(AG844,WikiFormats!$A$3:$B$999,2,0)</f>
        <v>Episode</v>
      </c>
      <c r="AI844" s="3" t="s">
        <v>887</v>
      </c>
    </row>
    <row r="845" spans="1:35" x14ac:dyDescent="0.55000000000000004">
      <c r="A845">
        <v>841</v>
      </c>
      <c r="B845">
        <v>3</v>
      </c>
      <c r="C845" t="str">
        <f>VLOOKUP(B845,Eras!$A$3:$B$999,2,0)</f>
        <v>New</v>
      </c>
      <c r="D845">
        <v>1</v>
      </c>
      <c r="E845" t="str">
        <f>VLOOKUP(D845,EpisodeFormats!$A$3:$B$999,2,0)</f>
        <v>Series</v>
      </c>
      <c r="F845">
        <v>13</v>
      </c>
      <c r="G845" t="str">
        <f>VLOOKUP(F845,Doctors!$A$3:$B$999,2,0)</f>
        <v>Jodie Whittaker</v>
      </c>
      <c r="H845">
        <v>11</v>
      </c>
      <c r="I845">
        <v>3</v>
      </c>
      <c r="J845" t="str">
        <f>VLOOKUP(I845,SeasonFormats!$A$3:$B$999,2,0)</f>
        <v>Series</v>
      </c>
      <c r="K845">
        <v>277</v>
      </c>
      <c r="L845">
        <v>1</v>
      </c>
      <c r="M845" t="s">
        <v>180</v>
      </c>
      <c r="N845">
        <v>1</v>
      </c>
      <c r="P845">
        <v>1</v>
      </c>
      <c r="Q845" s="6" t="d">
        <v>2018-10-07</v>
      </c>
      <c r="R845">
        <v>63</v>
      </c>
      <c r="T845" s="15" t="s">
        <v>1084</v>
      </c>
      <c r="U845" t="str" cm="1">
        <f t="array" ref="U845">_xlfn.TEXTJOIN(",",TRUE,_xlfn.XLOOKUP(_xlfn.FILTERXML("&lt;t&gt;&lt;s&gt;" &amp; SUBSTITUTE(T845,",","&lt;/s&gt;&lt;s&gt;") &amp; "&lt;/s&gt;&lt;/t&gt;", "//s"),Writers!$A$3:$A$999,Writers!$B$3:$B$999,""))</f>
        <v>Chris Chibnall</v>
      </c>
      <c r="W845" t="str">
        <f>IF(V845="","",_xlfn.XLOOKUP(V845,Writers!$A$3:$A$999,Writers!$B$3:$B$999,""))</f>
        <v/>
      </c>
      <c r="X845">
        <v>8.1999999999999993</v>
      </c>
      <c r="Y845">
        <v>10.54</v>
      </c>
      <c r="Z845">
        <v>10.96</v>
      </c>
      <c r="AA845">
        <f t="shared" si="39"/>
        <v>8.43</v>
      </c>
      <c r="AB845">
        <f t="shared" si="40"/>
        <v>10.84</v>
      </c>
      <c r="AC845">
        <f t="shared" si="41"/>
        <v>11.27</v>
      </c>
      <c r="AD845">
        <f>VLOOKUP(YEAR(Q845),Populations!$A$3:$B$999,2,0)</f>
        <v>66435600</v>
      </c>
      <c r="AE845">
        <f>(Calculations!B1/AD845)</f>
        <v>1.02813750459091</v>
      </c>
      <c r="AG845">
        <v>2</v>
      </c>
      <c r="AH845" t="str">
        <f>VLOOKUP(AG845,WikiFormats!$A$3:$B$999,2,0)</f>
        <v>Episode</v>
      </c>
      <c r="AI845" t="s">
        <v>888</v>
      </c>
    </row>
    <row r="846" spans="1:35" x14ac:dyDescent="0.55000000000000004">
      <c r="A846">
        <v>842</v>
      </c>
      <c r="B846">
        <v>3</v>
      </c>
      <c r="C846" t="str">
        <f>VLOOKUP(B846,Eras!$A$3:$B$999,2,0)</f>
        <v>New</v>
      </c>
      <c r="D846">
        <v>1</v>
      </c>
      <c r="E846" t="str">
        <f>VLOOKUP(D846,EpisodeFormats!$A$3:$B$999,2,0)</f>
        <v>Series</v>
      </c>
      <c r="F846">
        <v>13</v>
      </c>
      <c r="G846" t="str">
        <f>VLOOKUP(F846,Doctors!$A$3:$B$999,2,0)</f>
        <v>Jodie Whittaker</v>
      </c>
      <c r="H846">
        <v>11</v>
      </c>
      <c r="I846">
        <v>3</v>
      </c>
      <c r="J846" t="str">
        <f>VLOOKUP(I846,SeasonFormats!$A$3:$B$999,2,0)</f>
        <v>Series</v>
      </c>
      <c r="K846">
        <v>278</v>
      </c>
      <c r="L846">
        <v>2</v>
      </c>
      <c r="M846" t="s">
        <v>181</v>
      </c>
      <c r="N846">
        <v>1</v>
      </c>
      <c r="P846">
        <v>2</v>
      </c>
      <c r="Q846" s="6" t="d">
        <v>2018-10-14</v>
      </c>
      <c r="R846">
        <v>49</v>
      </c>
      <c r="T846" s="15" t="s">
        <v>1084</v>
      </c>
      <c r="U846" t="str" cm="1">
        <f t="array" ref="U846">_xlfn.TEXTJOIN(",",TRUE,_xlfn.XLOOKUP(_xlfn.FILTERXML("&lt;t&gt;&lt;s&gt;" &amp; SUBSTITUTE(T846,",","&lt;/s&gt;&lt;s&gt;") &amp; "&lt;/s&gt;&lt;/t&gt;", "//s"),Writers!$A$3:$A$999,Writers!$B$3:$B$999,""))</f>
        <v>Chris Chibnall</v>
      </c>
      <c r="W846" t="str">
        <f>IF(V846="","",_xlfn.XLOOKUP(V846,Writers!$A$3:$A$999,Writers!$B$3:$B$999,""))</f>
        <v/>
      </c>
      <c r="X846">
        <v>7.11</v>
      </c>
      <c r="Y846">
        <v>8.67</v>
      </c>
      <c r="Z846">
        <v>9</v>
      </c>
      <c r="AA846">
        <f t="shared" si="39"/>
        <v>7.31</v>
      </c>
      <c r="AB846">
        <f t="shared" si="40"/>
        <v>8.91</v>
      </c>
      <c r="AC846">
        <f t="shared" si="41"/>
        <v>9.25</v>
      </c>
      <c r="AD846">
        <f>VLOOKUP(YEAR(Q846),Populations!$A$3:$B$999,2,0)</f>
        <v>66435600</v>
      </c>
      <c r="AE846">
        <f>(Calculations!B1/AD846)</f>
        <v>1.02813750459091</v>
      </c>
      <c r="AG846">
        <v>2</v>
      </c>
      <c r="AH846" t="str">
        <f>VLOOKUP(AG846,WikiFormats!$A$3:$B$999,2,0)</f>
        <v>Episode</v>
      </c>
      <c r="AI846" t="s">
        <v>889</v>
      </c>
    </row>
    <row r="847" spans="1:35" x14ac:dyDescent="0.55000000000000004">
      <c r="A847">
        <v>843</v>
      </c>
      <c r="B847">
        <v>3</v>
      </c>
      <c r="C847" t="str">
        <f>VLOOKUP(B847,Eras!$A$3:$B$999,2,0)</f>
        <v>New</v>
      </c>
      <c r="D847">
        <v>1</v>
      </c>
      <c r="E847" t="str">
        <f>VLOOKUP(D847,EpisodeFormats!$A$3:$B$999,2,0)</f>
        <v>Series</v>
      </c>
      <c r="F847">
        <v>13</v>
      </c>
      <c r="G847" t="str">
        <f>VLOOKUP(F847,Doctors!$A$3:$B$999,2,0)</f>
        <v>Jodie Whittaker</v>
      </c>
      <c r="H847">
        <v>11</v>
      </c>
      <c r="I847">
        <v>3</v>
      </c>
      <c r="J847" t="str">
        <f>VLOOKUP(I847,SeasonFormats!$A$3:$B$999,2,0)</f>
        <v>Series</v>
      </c>
      <c r="K847">
        <v>279</v>
      </c>
      <c r="L847">
        <v>3</v>
      </c>
      <c r="M847" t="s">
        <v>182</v>
      </c>
      <c r="N847">
        <v>1</v>
      </c>
      <c r="P847">
        <v>3</v>
      </c>
      <c r="Q847" s="6" t="d">
        <v>2018-10-21</v>
      </c>
      <c r="R847">
        <v>50</v>
      </c>
      <c r="T847" s="15" t="s">
        <v>1085</v>
      </c>
      <c r="U847" t="str" cm="1">
        <f t="array" ref="U847">_xlfn.TEXTJOIN(",",TRUE,_xlfn.XLOOKUP(_xlfn.FILTERXML("&lt;t&gt;&lt;s&gt;" &amp; SUBSTITUTE(T847,",","&lt;/s&gt;&lt;s&gt;") &amp; "&lt;/s&gt;&lt;/t&gt;", "//s"),Writers!$A$3:$A$999,Writers!$B$3:$B$999,""))</f>
        <v>Malorie Blackman,Chris Chibnall</v>
      </c>
      <c r="W847" t="str">
        <f>IF(V847="","",_xlfn.XLOOKUP(V847,Writers!$A$3:$A$999,Writers!$B$3:$B$999,""))</f>
        <v/>
      </c>
      <c r="X847">
        <v>6.39</v>
      </c>
      <c r="Y847">
        <v>8.09</v>
      </c>
      <c r="Z847">
        <v>8.41</v>
      </c>
      <c r="AA847">
        <f t="shared" si="39"/>
        <v>6.57</v>
      </c>
      <c r="AB847">
        <f t="shared" si="40"/>
        <v>8.32</v>
      </c>
      <c r="AC847">
        <f t="shared" si="41"/>
        <v>8.65</v>
      </c>
      <c r="AD847">
        <f>VLOOKUP(YEAR(Q847),Populations!$A$3:$B$999,2,0)</f>
        <v>66435600</v>
      </c>
      <c r="AE847">
        <f>(Calculations!B1/AD847)</f>
        <v>1.02813750459091</v>
      </c>
      <c r="AG847">
        <v>2</v>
      </c>
      <c r="AH847" t="str">
        <f>VLOOKUP(AG847,WikiFormats!$A$3:$B$999,2,0)</f>
        <v>Episode</v>
      </c>
      <c r="AI847" t="s">
        <v>890</v>
      </c>
    </row>
    <row r="848" spans="1:35" x14ac:dyDescent="0.55000000000000004">
      <c r="A848">
        <v>844</v>
      </c>
      <c r="B848">
        <v>3</v>
      </c>
      <c r="C848" t="str">
        <f>VLOOKUP(B848,Eras!$A$3:$B$999,2,0)</f>
        <v>New</v>
      </c>
      <c r="D848">
        <v>1</v>
      </c>
      <c r="E848" t="str">
        <f>VLOOKUP(D848,EpisodeFormats!$A$3:$B$999,2,0)</f>
        <v>Series</v>
      </c>
      <c r="F848">
        <v>13</v>
      </c>
      <c r="G848" t="str">
        <f>VLOOKUP(F848,Doctors!$A$3:$B$999,2,0)</f>
        <v>Jodie Whittaker</v>
      </c>
      <c r="H848">
        <v>11</v>
      </c>
      <c r="I848">
        <v>3</v>
      </c>
      <c r="J848" t="str">
        <f>VLOOKUP(I848,SeasonFormats!$A$3:$B$999,2,0)</f>
        <v>Series</v>
      </c>
      <c r="K848">
        <v>280</v>
      </c>
      <c r="L848">
        <v>4</v>
      </c>
      <c r="M848" t="s">
        <v>183</v>
      </c>
      <c r="N848">
        <v>1</v>
      </c>
      <c r="P848">
        <v>4</v>
      </c>
      <c r="Q848" s="6" t="d">
        <v>2018-10-28</v>
      </c>
      <c r="R848">
        <v>49</v>
      </c>
      <c r="T848" s="15" t="s">
        <v>1084</v>
      </c>
      <c r="U848" t="str" cm="1">
        <f t="array" ref="U848">_xlfn.TEXTJOIN(",",TRUE,_xlfn.XLOOKUP(_xlfn.FILTERXML("&lt;t&gt;&lt;s&gt;" &amp; SUBSTITUTE(T848,",","&lt;/s&gt;&lt;s&gt;") &amp; "&lt;/s&gt;&lt;/t&gt;", "//s"),Writers!$A$3:$A$999,Writers!$B$3:$B$999,""))</f>
        <v>Chris Chibnall</v>
      </c>
      <c r="W848" t="str">
        <f>IF(V848="","",_xlfn.XLOOKUP(V848,Writers!$A$3:$A$999,Writers!$B$3:$B$999,""))</f>
        <v/>
      </c>
      <c r="X848">
        <v>6.43</v>
      </c>
      <c r="Y848">
        <v>7.97</v>
      </c>
      <c r="Z848">
        <v>8.2200000000000006</v>
      </c>
      <c r="AA848">
        <f t="shared" si="39"/>
        <v>6.61</v>
      </c>
      <c r="AB848">
        <f t="shared" si="40"/>
        <v>8.19</v>
      </c>
      <c r="AC848">
        <f t="shared" si="41"/>
        <v>8.4499999999999993</v>
      </c>
      <c r="AD848">
        <f>VLOOKUP(YEAR(Q848),Populations!$A$3:$B$999,2,0)</f>
        <v>66435600</v>
      </c>
      <c r="AE848">
        <f>(Calculations!B1/AD848)</f>
        <v>1.02813750459091</v>
      </c>
      <c r="AG848">
        <v>2</v>
      </c>
      <c r="AH848" t="str">
        <f>VLOOKUP(AG848,WikiFormats!$A$3:$B$999,2,0)</f>
        <v>Episode</v>
      </c>
      <c r="AI848" t="s">
        <v>891</v>
      </c>
    </row>
    <row r="849" spans="1:35" x14ac:dyDescent="0.55000000000000004">
      <c r="A849">
        <v>845</v>
      </c>
      <c r="B849">
        <v>3</v>
      </c>
      <c r="C849" t="str">
        <f>VLOOKUP(B849,Eras!$A$3:$B$999,2,0)</f>
        <v>New</v>
      </c>
      <c r="D849">
        <v>1</v>
      </c>
      <c r="E849" t="str">
        <f>VLOOKUP(D849,EpisodeFormats!$A$3:$B$999,2,0)</f>
        <v>Series</v>
      </c>
      <c r="F849">
        <v>13</v>
      </c>
      <c r="G849" t="str">
        <f>VLOOKUP(F849,Doctors!$A$3:$B$999,2,0)</f>
        <v>Jodie Whittaker</v>
      </c>
      <c r="H849">
        <v>11</v>
      </c>
      <c r="I849">
        <v>3</v>
      </c>
      <c r="J849" t="str">
        <f>VLOOKUP(I849,SeasonFormats!$A$3:$B$999,2,0)</f>
        <v>Series</v>
      </c>
      <c r="K849">
        <v>281</v>
      </c>
      <c r="L849">
        <v>5</v>
      </c>
      <c r="M849" t="s">
        <v>184</v>
      </c>
      <c r="N849">
        <v>1</v>
      </c>
      <c r="P849">
        <v>5</v>
      </c>
      <c r="Q849" s="6" t="d">
        <v>2018-11-04</v>
      </c>
      <c r="R849">
        <v>51</v>
      </c>
      <c r="T849" s="15" t="s">
        <v>1084</v>
      </c>
      <c r="U849" t="str" cm="1">
        <f t="array" ref="U849">_xlfn.TEXTJOIN(",",TRUE,_xlfn.XLOOKUP(_xlfn.FILTERXML("&lt;t&gt;&lt;s&gt;" &amp; SUBSTITUTE(T849,",","&lt;/s&gt;&lt;s&gt;") &amp; "&lt;/s&gt;&lt;/t&gt;", "//s"),Writers!$A$3:$A$999,Writers!$B$3:$B$999,""))</f>
        <v>Chris Chibnall</v>
      </c>
      <c r="W849" t="str">
        <f>IF(V849="","",_xlfn.XLOOKUP(V849,Writers!$A$3:$A$999,Writers!$B$3:$B$999,""))</f>
        <v/>
      </c>
      <c r="X849">
        <v>6.12</v>
      </c>
      <c r="Y849">
        <v>7.49</v>
      </c>
      <c r="Z849">
        <v>7.76</v>
      </c>
      <c r="AA849">
        <f t="shared" si="39"/>
        <v>6.29</v>
      </c>
      <c r="AB849">
        <f t="shared" si="40"/>
        <v>7.7</v>
      </c>
      <c r="AC849">
        <f t="shared" si="41"/>
        <v>7.98</v>
      </c>
      <c r="AD849">
        <f>VLOOKUP(YEAR(Q849),Populations!$A$3:$B$999,2,0)</f>
        <v>66435600</v>
      </c>
      <c r="AE849">
        <f>(Calculations!B1/AD849)</f>
        <v>1.02813750459091</v>
      </c>
      <c r="AG849">
        <v>2</v>
      </c>
      <c r="AH849" t="str">
        <f>VLOOKUP(AG849,WikiFormats!$A$3:$B$999,2,0)</f>
        <v>Episode</v>
      </c>
      <c r="AI849" t="s">
        <v>892</v>
      </c>
    </row>
    <row r="850" spans="1:35" x14ac:dyDescent="0.55000000000000004">
      <c r="A850">
        <v>846</v>
      </c>
      <c r="B850">
        <v>3</v>
      </c>
      <c r="C850" t="str">
        <f>VLOOKUP(B850,Eras!$A$3:$B$999,2,0)</f>
        <v>New</v>
      </c>
      <c r="D850">
        <v>1</v>
      </c>
      <c r="E850" t="str">
        <f>VLOOKUP(D850,EpisodeFormats!$A$3:$B$999,2,0)</f>
        <v>Series</v>
      </c>
      <c r="F850">
        <v>13</v>
      </c>
      <c r="G850" t="str">
        <f>VLOOKUP(F850,Doctors!$A$3:$B$999,2,0)</f>
        <v>Jodie Whittaker</v>
      </c>
      <c r="H850">
        <v>11</v>
      </c>
      <c r="I850">
        <v>3</v>
      </c>
      <c r="J850" t="str">
        <f>VLOOKUP(I850,SeasonFormats!$A$3:$B$999,2,0)</f>
        <v>Series</v>
      </c>
      <c r="K850">
        <v>282</v>
      </c>
      <c r="L850">
        <v>6</v>
      </c>
      <c r="M850" t="s">
        <v>185</v>
      </c>
      <c r="N850">
        <v>1</v>
      </c>
      <c r="P850">
        <v>6</v>
      </c>
      <c r="Q850" s="6" t="d">
        <v>2018-11-11</v>
      </c>
      <c r="R850">
        <v>50</v>
      </c>
      <c r="T850" s="15" t="s">
        <v>1161</v>
      </c>
      <c r="U850" t="str" cm="1">
        <f t="array" ref="U850">_xlfn.TEXTJOIN(",",TRUE,_xlfn.XLOOKUP(_xlfn.FILTERXML("&lt;t&gt;&lt;s&gt;" &amp; SUBSTITUTE(T850,",","&lt;/s&gt;&lt;s&gt;") &amp; "&lt;/s&gt;&lt;/t&gt;", "//s"),Writers!$A$3:$A$999,Writers!$B$3:$B$999,""))</f>
        <v>Vinay Patel</v>
      </c>
      <c r="W850" t="str">
        <f>IF(V850="","",_xlfn.XLOOKUP(V850,Writers!$A$3:$A$999,Writers!$B$3:$B$999,""))</f>
        <v/>
      </c>
      <c r="X850">
        <v>5.77</v>
      </c>
      <c r="Y850">
        <v>7.23</v>
      </c>
      <c r="Z850">
        <v>7.48</v>
      </c>
      <c r="AA850">
        <f t="shared" si="39"/>
        <v>5.93</v>
      </c>
      <c r="AB850">
        <f t="shared" si="40"/>
        <v>7.43</v>
      </c>
      <c r="AC850">
        <f t="shared" si="41"/>
        <v>7.69</v>
      </c>
      <c r="AD850">
        <f>VLOOKUP(YEAR(Q850),Populations!$A$3:$B$999,2,0)</f>
        <v>66435600</v>
      </c>
      <c r="AE850">
        <f>(Calculations!B1/AD850)</f>
        <v>1.02813750459091</v>
      </c>
      <c r="AG850">
        <v>2</v>
      </c>
      <c r="AH850" t="str">
        <f>VLOOKUP(AG850,WikiFormats!$A$3:$B$999,2,0)</f>
        <v>Episode</v>
      </c>
      <c r="AI850" t="s">
        <v>893</v>
      </c>
    </row>
    <row r="851" spans="1:35" x14ac:dyDescent="0.55000000000000004">
      <c r="A851">
        <v>847</v>
      </c>
      <c r="B851">
        <v>3</v>
      </c>
      <c r="C851" t="str">
        <f>VLOOKUP(B851,Eras!$A$3:$B$999,2,0)</f>
        <v>New</v>
      </c>
      <c r="D851">
        <v>1</v>
      </c>
      <c r="E851" t="str">
        <f>VLOOKUP(D851,EpisodeFormats!$A$3:$B$999,2,0)</f>
        <v>Series</v>
      </c>
      <c r="F851">
        <v>13</v>
      </c>
      <c r="G851" t="str">
        <f>VLOOKUP(F851,Doctors!$A$3:$B$999,2,0)</f>
        <v>Jodie Whittaker</v>
      </c>
      <c r="H851">
        <v>11</v>
      </c>
      <c r="I851">
        <v>3</v>
      </c>
      <c r="J851" t="str">
        <f>VLOOKUP(I851,SeasonFormats!$A$3:$B$999,2,0)</f>
        <v>Series</v>
      </c>
      <c r="K851">
        <v>283</v>
      </c>
      <c r="L851">
        <v>7</v>
      </c>
      <c r="M851" t="s">
        <v>186</v>
      </c>
      <c r="N851">
        <v>1</v>
      </c>
      <c r="P851">
        <v>7</v>
      </c>
      <c r="Q851" s="6" t="d">
        <v>2018-11-18</v>
      </c>
      <c r="R851">
        <v>49</v>
      </c>
      <c r="T851" s="15" t="s">
        <v>1143</v>
      </c>
      <c r="U851" t="str" cm="1">
        <f t="array" ref="U851">_xlfn.TEXTJOIN(",",TRUE,_xlfn.XLOOKUP(_xlfn.FILTERXML("&lt;t&gt;&lt;s&gt;" &amp; SUBSTITUTE(T851,",","&lt;/s&gt;&lt;s&gt;") &amp; "&lt;/s&gt;&lt;/t&gt;", "//s"),Writers!$A$3:$A$999,Writers!$B$3:$B$999,""))</f>
        <v>Pete McTighe</v>
      </c>
      <c r="W851" t="str">
        <f>IF(V851="","",_xlfn.XLOOKUP(V851,Writers!$A$3:$A$999,Writers!$B$3:$B$999,""))</f>
        <v/>
      </c>
      <c r="X851">
        <v>5.93</v>
      </c>
      <c r="Y851">
        <v>7.23</v>
      </c>
      <c r="Z851">
        <v>7.46</v>
      </c>
      <c r="AA851">
        <f t="shared" si="39"/>
        <v>6.1</v>
      </c>
      <c r="AB851">
        <f t="shared" si="40"/>
        <v>7.43</v>
      </c>
      <c r="AC851">
        <f t="shared" si="41"/>
        <v>7.67</v>
      </c>
      <c r="AD851">
        <f>VLOOKUP(YEAR(Q851),Populations!$A$3:$B$999,2,0)</f>
        <v>66435600</v>
      </c>
      <c r="AE851">
        <f>(Calculations!B1/AD851)</f>
        <v>1.02813750459091</v>
      </c>
      <c r="AG851">
        <v>2</v>
      </c>
      <c r="AH851" t="str">
        <f>VLOOKUP(AG851,WikiFormats!$A$3:$B$999,2,0)</f>
        <v>Episode</v>
      </c>
      <c r="AI851" t="s">
        <v>894</v>
      </c>
    </row>
    <row r="852" spans="1:35" x14ac:dyDescent="0.55000000000000004">
      <c r="A852">
        <v>848</v>
      </c>
      <c r="B852">
        <v>3</v>
      </c>
      <c r="C852" t="str">
        <f>VLOOKUP(B852,Eras!$A$3:$B$999,2,0)</f>
        <v>New</v>
      </c>
      <c r="D852">
        <v>1</v>
      </c>
      <c r="E852" t="str">
        <f>VLOOKUP(D852,EpisodeFormats!$A$3:$B$999,2,0)</f>
        <v>Series</v>
      </c>
      <c r="F852">
        <v>13</v>
      </c>
      <c r="G852" t="str">
        <f>VLOOKUP(F852,Doctors!$A$3:$B$999,2,0)</f>
        <v>Jodie Whittaker</v>
      </c>
      <c r="H852">
        <v>11</v>
      </c>
      <c r="I852">
        <v>3</v>
      </c>
      <c r="J852" t="str">
        <f>VLOOKUP(I852,SeasonFormats!$A$3:$B$999,2,0)</f>
        <v>Series</v>
      </c>
      <c r="K852">
        <v>284</v>
      </c>
      <c r="L852">
        <v>8</v>
      </c>
      <c r="M852" t="s">
        <v>187</v>
      </c>
      <c r="N852">
        <v>1</v>
      </c>
      <c r="P852">
        <v>8</v>
      </c>
      <c r="Q852" s="6" t="d">
        <v>2018-11-25</v>
      </c>
      <c r="R852">
        <v>47</v>
      </c>
      <c r="T852" s="15" t="s">
        <v>1178</v>
      </c>
      <c r="U852" t="str" cm="1">
        <f t="array" ref="U852">_xlfn.TEXTJOIN(",",TRUE,_xlfn.XLOOKUP(_xlfn.FILTERXML("&lt;t&gt;&lt;s&gt;" &amp; SUBSTITUTE(T852,",","&lt;/s&gt;&lt;s&gt;") &amp; "&lt;/s&gt;&lt;/t&gt;", "//s"),Writers!$A$3:$A$999,Writers!$B$3:$B$999,""))</f>
        <v>Joy Wilkinson</v>
      </c>
      <c r="W852" t="str">
        <f>IF(V852="","",_xlfn.XLOOKUP(V852,Writers!$A$3:$A$999,Writers!$B$3:$B$999,""))</f>
        <v/>
      </c>
      <c r="X852">
        <v>5.66</v>
      </c>
      <c r="Y852">
        <v>7.03</v>
      </c>
      <c r="Z852">
        <v>7.21</v>
      </c>
      <c r="AA852">
        <f t="shared" si="39"/>
        <v>5.82</v>
      </c>
      <c r="AB852">
        <f t="shared" si="40"/>
        <v>7.23</v>
      </c>
      <c r="AC852">
        <f t="shared" si="41"/>
        <v>7.41</v>
      </c>
      <c r="AD852">
        <f>VLOOKUP(YEAR(Q852),Populations!$A$3:$B$999,2,0)</f>
        <v>66435600</v>
      </c>
      <c r="AE852">
        <f>(Calculations!B1/AD852)</f>
        <v>1.02813750459091</v>
      </c>
      <c r="AG852">
        <v>2</v>
      </c>
      <c r="AH852" t="str">
        <f>VLOOKUP(AG852,WikiFormats!$A$3:$B$999,2,0)</f>
        <v>Episode</v>
      </c>
      <c r="AI852" t="s">
        <v>895</v>
      </c>
    </row>
    <row r="853" spans="1:35" x14ac:dyDescent="0.55000000000000004">
      <c r="A853">
        <v>849</v>
      </c>
      <c r="B853">
        <v>3</v>
      </c>
      <c r="C853" t="str">
        <f>VLOOKUP(B853,Eras!$A$3:$B$999,2,0)</f>
        <v>New</v>
      </c>
      <c r="D853">
        <v>1</v>
      </c>
      <c r="E853" t="str">
        <f>VLOOKUP(D853,EpisodeFormats!$A$3:$B$999,2,0)</f>
        <v>Series</v>
      </c>
      <c r="F853">
        <v>13</v>
      </c>
      <c r="G853" t="str">
        <f>VLOOKUP(F853,Doctors!$A$3:$B$999,2,0)</f>
        <v>Jodie Whittaker</v>
      </c>
      <c r="H853">
        <v>11</v>
      </c>
      <c r="I853">
        <v>3</v>
      </c>
      <c r="J853" t="str">
        <f>VLOOKUP(I853,SeasonFormats!$A$3:$B$999,2,0)</f>
        <v>Series</v>
      </c>
      <c r="K853">
        <v>285</v>
      </c>
      <c r="L853">
        <v>9</v>
      </c>
      <c r="M853" t="s">
        <v>188</v>
      </c>
      <c r="N853">
        <v>1</v>
      </c>
      <c r="P853">
        <v>9</v>
      </c>
      <c r="Q853" s="6" t="d">
        <v>2018-12-02</v>
      </c>
      <c r="R853">
        <v>49</v>
      </c>
      <c r="T853" s="15" t="s">
        <v>1121</v>
      </c>
      <c r="U853" t="str" cm="1">
        <f t="array" ref="U853">_xlfn.TEXTJOIN(",",TRUE,_xlfn.XLOOKUP(_xlfn.FILTERXML("&lt;t&gt;&lt;s&gt;" &amp; SUBSTITUTE(T853,",","&lt;/s&gt;&lt;s&gt;") &amp; "&lt;/s&gt;&lt;/t&gt;", "//s"),Writers!$A$3:$A$999,Writers!$B$3:$B$999,""))</f>
        <v>Ed Hime</v>
      </c>
      <c r="W853" t="str">
        <f>IF(V853="","",_xlfn.XLOOKUP(V853,Writers!$A$3:$A$999,Writers!$B$3:$B$999,""))</f>
        <v/>
      </c>
      <c r="X853">
        <v>5.07</v>
      </c>
      <c r="Y853">
        <v>6.24</v>
      </c>
      <c r="Z853">
        <v>6.42</v>
      </c>
      <c r="AA853">
        <f t="shared" si="39"/>
        <v>5.21</v>
      </c>
      <c r="AB853">
        <f t="shared" si="40"/>
        <v>6.42</v>
      </c>
      <c r="AC853">
        <f t="shared" si="41"/>
        <v>6.6</v>
      </c>
      <c r="AD853">
        <f>VLOOKUP(YEAR(Q853),Populations!$A$3:$B$999,2,0)</f>
        <v>66435600</v>
      </c>
      <c r="AE853">
        <f>(Calculations!B1/AD853)</f>
        <v>1.02813750459091</v>
      </c>
      <c r="AG853">
        <v>2</v>
      </c>
      <c r="AH853" t="str">
        <f>VLOOKUP(AG853,WikiFormats!$A$3:$B$999,2,0)</f>
        <v>Episode</v>
      </c>
      <c r="AI853" t="s">
        <v>896</v>
      </c>
    </row>
    <row r="854" spans="1:35" x14ac:dyDescent="0.55000000000000004">
      <c r="A854">
        <v>850</v>
      </c>
      <c r="B854">
        <v>3</v>
      </c>
      <c r="C854" t="str">
        <f>VLOOKUP(B854,Eras!$A$3:$B$999,2,0)</f>
        <v>New</v>
      </c>
      <c r="D854">
        <v>1</v>
      </c>
      <c r="E854" t="str">
        <f>VLOOKUP(D854,EpisodeFormats!$A$3:$B$999,2,0)</f>
        <v>Series</v>
      </c>
      <c r="F854">
        <v>13</v>
      </c>
      <c r="G854" t="str">
        <f>VLOOKUP(F854,Doctors!$A$3:$B$999,2,0)</f>
        <v>Jodie Whittaker</v>
      </c>
      <c r="H854">
        <v>11</v>
      </c>
      <c r="I854">
        <v>3</v>
      </c>
      <c r="J854" t="str">
        <f>VLOOKUP(I854,SeasonFormats!$A$3:$B$999,2,0)</f>
        <v>Series</v>
      </c>
      <c r="K854">
        <v>286</v>
      </c>
      <c r="L854">
        <v>10</v>
      </c>
      <c r="M854" t="s">
        <v>189</v>
      </c>
      <c r="N854">
        <v>1</v>
      </c>
      <c r="P854">
        <v>10</v>
      </c>
      <c r="Q854" s="6" t="d">
        <v>2018-12-09</v>
      </c>
      <c r="R854">
        <v>50</v>
      </c>
      <c r="T854" s="15" t="s">
        <v>1084</v>
      </c>
      <c r="U854" t="str" cm="1">
        <f t="array" ref="U854">_xlfn.TEXTJOIN(",",TRUE,_xlfn.XLOOKUP(_xlfn.FILTERXML("&lt;t&gt;&lt;s&gt;" &amp; SUBSTITUTE(T854,",","&lt;/s&gt;&lt;s&gt;") &amp; "&lt;/s&gt;&lt;/t&gt;", "//s"),Writers!$A$3:$A$999,Writers!$B$3:$B$999,""))</f>
        <v>Chris Chibnall</v>
      </c>
      <c r="W854" t="str">
        <f>IF(V854="","",_xlfn.XLOOKUP(V854,Writers!$A$3:$A$999,Writers!$B$3:$B$999,""))</f>
        <v/>
      </c>
      <c r="X854">
        <v>5.32</v>
      </c>
      <c r="Y854">
        <v>6.48</v>
      </c>
      <c r="Z854">
        <v>6.65</v>
      </c>
      <c r="AA854">
        <f t="shared" si="39"/>
        <v>5.47</v>
      </c>
      <c r="AB854">
        <f t="shared" si="40"/>
        <v>6.66</v>
      </c>
      <c r="AC854">
        <f t="shared" si="41"/>
        <v>6.84</v>
      </c>
      <c r="AD854">
        <f>VLOOKUP(YEAR(Q854),Populations!$A$3:$B$999,2,0)</f>
        <v>66435600</v>
      </c>
      <c r="AE854">
        <f>(Calculations!B1/AD854)</f>
        <v>1.02813750459091</v>
      </c>
      <c r="AG854">
        <v>2</v>
      </c>
      <c r="AH854" t="str">
        <f>VLOOKUP(AG854,WikiFormats!$A$3:$B$999,2,0)</f>
        <v>Episode</v>
      </c>
      <c r="AI854" t="s">
        <v>897</v>
      </c>
    </row>
    <row r="855" spans="1:35" s="3" customFormat="1" x14ac:dyDescent="0.55000000000000004">
      <c r="A855" s="3">
        <v>851</v>
      </c>
      <c r="B855" s="3">
        <v>3</v>
      </c>
      <c r="C855" s="3" t="str">
        <f>VLOOKUP(B855,Eras!$A$3:$B$999,2,0)</f>
        <v>New</v>
      </c>
      <c r="D855" s="3">
        <v>2</v>
      </c>
      <c r="E855" s="3" t="str">
        <f>VLOOKUP(D855,EpisodeFormats!$A$3:$B$999,2,0)</f>
        <v>Special</v>
      </c>
      <c r="F855" s="3">
        <v>13</v>
      </c>
      <c r="G855" s="3" t="str">
        <f>VLOOKUP(F855,Doctors!$A$3:$B$999,2,0)</f>
        <v>Jodie Whittaker</v>
      </c>
      <c r="I855" s="3">
        <v>4</v>
      </c>
      <c r="J855" s="3" t="str">
        <f>VLOOKUP(I855,SeasonFormats!$A$3:$B$999,2,0)</f>
        <v>Special</v>
      </c>
      <c r="K855" s="3">
        <v>287</v>
      </c>
      <c r="M855" s="3" t="s">
        <v>190</v>
      </c>
      <c r="N855" s="3">
        <v>1</v>
      </c>
      <c r="Q855" s="7" t="d">
        <v>2019-01-01</v>
      </c>
      <c r="R855" s="3">
        <v>60</v>
      </c>
      <c r="T855" s="4" t="s">
        <v>1084</v>
      </c>
      <c r="U855" s="3" t="str" cm="1">
        <f t="array" ref="U855">_xlfn.TEXTJOIN(",",TRUE,_xlfn.XLOOKUP(_xlfn.FILTERXML("&lt;t&gt;&lt;s&gt;" &amp; SUBSTITUTE(T855,",","&lt;/s&gt;&lt;s&gt;") &amp; "&lt;/s&gt;&lt;/t&gt;", "//s"),Writers!$A$3:$A$999,Writers!$B$3:$B$999,""))</f>
        <v>Chris Chibnall</v>
      </c>
      <c r="W855" s="3" t="str">
        <f>IF(V855="","",_xlfn.XLOOKUP(V855,Writers!$A$3:$A$999,Writers!$B$3:$B$999,""))</f>
        <v/>
      </c>
      <c r="X855" s="3">
        <v>5.15</v>
      </c>
      <c r="Y855" s="3">
        <v>6.96</v>
      </c>
      <c r="Z855" s="3">
        <v>7.13</v>
      </c>
      <c r="AA855" s="3">
        <f t="shared" si="39"/>
        <v>5.27</v>
      </c>
      <c r="AB855" s="3">
        <f t="shared" si="40"/>
        <v>7.12</v>
      </c>
      <c r="AC855" s="3">
        <f t="shared" si="41"/>
        <v>7.29</v>
      </c>
      <c r="AD855" s="3">
        <f>VLOOKUP(YEAR(Q855),Populations!$A$3:$B$999,2,0)</f>
        <v>66796800</v>
      </c>
      <c r="AE855" s="3">
        <f>(Calculations!B1/AD855)</f>
        <v>1.02257790792373</v>
      </c>
      <c r="AG855" s="3">
        <v>2</v>
      </c>
      <c r="AH855" s="3" t="str">
        <f>VLOOKUP(AG855,WikiFormats!$A$3:$B$999,2,0)</f>
        <v>Episode</v>
      </c>
      <c r="AI855" s="3" t="s">
        <v>898</v>
      </c>
    </row>
    <row r="856" spans="1:35" x14ac:dyDescent="0.55000000000000004">
      <c r="A856">
        <v>852</v>
      </c>
      <c r="B856">
        <v>3</v>
      </c>
      <c r="C856" t="str">
        <f>VLOOKUP(B856,Eras!$A$3:$B$999,2,0)</f>
        <v>New</v>
      </c>
      <c r="D856">
        <v>1</v>
      </c>
      <c r="E856" t="str">
        <f>VLOOKUP(D856,EpisodeFormats!$A$3:$B$999,2,0)</f>
        <v>Series</v>
      </c>
      <c r="F856">
        <v>13</v>
      </c>
      <c r="G856" t="str">
        <f>VLOOKUP(F856,Doctors!$A$3:$B$999,2,0)</f>
        <v>Jodie Whittaker</v>
      </c>
      <c r="H856">
        <v>12</v>
      </c>
      <c r="I856">
        <v>3</v>
      </c>
      <c r="J856" t="str">
        <f>VLOOKUP(I856,SeasonFormats!$A$3:$B$999,2,0)</f>
        <v>Series</v>
      </c>
      <c r="K856">
        <v>288</v>
      </c>
      <c r="L856">
        <v>1</v>
      </c>
      <c r="M856" t="s">
        <v>407</v>
      </c>
      <c r="N856">
        <v>1</v>
      </c>
      <c r="O856" t="s">
        <v>406</v>
      </c>
      <c r="P856">
        <v>1</v>
      </c>
      <c r="Q856" s="6" t="d">
        <v>2020-01-01</v>
      </c>
      <c r="R856">
        <v>60</v>
      </c>
      <c r="T856" s="15" t="s">
        <v>1084</v>
      </c>
      <c r="U856" t="str" cm="1">
        <f t="array" ref="U856">_xlfn.TEXTJOIN(",",TRUE,_xlfn.XLOOKUP(_xlfn.FILTERXML("&lt;t&gt;&lt;s&gt;" &amp; SUBSTITUTE(T856,",","&lt;/s&gt;&lt;s&gt;") &amp; "&lt;/s&gt;&lt;/t&gt;", "//s"),Writers!$A$3:$A$999,Writers!$B$3:$B$999,""))</f>
        <v>Chris Chibnall</v>
      </c>
      <c r="W856" t="str">
        <f>IF(V856="","",_xlfn.XLOOKUP(V856,Writers!$A$3:$A$999,Writers!$B$3:$B$999,""))</f>
        <v/>
      </c>
      <c r="X856">
        <v>4.88</v>
      </c>
      <c r="Y856">
        <v>6.7</v>
      </c>
      <c r="Z856">
        <v>6.89</v>
      </c>
      <c r="AA856">
        <f t="shared" si="39"/>
        <v>4.97</v>
      </c>
      <c r="AB856">
        <f t="shared" si="40"/>
        <v>6.82</v>
      </c>
      <c r="AC856">
        <f t="shared" si="41"/>
        <v>7.02</v>
      </c>
      <c r="AD856">
        <f>VLOOKUP(YEAR(Q856),Populations!$A$3:$B$999,2,0)</f>
        <v>67081200</v>
      </c>
      <c r="AE856">
        <f>(Calculations!B1/AD856)</f>
        <v>1.0182425478375501</v>
      </c>
      <c r="AG856">
        <v>1</v>
      </c>
      <c r="AH856" t="str">
        <f>VLOOKUP(AG856,WikiFormats!$A$3:$B$999,2,0)</f>
        <v>Story</v>
      </c>
      <c r="AI856" t="s">
        <v>900</v>
      </c>
    </row>
    <row r="857" spans="1:35" x14ac:dyDescent="0.55000000000000004">
      <c r="A857">
        <v>853</v>
      </c>
      <c r="B857">
        <v>3</v>
      </c>
      <c r="C857" t="str">
        <f>VLOOKUP(B857,Eras!$A$3:$B$999,2,0)</f>
        <v>New</v>
      </c>
      <c r="D857">
        <v>1</v>
      </c>
      <c r="E857" t="str">
        <f>VLOOKUP(D857,EpisodeFormats!$A$3:$B$999,2,0)</f>
        <v>Series</v>
      </c>
      <c r="F857">
        <v>13</v>
      </c>
      <c r="G857" t="str">
        <f>VLOOKUP(F857,Doctors!$A$3:$B$999,2,0)</f>
        <v>Jodie Whittaker</v>
      </c>
      <c r="H857">
        <v>12</v>
      </c>
      <c r="I857">
        <v>3</v>
      </c>
      <c r="J857" t="str">
        <f>VLOOKUP(I857,SeasonFormats!$A$3:$B$999,2,0)</f>
        <v>Series</v>
      </c>
      <c r="K857">
        <v>288</v>
      </c>
      <c r="L857">
        <v>1</v>
      </c>
      <c r="M857" t="s">
        <v>407</v>
      </c>
      <c r="N857">
        <v>2</v>
      </c>
      <c r="O857" t="s">
        <v>122</v>
      </c>
      <c r="P857">
        <v>2</v>
      </c>
      <c r="Q857" s="6" t="d">
        <v>2020-01-05</v>
      </c>
      <c r="R857">
        <v>61</v>
      </c>
      <c r="T857" s="15" t="s">
        <v>1084</v>
      </c>
      <c r="U857" t="str" cm="1">
        <f t="array" ref="U857">_xlfn.TEXTJOIN(",",TRUE,_xlfn.XLOOKUP(_xlfn.FILTERXML("&lt;t&gt;&lt;s&gt;" &amp; SUBSTITUTE(T857,",","&lt;/s&gt;&lt;s&gt;") &amp; "&lt;/s&gt;&lt;/t&gt;", "//s"),Writers!$A$3:$A$999,Writers!$B$3:$B$999,""))</f>
        <v>Chris Chibnall</v>
      </c>
      <c r="W857" t="str">
        <f>IF(V857="","",_xlfn.XLOOKUP(V857,Writers!$A$3:$A$999,Writers!$B$3:$B$999,""))</f>
        <v/>
      </c>
      <c r="X857">
        <v>4.5999999999999996</v>
      </c>
      <c r="Y857">
        <v>5.91</v>
      </c>
      <c r="Z857">
        <v>6.07</v>
      </c>
      <c r="AA857">
        <f t="shared" si="39"/>
        <v>4.68</v>
      </c>
      <c r="AB857">
        <f t="shared" si="40"/>
        <v>6.02</v>
      </c>
      <c r="AC857">
        <f t="shared" si="41"/>
        <v>6.18</v>
      </c>
      <c r="AD857">
        <f>VLOOKUP(YEAR(Q857),Populations!$A$3:$B$999,2,0)</f>
        <v>67081200</v>
      </c>
      <c r="AE857">
        <f>(Calculations!B1/AD857)</f>
        <v>1.0182425478375501</v>
      </c>
      <c r="AG857">
        <v>1</v>
      </c>
      <c r="AH857" t="str">
        <f>VLOOKUP(AG857,WikiFormats!$A$3:$B$999,2,0)</f>
        <v>Story</v>
      </c>
      <c r="AI857" t="s">
        <v>900</v>
      </c>
    </row>
    <row r="858" spans="1:35" x14ac:dyDescent="0.55000000000000004">
      <c r="A858">
        <v>854</v>
      </c>
      <c r="B858">
        <v>3</v>
      </c>
      <c r="C858" t="str">
        <f>VLOOKUP(B858,Eras!$A$3:$B$999,2,0)</f>
        <v>New</v>
      </c>
      <c r="D858">
        <v>1</v>
      </c>
      <c r="E858" t="str">
        <f>VLOOKUP(D858,EpisodeFormats!$A$3:$B$999,2,0)</f>
        <v>Series</v>
      </c>
      <c r="F858">
        <v>13</v>
      </c>
      <c r="G858" t="str">
        <f>VLOOKUP(F858,Doctors!$A$3:$B$999,2,0)</f>
        <v>Jodie Whittaker</v>
      </c>
      <c r="H858">
        <v>12</v>
      </c>
      <c r="I858">
        <v>3</v>
      </c>
      <c r="J858" t="str">
        <f>VLOOKUP(I858,SeasonFormats!$A$3:$B$999,2,0)</f>
        <v>Series</v>
      </c>
      <c r="K858">
        <v>289</v>
      </c>
      <c r="L858">
        <v>2</v>
      </c>
      <c r="M858" t="s">
        <v>191</v>
      </c>
      <c r="N858">
        <v>1</v>
      </c>
      <c r="P858">
        <v>3</v>
      </c>
      <c r="Q858" s="6" t="d">
        <v>2020-01-12</v>
      </c>
      <c r="R858">
        <v>47</v>
      </c>
      <c r="T858" s="15" t="s">
        <v>1121</v>
      </c>
      <c r="U858" t="str" cm="1">
        <f t="array" ref="U858">_xlfn.TEXTJOIN(",",TRUE,_xlfn.XLOOKUP(_xlfn.FILTERXML("&lt;t&gt;&lt;s&gt;" &amp; SUBSTITUTE(T858,",","&lt;/s&gt;&lt;s&gt;") &amp; "&lt;/s&gt;&lt;/t&gt;", "//s"),Writers!$A$3:$A$999,Writers!$B$3:$B$999,""))</f>
        <v>Ed Hime</v>
      </c>
      <c r="W858" t="str">
        <f>IF(V858="","",_xlfn.XLOOKUP(V858,Writers!$A$3:$A$999,Writers!$B$3:$B$999,""))</f>
        <v/>
      </c>
      <c r="X858">
        <v>4.1900000000000004</v>
      </c>
      <c r="Y858">
        <v>5.25</v>
      </c>
      <c r="Z858">
        <v>5.38</v>
      </c>
      <c r="AA858">
        <f t="shared" si="39"/>
        <v>4.2699999999999996</v>
      </c>
      <c r="AB858">
        <f t="shared" si="40"/>
        <v>5.35</v>
      </c>
      <c r="AC858">
        <f t="shared" si="41"/>
        <v>5.48</v>
      </c>
      <c r="AD858">
        <f>VLOOKUP(YEAR(Q858),Populations!$A$3:$B$999,2,0)</f>
        <v>67081200</v>
      </c>
      <c r="AE858">
        <f>(Calculations!B1/AD858)</f>
        <v>1.0182425478375501</v>
      </c>
      <c r="AG858">
        <v>2</v>
      </c>
      <c r="AH858" t="str">
        <f>VLOOKUP(AG858,WikiFormats!$A$3:$B$999,2,0)</f>
        <v>Episode</v>
      </c>
      <c r="AI858" t="s">
        <v>901</v>
      </c>
    </row>
    <row r="859" spans="1:35" x14ac:dyDescent="0.55000000000000004">
      <c r="A859">
        <v>855</v>
      </c>
      <c r="B859">
        <v>3</v>
      </c>
      <c r="C859" t="str">
        <f>VLOOKUP(B859,Eras!$A$3:$B$999,2,0)</f>
        <v>New</v>
      </c>
      <c r="D859">
        <v>1</v>
      </c>
      <c r="E859" t="str">
        <f>VLOOKUP(D859,EpisodeFormats!$A$3:$B$999,2,0)</f>
        <v>Series</v>
      </c>
      <c r="F859">
        <v>13</v>
      </c>
      <c r="G859" t="str">
        <f>VLOOKUP(F859,Doctors!$A$3:$B$999,2,0)</f>
        <v>Jodie Whittaker</v>
      </c>
      <c r="H859">
        <v>12</v>
      </c>
      <c r="I859">
        <v>3</v>
      </c>
      <c r="J859" t="str">
        <f>VLOOKUP(I859,SeasonFormats!$A$3:$B$999,2,0)</f>
        <v>Series</v>
      </c>
      <c r="K859">
        <v>290</v>
      </c>
      <c r="L859">
        <v>3</v>
      </c>
      <c r="M859" t="s">
        <v>192</v>
      </c>
      <c r="N859">
        <v>1</v>
      </c>
      <c r="P859">
        <v>4</v>
      </c>
      <c r="Q859" s="6" t="d">
        <v>2020-01-19</v>
      </c>
      <c r="R859">
        <v>51</v>
      </c>
      <c r="T859" s="15" t="s">
        <v>1126</v>
      </c>
      <c r="U859" t="str" cm="1">
        <f t="array" ref="U859">_xlfn.TEXTJOIN(",",TRUE,_xlfn.XLOOKUP(_xlfn.FILTERXML("&lt;t&gt;&lt;s&gt;" &amp; SUBSTITUTE(T859,",","&lt;/s&gt;&lt;s&gt;") &amp; "&lt;/s&gt;&lt;/t&gt;", "//s"),Writers!$A$3:$A$999,Writers!$B$3:$B$999,""))</f>
        <v>Nina Metivier</v>
      </c>
      <c r="W859" t="str">
        <f>IF(V859="","",_xlfn.XLOOKUP(V859,Writers!$A$3:$A$999,Writers!$B$3:$B$999,""))</f>
        <v/>
      </c>
      <c r="X859">
        <v>4.04</v>
      </c>
      <c r="Y859">
        <v>5.07</v>
      </c>
      <c r="Z859">
        <v>5.2</v>
      </c>
      <c r="AA859">
        <f t="shared" si="39"/>
        <v>4.1100000000000003</v>
      </c>
      <c r="AB859">
        <f t="shared" si="40"/>
        <v>5.16</v>
      </c>
      <c r="AC859">
        <f t="shared" si="41"/>
        <v>5.29</v>
      </c>
      <c r="AD859">
        <f>VLOOKUP(YEAR(Q859),Populations!$A$3:$B$999,2,0)</f>
        <v>67081200</v>
      </c>
      <c r="AE859">
        <f>(Calculations!B1/AD859)</f>
        <v>1.0182425478375501</v>
      </c>
      <c r="AG859">
        <v>2</v>
      </c>
      <c r="AH859" t="str">
        <f>VLOOKUP(AG859,WikiFormats!$A$3:$B$999,2,0)</f>
        <v>Episode</v>
      </c>
      <c r="AI859" t="s">
        <v>902</v>
      </c>
    </row>
    <row r="860" spans="1:35" x14ac:dyDescent="0.55000000000000004">
      <c r="A860">
        <v>856</v>
      </c>
      <c r="B860">
        <v>3</v>
      </c>
      <c r="C860" t="str">
        <f>VLOOKUP(B860,Eras!$A$3:$B$999,2,0)</f>
        <v>New</v>
      </c>
      <c r="D860">
        <v>1</v>
      </c>
      <c r="E860" t="str">
        <f>VLOOKUP(D860,EpisodeFormats!$A$3:$B$999,2,0)</f>
        <v>Series</v>
      </c>
      <c r="F860">
        <v>13</v>
      </c>
      <c r="G860" t="str">
        <f>VLOOKUP(F860,Doctors!$A$3:$B$999,2,0)</f>
        <v>Jodie Whittaker</v>
      </c>
      <c r="H860">
        <v>12</v>
      </c>
      <c r="I860">
        <v>3</v>
      </c>
      <c r="J860" t="str">
        <f>VLOOKUP(I860,SeasonFormats!$A$3:$B$999,2,0)</f>
        <v>Series</v>
      </c>
      <c r="K860">
        <v>291</v>
      </c>
      <c r="L860">
        <v>4</v>
      </c>
      <c r="M860" t="s">
        <v>193</v>
      </c>
      <c r="N860">
        <v>1</v>
      </c>
      <c r="P860">
        <v>5</v>
      </c>
      <c r="Q860" s="6" t="d">
        <v>2020-01-26</v>
      </c>
      <c r="R860">
        <v>50</v>
      </c>
      <c r="T860" s="15" t="s">
        <v>1086</v>
      </c>
      <c r="U860" t="str" cm="1">
        <f t="array" ref="U860">_xlfn.TEXTJOIN(",",TRUE,_xlfn.XLOOKUP(_xlfn.FILTERXML("&lt;t&gt;&lt;s&gt;" &amp; SUBSTITUTE(T860,",","&lt;/s&gt;&lt;s&gt;") &amp; "&lt;/s&gt;&lt;/t&gt;", "//s"),Writers!$A$3:$A$999,Writers!$B$3:$B$999,""))</f>
        <v>Chris Chibnall,Vinay Patel</v>
      </c>
      <c r="W860" t="str">
        <f>IF(V860="","",_xlfn.XLOOKUP(V860,Writers!$A$3:$A$999,Writers!$B$3:$B$999,""))</f>
        <v/>
      </c>
      <c r="X860">
        <v>4.21</v>
      </c>
      <c r="Y860">
        <v>5.42</v>
      </c>
      <c r="Z860">
        <v>5.57</v>
      </c>
      <c r="AA860">
        <f t="shared" si="39"/>
        <v>4.29</v>
      </c>
      <c r="AB860">
        <f t="shared" si="40"/>
        <v>5.52</v>
      </c>
      <c r="AC860">
        <f t="shared" si="41"/>
        <v>5.67</v>
      </c>
      <c r="AD860">
        <f>VLOOKUP(YEAR(Q860),Populations!$A$3:$B$999,2,0)</f>
        <v>67081200</v>
      </c>
      <c r="AE860">
        <f>(Calculations!B1/AD860)</f>
        <v>1.0182425478375501</v>
      </c>
      <c r="AG860">
        <v>2</v>
      </c>
      <c r="AH860" t="str">
        <f>VLOOKUP(AG860,WikiFormats!$A$3:$B$999,2,0)</f>
        <v>Episode</v>
      </c>
      <c r="AI860" t="s">
        <v>903</v>
      </c>
    </row>
    <row r="861" spans="1:35" x14ac:dyDescent="0.55000000000000004">
      <c r="A861">
        <v>857</v>
      </c>
      <c r="B861">
        <v>3</v>
      </c>
      <c r="C861" t="str">
        <f>VLOOKUP(B861,Eras!$A$3:$B$999,2,0)</f>
        <v>New</v>
      </c>
      <c r="D861">
        <v>1</v>
      </c>
      <c r="E861" t="str">
        <f>VLOOKUP(D861,EpisodeFormats!$A$3:$B$999,2,0)</f>
        <v>Series</v>
      </c>
      <c r="F861">
        <v>13</v>
      </c>
      <c r="G861" t="str">
        <f>VLOOKUP(F861,Doctors!$A$3:$B$999,2,0)</f>
        <v>Jodie Whittaker</v>
      </c>
      <c r="H861">
        <v>12</v>
      </c>
      <c r="I861">
        <v>3</v>
      </c>
      <c r="J861" t="str">
        <f>VLOOKUP(I861,SeasonFormats!$A$3:$B$999,2,0)</f>
        <v>Series</v>
      </c>
      <c r="K861">
        <v>292</v>
      </c>
      <c r="L861">
        <v>5</v>
      </c>
      <c r="M861" t="s">
        <v>194</v>
      </c>
      <c r="N861">
        <v>1</v>
      </c>
      <c r="P861">
        <v>6</v>
      </c>
      <c r="Q861" s="6" t="d">
        <v>2020-02-02</v>
      </c>
      <c r="R861">
        <v>50</v>
      </c>
      <c r="T861" s="15" t="s">
        <v>1087</v>
      </c>
      <c r="U861" t="str" cm="1">
        <f t="array" ref="U861">_xlfn.TEXTJOIN(",",TRUE,_xlfn.XLOOKUP(_xlfn.FILTERXML("&lt;t&gt;&lt;s&gt;" &amp; SUBSTITUTE(T861,",","&lt;/s&gt;&lt;s&gt;") &amp; "&lt;/s&gt;&lt;/t&gt;", "//s"),Writers!$A$3:$A$999,Writers!$B$3:$B$999,""))</f>
        <v>Chris Chibnall,Pete McTighe</v>
      </c>
      <c r="W861" t="str">
        <f>IF(V861="","",_xlfn.XLOOKUP(V861,Writers!$A$3:$A$999,Writers!$B$3:$B$999,""))</f>
        <v/>
      </c>
      <c r="X861">
        <v>3.97</v>
      </c>
      <c r="Y861">
        <v>5.09</v>
      </c>
      <c r="Z861">
        <v>5.22</v>
      </c>
      <c r="AA861">
        <f t="shared" si="39"/>
        <v>4.04</v>
      </c>
      <c r="AB861">
        <f t="shared" si="40"/>
        <v>5.18</v>
      </c>
      <c r="AC861">
        <f t="shared" si="41"/>
        <v>5.32</v>
      </c>
      <c r="AD861">
        <f>VLOOKUP(YEAR(Q861),Populations!$A$3:$B$999,2,0)</f>
        <v>67081200</v>
      </c>
      <c r="AE861">
        <f>(Calculations!B1/AD861)</f>
        <v>1.0182425478375501</v>
      </c>
      <c r="AG861">
        <v>2</v>
      </c>
      <c r="AH861" t="str">
        <f>VLOOKUP(AG861,WikiFormats!$A$3:$B$999,2,0)</f>
        <v>Episode</v>
      </c>
      <c r="AI861" t="s">
        <v>904</v>
      </c>
    </row>
    <row r="862" spans="1:35" x14ac:dyDescent="0.55000000000000004">
      <c r="A862">
        <v>858</v>
      </c>
      <c r="B862">
        <v>3</v>
      </c>
      <c r="C862" t="str">
        <f>VLOOKUP(B862,Eras!$A$3:$B$999,2,0)</f>
        <v>New</v>
      </c>
      <c r="D862">
        <v>1</v>
      </c>
      <c r="E862" t="str">
        <f>VLOOKUP(D862,EpisodeFormats!$A$3:$B$999,2,0)</f>
        <v>Series</v>
      </c>
      <c r="F862">
        <v>13</v>
      </c>
      <c r="G862" t="str">
        <f>VLOOKUP(F862,Doctors!$A$3:$B$999,2,0)</f>
        <v>Jodie Whittaker</v>
      </c>
      <c r="H862">
        <v>12</v>
      </c>
      <c r="I862">
        <v>3</v>
      </c>
      <c r="J862" t="str">
        <f>VLOOKUP(I862,SeasonFormats!$A$3:$B$999,2,0)</f>
        <v>Series</v>
      </c>
      <c r="K862">
        <v>293</v>
      </c>
      <c r="L862">
        <v>6</v>
      </c>
      <c r="M862" t="s">
        <v>195</v>
      </c>
      <c r="N862">
        <v>1</v>
      </c>
      <c r="P862">
        <v>7</v>
      </c>
      <c r="Q862" s="6" t="d">
        <v>2020-02-09</v>
      </c>
      <c r="R862">
        <v>49</v>
      </c>
      <c r="T862" s="15" t="s">
        <v>1088</v>
      </c>
      <c r="U862" t="str" cm="1">
        <f t="array" ref="U862">_xlfn.TEXTJOIN(",",TRUE,_xlfn.XLOOKUP(_xlfn.FILTERXML("&lt;t&gt;&lt;s&gt;" &amp; SUBSTITUTE(T862,",","&lt;/s&gt;&lt;s&gt;") &amp; "&lt;/s&gt;&lt;/t&gt;", "//s"),Writers!$A$3:$A$999,Writers!$B$3:$B$999,""))</f>
        <v>Chris Chibnall,Charlene James</v>
      </c>
      <c r="W862" t="str">
        <f>IF(V862="","",_xlfn.XLOOKUP(V862,Writers!$A$3:$A$999,Writers!$B$3:$B$999,""))</f>
        <v/>
      </c>
      <c r="X862">
        <v>3.81</v>
      </c>
      <c r="Y862">
        <v>4.7699999999999996</v>
      </c>
      <c r="Z862">
        <v>4.9000000000000004</v>
      </c>
      <c r="AA862">
        <f t="shared" si="39"/>
        <v>3.88</v>
      </c>
      <c r="AB862">
        <f t="shared" si="40"/>
        <v>4.8600000000000003</v>
      </c>
      <c r="AC862">
        <f t="shared" si="41"/>
        <v>4.99</v>
      </c>
      <c r="AD862">
        <f>VLOOKUP(YEAR(Q862),Populations!$A$3:$B$999,2,0)</f>
        <v>67081200</v>
      </c>
      <c r="AE862">
        <f>(Calculations!B1/AD862)</f>
        <v>1.0182425478375501</v>
      </c>
      <c r="AG862">
        <v>2</v>
      </c>
      <c r="AH862" t="str">
        <f>VLOOKUP(AG862,WikiFormats!$A$3:$B$999,2,0)</f>
        <v>Episode</v>
      </c>
      <c r="AI862" t="s">
        <v>905</v>
      </c>
    </row>
    <row r="863" spans="1:35" x14ac:dyDescent="0.55000000000000004">
      <c r="A863">
        <v>859</v>
      </c>
      <c r="B863">
        <v>3</v>
      </c>
      <c r="C863" t="str">
        <f>VLOOKUP(B863,Eras!$A$3:$B$999,2,0)</f>
        <v>New</v>
      </c>
      <c r="D863">
        <v>1</v>
      </c>
      <c r="E863" t="str">
        <f>VLOOKUP(D863,EpisodeFormats!$A$3:$B$999,2,0)</f>
        <v>Series</v>
      </c>
      <c r="F863">
        <v>13</v>
      </c>
      <c r="G863" t="str">
        <f>VLOOKUP(F863,Doctors!$A$3:$B$999,2,0)</f>
        <v>Jodie Whittaker</v>
      </c>
      <c r="H863">
        <v>12</v>
      </c>
      <c r="I863">
        <v>3</v>
      </c>
      <c r="J863" t="str">
        <f>VLOOKUP(I863,SeasonFormats!$A$3:$B$999,2,0)</f>
        <v>Series</v>
      </c>
      <c r="K863">
        <v>294</v>
      </c>
      <c r="L863">
        <v>7</v>
      </c>
      <c r="M863" t="s">
        <v>196</v>
      </c>
      <c r="N863">
        <v>1</v>
      </c>
      <c r="P863">
        <v>8</v>
      </c>
      <c r="Q863" s="6" t="d">
        <v>2020-02-16</v>
      </c>
      <c r="R863">
        <v>50</v>
      </c>
      <c r="T863" s="15" t="s">
        <v>1070</v>
      </c>
      <c r="U863" t="str" cm="1">
        <f t="array" ref="U863">_xlfn.TEXTJOIN(",",TRUE,_xlfn.XLOOKUP(_xlfn.FILTERXML("&lt;t&gt;&lt;s&gt;" &amp; SUBSTITUTE(T863,",","&lt;/s&gt;&lt;s&gt;") &amp; "&lt;/s&gt;&lt;/t&gt;", "//s"),Writers!$A$3:$A$999,Writers!$B$3:$B$999,""))</f>
        <v>Maxine Alderton</v>
      </c>
      <c r="W863" t="str">
        <f>IF(V863="","",_xlfn.XLOOKUP(V863,Writers!$A$3:$A$999,Writers!$B$3:$B$999,""))</f>
        <v/>
      </c>
      <c r="X863">
        <v>3.86</v>
      </c>
      <c r="Y863">
        <v>4.95</v>
      </c>
      <c r="Z863">
        <v>5.07</v>
      </c>
      <c r="AA863">
        <f t="shared" si="39"/>
        <v>3.93</v>
      </c>
      <c r="AB863">
        <f t="shared" si="40"/>
        <v>5.04</v>
      </c>
      <c r="AC863">
        <f t="shared" si="41"/>
        <v>5.16</v>
      </c>
      <c r="AD863">
        <f>VLOOKUP(YEAR(Q863),Populations!$A$3:$B$999,2,0)</f>
        <v>67081200</v>
      </c>
      <c r="AE863">
        <f>(Calculations!B1/AD863)</f>
        <v>1.0182425478375501</v>
      </c>
      <c r="AG863">
        <v>2</v>
      </c>
      <c r="AH863" t="str">
        <f>VLOOKUP(AG863,WikiFormats!$A$3:$B$999,2,0)</f>
        <v>Episode</v>
      </c>
      <c r="AI863" t="s">
        <v>906</v>
      </c>
    </row>
    <row r="864" spans="1:35" x14ac:dyDescent="0.55000000000000004">
      <c r="A864">
        <v>860</v>
      </c>
      <c r="B864">
        <v>3</v>
      </c>
      <c r="C864" t="str">
        <f>VLOOKUP(B864,Eras!$A$3:$B$999,2,0)</f>
        <v>New</v>
      </c>
      <c r="D864">
        <v>1</v>
      </c>
      <c r="E864" t="str">
        <f>VLOOKUP(D864,EpisodeFormats!$A$3:$B$999,2,0)</f>
        <v>Series</v>
      </c>
      <c r="F864">
        <v>13</v>
      </c>
      <c r="G864" t="str">
        <f>VLOOKUP(F864,Doctors!$A$3:$B$999,2,0)</f>
        <v>Jodie Whittaker</v>
      </c>
      <c r="H864">
        <v>12</v>
      </c>
      <c r="I864">
        <v>3</v>
      </c>
      <c r="J864" t="str">
        <f>VLOOKUP(I864,SeasonFormats!$A$3:$B$999,2,0)</f>
        <v>Series</v>
      </c>
      <c r="K864">
        <v>295</v>
      </c>
      <c r="L864">
        <v>8</v>
      </c>
      <c r="M864" t="s">
        <v>197</v>
      </c>
      <c r="N864">
        <v>1</v>
      </c>
      <c r="P864">
        <v>9</v>
      </c>
      <c r="Q864" s="6" t="d">
        <v>2020-02-23</v>
      </c>
      <c r="R864">
        <v>49</v>
      </c>
      <c r="T864" s="15" t="s">
        <v>1084</v>
      </c>
      <c r="U864" t="str" cm="1">
        <f t="array" ref="U864">_xlfn.TEXTJOIN(",",TRUE,_xlfn.XLOOKUP(_xlfn.FILTERXML("&lt;t&gt;&lt;s&gt;" &amp; SUBSTITUTE(T864,",","&lt;/s&gt;&lt;s&gt;") &amp; "&lt;/s&gt;&lt;/t&gt;", "//s"),Writers!$A$3:$A$999,Writers!$B$3:$B$999,""))</f>
        <v>Chris Chibnall</v>
      </c>
      <c r="W864" t="str">
        <f>IF(V864="","",_xlfn.XLOOKUP(V864,Writers!$A$3:$A$999,Writers!$B$3:$B$999,""))</f>
        <v/>
      </c>
      <c r="X864">
        <v>3.71</v>
      </c>
      <c r="Y864">
        <v>4.8499999999999996</v>
      </c>
      <c r="Z864">
        <v>4.99</v>
      </c>
      <c r="AA864">
        <f t="shared" si="39"/>
        <v>3.78</v>
      </c>
      <c r="AB864">
        <f t="shared" si="40"/>
        <v>4.9400000000000004</v>
      </c>
      <c r="AC864">
        <f t="shared" si="41"/>
        <v>5.08</v>
      </c>
      <c r="AD864">
        <f>VLOOKUP(YEAR(Q864),Populations!$A$3:$B$999,2,0)</f>
        <v>67081200</v>
      </c>
      <c r="AE864">
        <f>(Calculations!B1/AD864)</f>
        <v>1.0182425478375501</v>
      </c>
      <c r="AG864">
        <v>2</v>
      </c>
      <c r="AH864" t="str">
        <f>VLOOKUP(AG864,WikiFormats!$A$3:$B$999,2,0)</f>
        <v>Episode</v>
      </c>
      <c r="AI864" t="s">
        <v>907</v>
      </c>
    </row>
    <row r="865" spans="1:35" x14ac:dyDescent="0.55000000000000004">
      <c r="A865">
        <v>861</v>
      </c>
      <c r="B865">
        <v>3</v>
      </c>
      <c r="C865" t="str">
        <f>VLOOKUP(B865,Eras!$A$3:$B$999,2,0)</f>
        <v>New</v>
      </c>
      <c r="D865">
        <v>1</v>
      </c>
      <c r="E865" t="str">
        <f>VLOOKUP(D865,EpisodeFormats!$A$3:$B$999,2,0)</f>
        <v>Series</v>
      </c>
      <c r="F865">
        <v>13</v>
      </c>
      <c r="G865" t="str">
        <f>VLOOKUP(F865,Doctors!$A$3:$B$999,2,0)</f>
        <v>Jodie Whittaker</v>
      </c>
      <c r="H865">
        <v>12</v>
      </c>
      <c r="I865">
        <v>3</v>
      </c>
      <c r="J865" t="str">
        <f>VLOOKUP(I865,SeasonFormats!$A$3:$B$999,2,0)</f>
        <v>Series</v>
      </c>
      <c r="K865">
        <v>295</v>
      </c>
      <c r="L865">
        <v>8</v>
      </c>
      <c r="M865" t="s">
        <v>198</v>
      </c>
      <c r="N865">
        <v>2</v>
      </c>
      <c r="P865">
        <v>10</v>
      </c>
      <c r="Q865" s="6" t="d">
        <v>2020-03-01</v>
      </c>
      <c r="R865">
        <v>66</v>
      </c>
      <c r="T865" s="15" t="s">
        <v>1084</v>
      </c>
      <c r="U865" t="str" cm="1">
        <f t="array" ref="U865">_xlfn.TEXTJOIN(",",TRUE,_xlfn.XLOOKUP(_xlfn.FILTERXML("&lt;t&gt;&lt;s&gt;" &amp; SUBSTITUTE(T865,",","&lt;/s&gt;&lt;s&gt;") &amp; "&lt;/s&gt;&lt;/t&gt;", "//s"),Writers!$A$3:$A$999,Writers!$B$3:$B$999,""))</f>
        <v>Chris Chibnall</v>
      </c>
      <c r="W865" t="str">
        <f>IF(V865="","",_xlfn.XLOOKUP(V865,Writers!$A$3:$A$999,Writers!$B$3:$B$999,""))</f>
        <v/>
      </c>
      <c r="X865">
        <v>3.78</v>
      </c>
      <c r="Y865">
        <v>4.55</v>
      </c>
      <c r="Z865">
        <v>4.6900000000000004</v>
      </c>
      <c r="AA865">
        <f t="shared" si="39"/>
        <v>3.85</v>
      </c>
      <c r="AB865">
        <f t="shared" si="40"/>
        <v>4.63</v>
      </c>
      <c r="AC865">
        <f t="shared" si="41"/>
        <v>4.78</v>
      </c>
      <c r="AD865">
        <f>VLOOKUP(YEAR(Q865),Populations!$A$3:$B$999,2,0)</f>
        <v>67081200</v>
      </c>
      <c r="AE865">
        <f>(Calculations!B1/AD865)</f>
        <v>1.0182425478375501</v>
      </c>
      <c r="AG865">
        <v>2</v>
      </c>
      <c r="AH865" t="str">
        <f>VLOOKUP(AG865,WikiFormats!$A$3:$B$999,2,0)</f>
        <v>Episode</v>
      </c>
      <c r="AI865" t="s">
        <v>908</v>
      </c>
    </row>
    <row r="866" spans="1:35" s="3" customFormat="1" x14ac:dyDescent="0.55000000000000004">
      <c r="A866" s="3">
        <v>862</v>
      </c>
      <c r="B866" s="3">
        <v>3</v>
      </c>
      <c r="C866" s="3" t="str">
        <f>VLOOKUP(B866,Eras!$A$3:$B$999,2,0)</f>
        <v>New</v>
      </c>
      <c r="D866" s="3">
        <v>2</v>
      </c>
      <c r="E866" s="3" t="str">
        <f>VLOOKUP(D866,EpisodeFormats!$A$3:$B$999,2,0)</f>
        <v>Special</v>
      </c>
      <c r="F866" s="3">
        <v>13</v>
      </c>
      <c r="G866" s="3" t="str">
        <f>VLOOKUP(F866,Doctors!$A$3:$B$999,2,0)</f>
        <v>Jodie Whittaker</v>
      </c>
      <c r="I866" s="3">
        <v>4</v>
      </c>
      <c r="J866" s="3" t="str">
        <f>VLOOKUP(I866,SeasonFormats!$A$3:$B$999,2,0)</f>
        <v>Special</v>
      </c>
      <c r="K866" s="3">
        <v>296</v>
      </c>
      <c r="M866" s="3" t="s">
        <v>199</v>
      </c>
      <c r="N866" s="3">
        <v>1</v>
      </c>
      <c r="Q866" s="7" t="d">
        <v>2021-01-01</v>
      </c>
      <c r="R866" s="3">
        <v>71</v>
      </c>
      <c r="T866" s="4" t="s">
        <v>1084</v>
      </c>
      <c r="U866" s="3" t="str" cm="1">
        <f t="array" ref="U866">_xlfn.TEXTJOIN(",",TRUE,_xlfn.XLOOKUP(_xlfn.FILTERXML("&lt;t&gt;&lt;s&gt;" &amp; SUBSTITUTE(T866,",","&lt;/s&gt;&lt;s&gt;") &amp; "&lt;/s&gt;&lt;/t&gt;", "//s"),Writers!$A$3:$A$999,Writers!$B$3:$B$999,""))</f>
        <v>Chris Chibnall</v>
      </c>
      <c r="W866" s="3" t="str">
        <f>IF(V866="","",_xlfn.XLOOKUP(V866,Writers!$A$3:$A$999,Writers!$B$3:$B$999,""))</f>
        <v/>
      </c>
      <c r="X866" s="3">
        <v>4.6900000000000004</v>
      </c>
      <c r="Y866" s="3">
        <v>6.25</v>
      </c>
      <c r="Z866" s="3">
        <v>6.36</v>
      </c>
      <c r="AA866" s="3">
        <f t="shared" si="39"/>
        <v>4.76</v>
      </c>
      <c r="AB866" s="3">
        <f t="shared" si="40"/>
        <v>6.34</v>
      </c>
      <c r="AC866" s="3">
        <f t="shared" si="41"/>
        <v>6.45</v>
      </c>
      <c r="AD866" s="3">
        <f>VLOOKUP(YEAR(Q866),Populations!$A$3:$B$999,2,0)</f>
        <v>67350695</v>
      </c>
      <c r="AE866" s="3">
        <f>(Calculations!B1/AD866)</f>
        <v>1.01416818341667</v>
      </c>
      <c r="AF866" s="3" t="s">
        <v>536</v>
      </c>
      <c r="AG866" s="3">
        <v>2</v>
      </c>
      <c r="AH866" s="3" t="str">
        <f>VLOOKUP(AG866,WikiFormats!$A$3:$B$999,2,0)</f>
        <v>Episode</v>
      </c>
      <c r="AI866" s="3" t="s">
        <v>899</v>
      </c>
    </row>
    <row r="867" spans="1:35" x14ac:dyDescent="0.55000000000000004">
      <c r="A867">
        <v>863</v>
      </c>
      <c r="B867">
        <v>3</v>
      </c>
      <c r="C867" t="str">
        <f>VLOOKUP(B867,Eras!$A$3:$B$999,2,0)</f>
        <v>New</v>
      </c>
      <c r="D867">
        <v>1</v>
      </c>
      <c r="E867" t="str">
        <f>VLOOKUP(D867,EpisodeFormats!$A$3:$B$999,2,0)</f>
        <v>Series</v>
      </c>
      <c r="F867">
        <v>13</v>
      </c>
      <c r="G867" t="str">
        <f>VLOOKUP(F867,Doctors!$A$3:$B$999,2,0)</f>
        <v>Jodie Whittaker</v>
      </c>
      <c r="H867">
        <v>13</v>
      </c>
      <c r="I867">
        <v>3</v>
      </c>
      <c r="J867" t="str">
        <f>VLOOKUP(I867,SeasonFormats!$A$3:$B$999,2,0)</f>
        <v>Series</v>
      </c>
      <c r="K867">
        <v>297</v>
      </c>
      <c r="L867">
        <v>1</v>
      </c>
      <c r="M867" t="s">
        <v>229</v>
      </c>
      <c r="N867">
        <v>1</v>
      </c>
      <c r="O867" t="s">
        <v>200</v>
      </c>
      <c r="P867">
        <v>1</v>
      </c>
      <c r="Q867" s="6" t="d">
        <v>2021-10-31</v>
      </c>
      <c r="R867">
        <v>50</v>
      </c>
      <c r="T867" s="15" t="s">
        <v>1084</v>
      </c>
      <c r="U867" t="str" cm="1">
        <f t="array" ref="U867">_xlfn.TEXTJOIN(",",TRUE,_xlfn.XLOOKUP(_xlfn.FILTERXML("&lt;t&gt;&lt;s&gt;" &amp; SUBSTITUTE(T867,",","&lt;/s&gt;&lt;s&gt;") &amp; "&lt;/s&gt;&lt;/t&gt;", "//s"),Writers!$A$3:$A$999,Writers!$B$3:$B$999,""))</f>
        <v>Chris Chibnall</v>
      </c>
      <c r="W867" t="str">
        <f>IF(V867="","",_xlfn.XLOOKUP(V867,Writers!$A$3:$A$999,Writers!$B$3:$B$999,""))</f>
        <v/>
      </c>
      <c r="X867">
        <v>4.43</v>
      </c>
      <c r="Y867">
        <v>5.69</v>
      </c>
      <c r="Z867">
        <v>5.81</v>
      </c>
      <c r="AA867">
        <f t="shared" si="39"/>
        <v>4.49</v>
      </c>
      <c r="AB867">
        <f t="shared" si="40"/>
        <v>5.77</v>
      </c>
      <c r="AC867">
        <f t="shared" si="41"/>
        <v>5.89</v>
      </c>
      <c r="AD867">
        <f>VLOOKUP(YEAR(Q867),Populations!$A$3:$B$999,2,0)</f>
        <v>67350695</v>
      </c>
      <c r="AE867">
        <f>(Calculations!B1/AD867)</f>
        <v>1.01416818341667</v>
      </c>
      <c r="AG867">
        <v>2</v>
      </c>
      <c r="AH867" t="str">
        <f>VLOOKUP(AG867,WikiFormats!$A$3:$B$999,2,0)</f>
        <v>Episode</v>
      </c>
      <c r="AI867" t="s">
        <v>909</v>
      </c>
    </row>
    <row r="868" spans="1:35" x14ac:dyDescent="0.55000000000000004">
      <c r="A868">
        <v>864</v>
      </c>
      <c r="B868">
        <v>3</v>
      </c>
      <c r="C868" t="str">
        <f>VLOOKUP(B868,Eras!$A$3:$B$999,2,0)</f>
        <v>New</v>
      </c>
      <c r="D868">
        <v>1</v>
      </c>
      <c r="E868" t="str">
        <f>VLOOKUP(D868,EpisodeFormats!$A$3:$B$999,2,0)</f>
        <v>Series</v>
      </c>
      <c r="F868">
        <v>13</v>
      </c>
      <c r="G868" t="str">
        <f>VLOOKUP(F868,Doctors!$A$3:$B$999,2,0)</f>
        <v>Jodie Whittaker</v>
      </c>
      <c r="H868">
        <v>13</v>
      </c>
      <c r="I868">
        <v>3</v>
      </c>
      <c r="J868" t="str">
        <f>VLOOKUP(I868,SeasonFormats!$A$3:$B$999,2,0)</f>
        <v>Series</v>
      </c>
      <c r="K868">
        <v>297</v>
      </c>
      <c r="L868">
        <v>1</v>
      </c>
      <c r="M868" t="s">
        <v>229</v>
      </c>
      <c r="N868">
        <v>2</v>
      </c>
      <c r="O868" t="s">
        <v>201</v>
      </c>
      <c r="P868">
        <v>2</v>
      </c>
      <c r="Q868" s="6" t="d">
        <v>2021-11-07</v>
      </c>
      <c r="R868">
        <v>59</v>
      </c>
      <c r="T868" s="15" t="s">
        <v>1084</v>
      </c>
      <c r="U868" t="str" cm="1">
        <f t="array" ref="U868">_xlfn.TEXTJOIN(",",TRUE,_xlfn.XLOOKUP(_xlfn.FILTERXML("&lt;t&gt;&lt;s&gt;" &amp; SUBSTITUTE(T868,",","&lt;/s&gt;&lt;s&gt;") &amp; "&lt;/s&gt;&lt;/t&gt;", "//s"),Writers!$A$3:$A$999,Writers!$B$3:$B$999,""))</f>
        <v>Chris Chibnall</v>
      </c>
      <c r="W868" t="str">
        <f>IF(V868="","",_xlfn.XLOOKUP(V868,Writers!$A$3:$A$999,Writers!$B$3:$B$999,""))</f>
        <v/>
      </c>
      <c r="X868">
        <v>3.96</v>
      </c>
      <c r="Y868">
        <v>5.0199999999999996</v>
      </c>
      <c r="Z868">
        <v>5.13</v>
      </c>
      <c r="AA868">
        <f t="shared" si="39"/>
        <v>4.0199999999999996</v>
      </c>
      <c r="AB868">
        <f t="shared" si="40"/>
        <v>5.09</v>
      </c>
      <c r="AC868">
        <f t="shared" si="41"/>
        <v>5.2</v>
      </c>
      <c r="AD868">
        <f>VLOOKUP(YEAR(Q868),Populations!$A$3:$B$999,2,0)</f>
        <v>67350695</v>
      </c>
      <c r="AE868">
        <f>(Calculations!B1/AD868)</f>
        <v>1.01416818341667</v>
      </c>
      <c r="AF868" t="s">
        <v>537</v>
      </c>
      <c r="AG868">
        <v>2</v>
      </c>
      <c r="AH868" t="str">
        <f>VLOOKUP(AG868,WikiFormats!$A$3:$B$999,2,0)</f>
        <v>Episode</v>
      </c>
      <c r="AI868" t="s">
        <v>910</v>
      </c>
    </row>
    <row r="869" spans="1:35" x14ac:dyDescent="0.55000000000000004">
      <c r="A869">
        <v>865</v>
      </c>
      <c r="B869">
        <v>3</v>
      </c>
      <c r="C869" t="str">
        <f>VLOOKUP(B869,Eras!$A$3:$B$999,2,0)</f>
        <v>New</v>
      </c>
      <c r="D869">
        <v>1</v>
      </c>
      <c r="E869" t="str">
        <f>VLOOKUP(D869,EpisodeFormats!$A$3:$B$999,2,0)</f>
        <v>Series</v>
      </c>
      <c r="F869">
        <v>13</v>
      </c>
      <c r="G869" t="str">
        <f>VLOOKUP(F869,Doctors!$A$3:$B$999,2,0)</f>
        <v>Jodie Whittaker</v>
      </c>
      <c r="H869">
        <v>13</v>
      </c>
      <c r="I869">
        <v>3</v>
      </c>
      <c r="J869" t="str">
        <f>VLOOKUP(I869,SeasonFormats!$A$3:$B$999,2,0)</f>
        <v>Series</v>
      </c>
      <c r="K869">
        <v>297</v>
      </c>
      <c r="L869">
        <v>1</v>
      </c>
      <c r="M869" t="s">
        <v>229</v>
      </c>
      <c r="N869">
        <v>3</v>
      </c>
      <c r="O869" t="s">
        <v>202</v>
      </c>
      <c r="P869">
        <v>3</v>
      </c>
      <c r="Q869" s="6" t="d">
        <v>2021-11-14</v>
      </c>
      <c r="R869">
        <v>49</v>
      </c>
      <c r="T869" s="15" t="s">
        <v>1084</v>
      </c>
      <c r="U869" t="str" cm="1">
        <f t="array" ref="U869">_xlfn.TEXTJOIN(",",TRUE,_xlfn.XLOOKUP(_xlfn.FILTERXML("&lt;t&gt;&lt;s&gt;" &amp; SUBSTITUTE(T869,",","&lt;/s&gt;&lt;s&gt;") &amp; "&lt;/s&gt;&lt;/t&gt;", "//s"),Writers!$A$3:$A$999,Writers!$B$3:$B$999,""))</f>
        <v>Chris Chibnall</v>
      </c>
      <c r="W869" t="str">
        <f>IF(V869="","",_xlfn.XLOOKUP(V869,Writers!$A$3:$A$999,Writers!$B$3:$B$999,""))</f>
        <v/>
      </c>
      <c r="X869">
        <v>3.76</v>
      </c>
      <c r="Y869">
        <v>4.59</v>
      </c>
      <c r="Z869">
        <v>4.7</v>
      </c>
      <c r="AA869">
        <f t="shared" si="39"/>
        <v>3.81</v>
      </c>
      <c r="AB869">
        <f t="shared" si="40"/>
        <v>4.66</v>
      </c>
      <c r="AC869">
        <f t="shared" si="41"/>
        <v>4.7699999999999996</v>
      </c>
      <c r="AD869">
        <f>VLOOKUP(YEAR(Q869),Populations!$A$3:$B$999,2,0)</f>
        <v>67350695</v>
      </c>
      <c r="AE869">
        <f>(Calculations!B1/AD869)</f>
        <v>1.01416818341667</v>
      </c>
      <c r="AF869" t="s">
        <v>538</v>
      </c>
      <c r="AG869">
        <v>2</v>
      </c>
      <c r="AH869" t="str">
        <f>VLOOKUP(AG869,WikiFormats!$A$3:$B$999,2,0)</f>
        <v>Episode</v>
      </c>
      <c r="AI869" t="s">
        <v>911</v>
      </c>
    </row>
    <row r="870" spans="1:35" x14ac:dyDescent="0.55000000000000004">
      <c r="A870">
        <v>866</v>
      </c>
      <c r="B870">
        <v>3</v>
      </c>
      <c r="C870" t="str">
        <f>VLOOKUP(B870,Eras!$A$3:$B$999,2,0)</f>
        <v>New</v>
      </c>
      <c r="D870">
        <v>1</v>
      </c>
      <c r="E870" t="str">
        <f>VLOOKUP(D870,EpisodeFormats!$A$3:$B$999,2,0)</f>
        <v>Series</v>
      </c>
      <c r="F870">
        <v>13</v>
      </c>
      <c r="G870" t="str">
        <f>VLOOKUP(F870,Doctors!$A$3:$B$999,2,0)</f>
        <v>Jodie Whittaker</v>
      </c>
      <c r="H870">
        <v>13</v>
      </c>
      <c r="I870">
        <v>3</v>
      </c>
      <c r="J870" t="str">
        <f>VLOOKUP(I870,SeasonFormats!$A$3:$B$999,2,0)</f>
        <v>Series</v>
      </c>
      <c r="K870">
        <v>297</v>
      </c>
      <c r="L870">
        <v>1</v>
      </c>
      <c r="M870" t="s">
        <v>229</v>
      </c>
      <c r="N870">
        <v>4</v>
      </c>
      <c r="O870" t="s">
        <v>203</v>
      </c>
      <c r="P870">
        <v>4</v>
      </c>
      <c r="Q870" s="6" t="d">
        <v>2021-11-21</v>
      </c>
      <c r="R870">
        <v>57</v>
      </c>
      <c r="T870" s="15" t="s">
        <v>1071</v>
      </c>
      <c r="U870" t="str" cm="1">
        <f t="array" ref="U870">_xlfn.TEXTJOIN(",",TRUE,_xlfn.XLOOKUP(_xlfn.FILTERXML("&lt;t&gt;&lt;s&gt;" &amp; SUBSTITUTE(T870,",","&lt;/s&gt;&lt;s&gt;") &amp; "&lt;/s&gt;&lt;/t&gt;", "//s"),Writers!$A$3:$A$999,Writers!$B$3:$B$999,""))</f>
        <v>Maxine Alderton,Chris Chibnall</v>
      </c>
      <c r="W870" t="str">
        <f>IF(V870="","",_xlfn.XLOOKUP(V870,Writers!$A$3:$A$999,Writers!$B$3:$B$999,""))</f>
        <v/>
      </c>
      <c r="X870">
        <v>3.45</v>
      </c>
      <c r="Y870">
        <v>4.47</v>
      </c>
      <c r="Z870">
        <v>4.57</v>
      </c>
      <c r="AA870">
        <f t="shared" si="39"/>
        <v>3.5</v>
      </c>
      <c r="AB870">
        <f t="shared" si="40"/>
        <v>4.53</v>
      </c>
      <c r="AC870">
        <f t="shared" si="41"/>
        <v>4.63</v>
      </c>
      <c r="AD870">
        <f>VLOOKUP(YEAR(Q870),Populations!$A$3:$B$999,2,0)</f>
        <v>67350695</v>
      </c>
      <c r="AE870">
        <f>(Calculations!B1/AD870)</f>
        <v>1.01416818341667</v>
      </c>
      <c r="AG870">
        <v>2</v>
      </c>
      <c r="AH870" t="str">
        <f>VLOOKUP(AG870,WikiFormats!$A$3:$B$999,2,0)</f>
        <v>Episode</v>
      </c>
      <c r="AI870" t="s">
        <v>912</v>
      </c>
    </row>
    <row r="871" spans="1:35" x14ac:dyDescent="0.55000000000000004">
      <c r="A871">
        <v>867</v>
      </c>
      <c r="B871">
        <v>3</v>
      </c>
      <c r="C871" t="str">
        <f>VLOOKUP(B871,Eras!$A$3:$B$999,2,0)</f>
        <v>New</v>
      </c>
      <c r="D871">
        <v>1</v>
      </c>
      <c r="E871" t="str">
        <f>VLOOKUP(D871,EpisodeFormats!$A$3:$B$999,2,0)</f>
        <v>Series</v>
      </c>
      <c r="F871">
        <v>13</v>
      </c>
      <c r="G871" t="str">
        <f>VLOOKUP(F871,Doctors!$A$3:$B$999,2,0)</f>
        <v>Jodie Whittaker</v>
      </c>
      <c r="H871">
        <v>13</v>
      </c>
      <c r="I871">
        <v>3</v>
      </c>
      <c r="J871" t="str">
        <f>VLOOKUP(I871,SeasonFormats!$A$3:$B$999,2,0)</f>
        <v>Series</v>
      </c>
      <c r="K871">
        <v>297</v>
      </c>
      <c r="L871">
        <v>1</v>
      </c>
      <c r="M871" t="s">
        <v>229</v>
      </c>
      <c r="N871">
        <v>5</v>
      </c>
      <c r="O871" t="s">
        <v>204</v>
      </c>
      <c r="P871">
        <v>5</v>
      </c>
      <c r="Q871" s="6" t="d">
        <v>2021-11-28</v>
      </c>
      <c r="R871">
        <v>51</v>
      </c>
      <c r="T871" s="15" t="s">
        <v>1084</v>
      </c>
      <c r="U871" t="str" cm="1">
        <f t="array" ref="U871">_xlfn.TEXTJOIN(",",TRUE,_xlfn.XLOOKUP(_xlfn.FILTERXML("&lt;t&gt;&lt;s&gt;" &amp; SUBSTITUTE(T871,",","&lt;/s&gt;&lt;s&gt;") &amp; "&lt;/s&gt;&lt;/t&gt;", "//s"),Writers!$A$3:$A$999,Writers!$B$3:$B$999,""))</f>
        <v>Chris Chibnall</v>
      </c>
      <c r="W871" t="str">
        <f>IF(V871="","",_xlfn.XLOOKUP(V871,Writers!$A$3:$A$999,Writers!$B$3:$B$999,""))</f>
        <v/>
      </c>
      <c r="X871">
        <v>3.82</v>
      </c>
      <c r="Y871">
        <v>4.72</v>
      </c>
      <c r="Z871">
        <v>4.83</v>
      </c>
      <c r="AA871">
        <f t="shared" si="39"/>
        <v>3.87</v>
      </c>
      <c r="AB871">
        <f t="shared" si="40"/>
        <v>4.79</v>
      </c>
      <c r="AC871">
        <f t="shared" si="41"/>
        <v>4.9000000000000004</v>
      </c>
      <c r="AD871">
        <f>VLOOKUP(YEAR(Q871),Populations!$A$3:$B$999,2,0)</f>
        <v>67350695</v>
      </c>
      <c r="AE871">
        <f>(Calculations!B1/AD871)</f>
        <v>1.01416818341667</v>
      </c>
      <c r="AG871">
        <v>2</v>
      </c>
      <c r="AH871" t="str">
        <f>VLOOKUP(AG871,WikiFormats!$A$3:$B$999,2,0)</f>
        <v>Episode</v>
      </c>
      <c r="AI871" t="s">
        <v>913</v>
      </c>
    </row>
    <row r="872" spans="1:35" x14ac:dyDescent="0.55000000000000004">
      <c r="A872">
        <v>868</v>
      </c>
      <c r="B872">
        <v>3</v>
      </c>
      <c r="C872" t="str">
        <f>VLOOKUP(B872,Eras!$A$3:$B$999,2,0)</f>
        <v>New</v>
      </c>
      <c r="D872">
        <v>1</v>
      </c>
      <c r="E872" t="str">
        <f>VLOOKUP(D872,EpisodeFormats!$A$3:$B$999,2,0)</f>
        <v>Series</v>
      </c>
      <c r="F872">
        <v>13</v>
      </c>
      <c r="G872" t="str">
        <f>VLOOKUP(F872,Doctors!$A$3:$B$999,2,0)</f>
        <v>Jodie Whittaker</v>
      </c>
      <c r="H872">
        <v>13</v>
      </c>
      <c r="I872">
        <v>3</v>
      </c>
      <c r="J872" t="str">
        <f>VLOOKUP(I872,SeasonFormats!$A$3:$B$999,2,0)</f>
        <v>Series</v>
      </c>
      <c r="K872">
        <v>297</v>
      </c>
      <c r="L872">
        <v>1</v>
      </c>
      <c r="M872" t="s">
        <v>229</v>
      </c>
      <c r="N872">
        <v>6</v>
      </c>
      <c r="O872" t="s">
        <v>205</v>
      </c>
      <c r="P872">
        <v>6</v>
      </c>
      <c r="Q872" s="6" t="d">
        <v>2021-12-05</v>
      </c>
      <c r="R872">
        <v>59</v>
      </c>
      <c r="T872" s="15" t="s">
        <v>1084</v>
      </c>
      <c r="U872" t="str" cm="1">
        <f t="array" ref="U872">_xlfn.TEXTJOIN(",",TRUE,_xlfn.XLOOKUP(_xlfn.FILTERXML("&lt;t&gt;&lt;s&gt;" &amp; SUBSTITUTE(T872,",","&lt;/s&gt;&lt;s&gt;") &amp; "&lt;/s&gt;&lt;/t&gt;", "//s"),Writers!$A$3:$A$999,Writers!$B$3:$B$999,""))</f>
        <v>Chris Chibnall</v>
      </c>
      <c r="W872" t="str">
        <f>IF(V872="","",_xlfn.XLOOKUP(V872,Writers!$A$3:$A$999,Writers!$B$3:$B$999,""))</f>
        <v/>
      </c>
      <c r="X872">
        <v>3.58</v>
      </c>
      <c r="Y872">
        <v>4.53</v>
      </c>
      <c r="Z872">
        <v>4.6399999999999997</v>
      </c>
      <c r="AA872">
        <f t="shared" si="39"/>
        <v>3.63</v>
      </c>
      <c r="AB872">
        <f t="shared" si="40"/>
        <v>4.59</v>
      </c>
      <c r="AC872">
        <f t="shared" si="41"/>
        <v>4.71</v>
      </c>
      <c r="AD872">
        <f>VLOOKUP(YEAR(Q872),Populations!$A$3:$B$999,2,0)</f>
        <v>67350695</v>
      </c>
      <c r="AE872">
        <f>(Calculations!B1/AD872)</f>
        <v>1.01416818341667</v>
      </c>
      <c r="AG872">
        <v>2</v>
      </c>
      <c r="AH872" t="str">
        <f>VLOOKUP(AG872,WikiFormats!$A$3:$B$999,2,0)</f>
        <v>Episode</v>
      </c>
      <c r="AI872" t="s">
        <v>914</v>
      </c>
    </row>
    <row r="873" spans="1:35" s="3" customFormat="1" x14ac:dyDescent="0.55000000000000004">
      <c r="A873" s="3">
        <v>869</v>
      </c>
      <c r="B873" s="3">
        <v>3</v>
      </c>
      <c r="C873" s="3" t="str">
        <f>VLOOKUP(B873,Eras!$A$3:$B$999,2,0)</f>
        <v>New</v>
      </c>
      <c r="D873" s="3">
        <v>2</v>
      </c>
      <c r="E873" s="3" t="str">
        <f>VLOOKUP(D873,EpisodeFormats!$A$3:$B$999,2,0)</f>
        <v>Special</v>
      </c>
      <c r="F873" s="3">
        <v>13</v>
      </c>
      <c r="G873" s="3" t="str">
        <f>VLOOKUP(F873,Doctors!$A$3:$B$999,2,0)</f>
        <v>Jodie Whittaker</v>
      </c>
      <c r="I873" s="3">
        <v>4</v>
      </c>
      <c r="J873" s="3" t="str">
        <f>VLOOKUP(I873,SeasonFormats!$A$3:$B$999,2,0)</f>
        <v>Special</v>
      </c>
      <c r="K873" s="3">
        <v>298</v>
      </c>
      <c r="M873" s="3" t="s">
        <v>206</v>
      </c>
      <c r="N873" s="3">
        <v>1</v>
      </c>
      <c r="Q873" s="7" t="d">
        <v>2022-01-01</v>
      </c>
      <c r="R873" s="3">
        <v>58</v>
      </c>
      <c r="T873" s="4" t="s">
        <v>1084</v>
      </c>
      <c r="U873" s="3" t="str" cm="1">
        <f t="array" ref="U873">_xlfn.TEXTJOIN(",",TRUE,_xlfn.XLOOKUP(_xlfn.FILTERXML("&lt;t&gt;&lt;s&gt;" &amp; SUBSTITUTE(T873,",","&lt;/s&gt;&lt;s&gt;") &amp; "&lt;/s&gt;&lt;/t&gt;", "//s"),Writers!$A$3:$A$999,Writers!$B$3:$B$999,""))</f>
        <v>Chris Chibnall</v>
      </c>
      <c r="W873" s="3" t="str">
        <f>IF(V873="","",_xlfn.XLOOKUP(V873,Writers!$A$3:$A$999,Writers!$B$3:$B$999,""))</f>
        <v/>
      </c>
      <c r="X873" s="3">
        <v>3.21</v>
      </c>
      <c r="Y873" s="3">
        <v>4.3</v>
      </c>
      <c r="Z873" s="3">
        <v>4.4000000000000004</v>
      </c>
      <c r="AA873" s="3">
        <f t="shared" si="39"/>
        <v>3.24</v>
      </c>
      <c r="AB873" s="3">
        <f t="shared" si="40"/>
        <v>4.3499999999999996</v>
      </c>
      <c r="AC873" s="3">
        <f t="shared" si="41"/>
        <v>4.45</v>
      </c>
      <c r="AD873" s="3">
        <f>VLOOKUP(YEAR(Q873),Populations!$A$3:$B$999,2,0)</f>
        <v>67595824</v>
      </c>
      <c r="AE873" s="3">
        <f>(Calculations!B1/AD873)</f>
        <v>1.0104904113603199</v>
      </c>
      <c r="AF873" s="3" t="s">
        <v>539</v>
      </c>
      <c r="AG873" s="3">
        <v>2</v>
      </c>
      <c r="AH873" s="3" t="str">
        <f>VLOOKUP(AG873,WikiFormats!$A$3:$B$999,2,0)</f>
        <v>Episode</v>
      </c>
      <c r="AI873" s="3" t="s">
        <v>915</v>
      </c>
    </row>
    <row r="874" spans="1:35" s="3" customFormat="1" x14ac:dyDescent="0.55000000000000004">
      <c r="A874" s="3">
        <v>870</v>
      </c>
      <c r="B874" s="3">
        <v>3</v>
      </c>
      <c r="C874" s="3" t="str">
        <f>VLOOKUP(B874,Eras!$A$3:$B$999,2,0)</f>
        <v>New</v>
      </c>
      <c r="D874" s="3">
        <v>2</v>
      </c>
      <c r="E874" s="3" t="str">
        <f>VLOOKUP(D874,EpisodeFormats!$A$3:$B$999,2,0)</f>
        <v>Special</v>
      </c>
      <c r="F874" s="3">
        <v>13</v>
      </c>
      <c r="G874" s="3" t="str">
        <f>VLOOKUP(F874,Doctors!$A$3:$B$999,2,0)</f>
        <v>Jodie Whittaker</v>
      </c>
      <c r="I874" s="3">
        <v>4</v>
      </c>
      <c r="J874" s="3" t="str">
        <f>VLOOKUP(I874,SeasonFormats!$A$3:$B$999,2,0)</f>
        <v>Special</v>
      </c>
      <c r="K874" s="3">
        <v>299</v>
      </c>
      <c r="M874" s="3" t="s">
        <v>207</v>
      </c>
      <c r="N874" s="3">
        <v>1</v>
      </c>
      <c r="Q874" s="7" t="d">
        <v>2022-04-17</v>
      </c>
      <c r="R874" s="3">
        <v>48</v>
      </c>
      <c r="T874" s="4" t="s">
        <v>1089</v>
      </c>
      <c r="U874" s="3" t="str" cm="1">
        <f t="array" ref="U874">_xlfn.TEXTJOIN(",",TRUE,_xlfn.XLOOKUP(_xlfn.FILTERXML("&lt;t&gt;&lt;s&gt;" &amp; SUBSTITUTE(T874,",","&lt;/s&gt;&lt;s&gt;") &amp; "&lt;/s&gt;&lt;/t&gt;", "//s"),Writers!$A$3:$A$999,Writers!$B$3:$B$999,""))</f>
        <v>Chris Chibnall,Ella Road</v>
      </c>
      <c r="W874" s="3" t="str">
        <f>IF(V874="","",_xlfn.XLOOKUP(V874,Writers!$A$3:$A$999,Writers!$B$3:$B$999,""))</f>
        <v/>
      </c>
      <c r="X874" s="3">
        <v>2.2000000000000002</v>
      </c>
      <c r="Y874" s="3">
        <v>3.34</v>
      </c>
      <c r="Z874" s="3">
        <v>3.47</v>
      </c>
      <c r="AA874" s="3">
        <f t="shared" si="39"/>
        <v>2.2200000000000002</v>
      </c>
      <c r="AB874" s="3">
        <f t="shared" si="40"/>
        <v>3.38</v>
      </c>
      <c r="AC874" s="3">
        <f t="shared" si="41"/>
        <v>3.51</v>
      </c>
      <c r="AD874" s="3">
        <f>VLOOKUP(YEAR(Q874),Populations!$A$3:$B$999,2,0)</f>
        <v>67595824</v>
      </c>
      <c r="AE874" s="3">
        <f>(Calculations!B1/AD874)</f>
        <v>1.0104904113603199</v>
      </c>
      <c r="AG874" s="3">
        <v>2</v>
      </c>
      <c r="AH874" s="3" t="str">
        <f>VLOOKUP(AG874,WikiFormats!$A$3:$B$999,2,0)</f>
        <v>Episode</v>
      </c>
      <c r="AI874" s="3" t="s">
        <v>916</v>
      </c>
    </row>
    <row r="875" spans="1:35" s="3" customFormat="1" x14ac:dyDescent="0.55000000000000004">
      <c r="A875" s="3">
        <v>871</v>
      </c>
      <c r="B875" s="3">
        <v>3</v>
      </c>
      <c r="C875" s="3" t="str">
        <f>VLOOKUP(B875,Eras!$A$3:$B$999,2,0)</f>
        <v>New</v>
      </c>
      <c r="D875" s="3">
        <v>2</v>
      </c>
      <c r="E875" s="3" t="str">
        <f>VLOOKUP(D875,EpisodeFormats!$A$3:$B$999,2,0)</f>
        <v>Special</v>
      </c>
      <c r="F875" s="3">
        <v>13</v>
      </c>
      <c r="G875" s="3" t="str">
        <f>VLOOKUP(F875,Doctors!$A$3:$B$999,2,0)</f>
        <v>Jodie Whittaker</v>
      </c>
      <c r="I875" s="3">
        <v>4</v>
      </c>
      <c r="J875" s="3" t="str">
        <f>VLOOKUP(I875,SeasonFormats!$A$3:$B$999,2,0)</f>
        <v>Special</v>
      </c>
      <c r="K875" s="3">
        <v>300</v>
      </c>
      <c r="M875" s="3" t="s">
        <v>208</v>
      </c>
      <c r="N875" s="3">
        <v>1</v>
      </c>
      <c r="Q875" s="7" t="d">
        <v>2022-10-23</v>
      </c>
      <c r="R875" s="3">
        <v>88</v>
      </c>
      <c r="T875" s="4" t="s">
        <v>1084</v>
      </c>
      <c r="U875" s="3" t="str" cm="1">
        <f t="array" ref="U875">_xlfn.TEXTJOIN(",",TRUE,_xlfn.XLOOKUP(_xlfn.FILTERXML("&lt;t&gt;&lt;s&gt;" &amp; SUBSTITUTE(T875,",","&lt;/s&gt;&lt;s&gt;") &amp; "&lt;/s&gt;&lt;/t&gt;", "//s"),Writers!$A$3:$A$999,Writers!$B$3:$B$999,""))</f>
        <v>Chris Chibnall</v>
      </c>
      <c r="W875" s="3" t="str">
        <f>IF(V875="","",_xlfn.XLOOKUP(V875,Writers!$A$3:$A$999,Writers!$B$3:$B$999,""))</f>
        <v/>
      </c>
      <c r="X875" s="3">
        <v>3.71</v>
      </c>
      <c r="Y875" s="3">
        <v>5.0999999999999996</v>
      </c>
      <c r="Z875" s="3">
        <v>5.3</v>
      </c>
      <c r="AA875" s="3">
        <f t="shared" si="39"/>
        <v>3.75</v>
      </c>
      <c r="AB875" s="3">
        <f t="shared" si="40"/>
        <v>5.15</v>
      </c>
      <c r="AC875" s="3">
        <f t="shared" si="41"/>
        <v>5.36</v>
      </c>
      <c r="AD875" s="3">
        <f>VLOOKUP(YEAR(Q875),Populations!$A$3:$B$999,2,0)</f>
        <v>67595824</v>
      </c>
      <c r="AE875" s="3">
        <f>(Calculations!B1/AD875)</f>
        <v>1.0104904113603199</v>
      </c>
      <c r="AF875" s="3" t="s">
        <v>540</v>
      </c>
      <c r="AG875" s="3">
        <v>2</v>
      </c>
      <c r="AH875" s="3" t="str">
        <f>VLOOKUP(AG875,WikiFormats!$A$3:$B$999,2,0)</f>
        <v>Episode</v>
      </c>
      <c r="AI875" s="3" t="s">
        <v>917</v>
      </c>
    </row>
    <row r="876" spans="1:35" x14ac:dyDescent="0.55000000000000004">
      <c r="A876">
        <v>872</v>
      </c>
      <c r="B876">
        <v>4</v>
      </c>
      <c r="C876" t="str">
        <f>VLOOKUP(B876,Eras!$A$3:$B$999,2,0)</f>
        <v>New/Disney</v>
      </c>
      <c r="D876">
        <v>2</v>
      </c>
      <c r="E876" t="str">
        <f>VLOOKUP(D876,EpisodeFormats!$A$3:$B$999,2,0)</f>
        <v>Special</v>
      </c>
      <c r="F876">
        <v>14</v>
      </c>
      <c r="G876" t="str">
        <f>VLOOKUP(F876,Doctors!$A$3:$B$999,2,0)</f>
        <v>David Tennant</v>
      </c>
      <c r="I876">
        <v>4</v>
      </c>
      <c r="J876" t="str">
        <f>VLOOKUP(I876,SeasonFormats!$A$3:$B$999,2,0)</f>
        <v>Special</v>
      </c>
      <c r="K876">
        <v>301</v>
      </c>
      <c r="M876" t="s">
        <v>209</v>
      </c>
      <c r="N876">
        <v>1</v>
      </c>
      <c r="Q876" s="6" t="d">
        <v>2023-11-25</v>
      </c>
      <c r="R876">
        <v>57</v>
      </c>
      <c r="T876" s="15" t="s">
        <v>1098</v>
      </c>
      <c r="U876" t="str" cm="1">
        <f t="array" ref="U876">_xlfn.TEXTJOIN(",",TRUE,_xlfn.XLOOKUP(_xlfn.FILTERXML("&lt;t&gt;&lt;s&gt;" &amp; SUBSTITUTE(T876,",","&lt;/s&gt;&lt;s&gt;") &amp; "&lt;/s&gt;&lt;/t&gt;", "//s"),Writers!$A$3:$A$999,Writers!$B$3:$B$999,""))</f>
        <v>Russell T Davies</v>
      </c>
      <c r="W876" t="str">
        <f>IF(V876="","",_xlfn.XLOOKUP(V876,Writers!$A$3:$A$999,Writers!$B$3:$B$999,""))</f>
        <v/>
      </c>
      <c r="X876">
        <v>5.08</v>
      </c>
      <c r="Y876">
        <v>7.34</v>
      </c>
      <c r="Z876">
        <v>7.61</v>
      </c>
      <c r="AA876">
        <f t="shared" si="39"/>
        <v>5.1100000000000003</v>
      </c>
      <c r="AB876">
        <f t="shared" si="40"/>
        <v>7.39</v>
      </c>
      <c r="AC876">
        <f t="shared" si="41"/>
        <v>7.66</v>
      </c>
      <c r="AD876">
        <f>VLOOKUP(YEAR(Q876),Populations!$A$3:$B$999,2,0)</f>
        <v>67844315</v>
      </c>
      <c r="AE876">
        <f>(Calculations!B1/AD876)</f>
        <v>1.0067893234680001</v>
      </c>
      <c r="AG876">
        <v>2</v>
      </c>
      <c r="AH876" t="str">
        <f>VLOOKUP(AG876,WikiFormats!$A$3:$B$999,2,0)</f>
        <v>Episode</v>
      </c>
      <c r="AI876" t="s">
        <v>918</v>
      </c>
    </row>
    <row r="877" spans="1:35" x14ac:dyDescent="0.55000000000000004">
      <c r="A877">
        <v>873</v>
      </c>
      <c r="B877">
        <v>4</v>
      </c>
      <c r="C877" t="str">
        <f>VLOOKUP(B877,Eras!$A$3:$B$999,2,0)</f>
        <v>New/Disney</v>
      </c>
      <c r="D877">
        <v>2</v>
      </c>
      <c r="E877" t="str">
        <f>VLOOKUP(D877,EpisodeFormats!$A$3:$B$999,2,0)</f>
        <v>Special</v>
      </c>
      <c r="F877">
        <v>14</v>
      </c>
      <c r="G877" t="str">
        <f>VLOOKUP(F877,Doctors!$A$3:$B$999,2,0)</f>
        <v>David Tennant</v>
      </c>
      <c r="I877">
        <v>4</v>
      </c>
      <c r="J877" t="str">
        <f>VLOOKUP(I877,SeasonFormats!$A$3:$B$999,2,0)</f>
        <v>Special</v>
      </c>
      <c r="K877">
        <v>302</v>
      </c>
      <c r="M877" t="s">
        <v>210</v>
      </c>
      <c r="N877">
        <v>1</v>
      </c>
      <c r="Q877" s="6" t="d">
        <v>2023-12-02</v>
      </c>
      <c r="R877">
        <v>54</v>
      </c>
      <c r="T877" s="15" t="s">
        <v>1098</v>
      </c>
      <c r="U877" t="str" cm="1">
        <f t="array" ref="U877">_xlfn.TEXTJOIN(",",TRUE,_xlfn.XLOOKUP(_xlfn.FILTERXML("&lt;t&gt;&lt;s&gt;" &amp; SUBSTITUTE(T877,",","&lt;/s&gt;&lt;s&gt;") &amp; "&lt;/s&gt;&lt;/t&gt;", "//s"),Writers!$A$3:$A$999,Writers!$B$3:$B$999,""))</f>
        <v>Russell T Davies</v>
      </c>
      <c r="W877" t="str">
        <f>IF(V877="","",_xlfn.XLOOKUP(V877,Writers!$A$3:$A$999,Writers!$B$3:$B$999,""))</f>
        <v/>
      </c>
      <c r="X877">
        <v>4.83</v>
      </c>
      <c r="Y877">
        <v>6.86</v>
      </c>
      <c r="Z877">
        <v>7.14</v>
      </c>
      <c r="AA877">
        <f t="shared" si="39"/>
        <v>4.8600000000000003</v>
      </c>
      <c r="AB877">
        <f t="shared" si="40"/>
        <v>6.91</v>
      </c>
      <c r="AC877">
        <f t="shared" si="41"/>
        <v>7.19</v>
      </c>
      <c r="AD877">
        <f>VLOOKUP(YEAR(Q877),Populations!$A$3:$B$999,2,0)</f>
        <v>67844315</v>
      </c>
      <c r="AE877">
        <f>(Calculations!B1/AD877)</f>
        <v>1.0067893234680001</v>
      </c>
      <c r="AG877">
        <v>2</v>
      </c>
      <c r="AH877" t="str">
        <f>VLOOKUP(AG877,WikiFormats!$A$3:$B$999,2,0)</f>
        <v>Episode</v>
      </c>
      <c r="AI877" t="s">
        <v>919</v>
      </c>
    </row>
    <row r="878" spans="1:35" x14ac:dyDescent="0.55000000000000004">
      <c r="A878">
        <v>874</v>
      </c>
      <c r="B878">
        <v>4</v>
      </c>
      <c r="C878" t="str">
        <f>VLOOKUP(B878,Eras!$A$3:$B$999,2,0)</f>
        <v>New/Disney</v>
      </c>
      <c r="D878">
        <v>2</v>
      </c>
      <c r="E878" t="str">
        <f>VLOOKUP(D878,EpisodeFormats!$A$3:$B$999,2,0)</f>
        <v>Special</v>
      </c>
      <c r="F878">
        <v>14</v>
      </c>
      <c r="G878" t="str">
        <f>VLOOKUP(F878,Doctors!$A$3:$B$999,2,0)</f>
        <v>David Tennant</v>
      </c>
      <c r="I878">
        <v>4</v>
      </c>
      <c r="J878" t="str">
        <f>VLOOKUP(I878,SeasonFormats!$A$3:$B$999,2,0)</f>
        <v>Special</v>
      </c>
      <c r="K878">
        <v>303</v>
      </c>
      <c r="M878" t="s">
        <v>211</v>
      </c>
      <c r="N878">
        <v>1</v>
      </c>
      <c r="Q878" s="6" t="d">
        <v>2023-12-09</v>
      </c>
      <c r="R878">
        <v>61</v>
      </c>
      <c r="T878" s="15" t="s">
        <v>1098</v>
      </c>
      <c r="U878" t="str" cm="1">
        <f t="array" ref="U878">_xlfn.TEXTJOIN(",",TRUE,_xlfn.XLOOKUP(_xlfn.FILTERXML("&lt;t&gt;&lt;s&gt;" &amp; SUBSTITUTE(T878,",","&lt;/s&gt;&lt;s&gt;") &amp; "&lt;/s&gt;&lt;/t&gt;", "//s"),Writers!$A$3:$A$999,Writers!$B$3:$B$999,""))</f>
        <v>Russell T Davies</v>
      </c>
      <c r="W878" t="str">
        <f>IF(V878="","",_xlfn.XLOOKUP(V878,Writers!$A$3:$A$999,Writers!$B$3:$B$999,""))</f>
        <v/>
      </c>
      <c r="X878">
        <v>4.62</v>
      </c>
      <c r="Y878">
        <v>6.58</v>
      </c>
      <c r="Z878">
        <v>6.85</v>
      </c>
      <c r="AA878">
        <f t="shared" si="39"/>
        <v>4.6500000000000004</v>
      </c>
      <c r="AB878">
        <f t="shared" si="40"/>
        <v>6.62</v>
      </c>
      <c r="AC878">
        <f t="shared" si="41"/>
        <v>6.9</v>
      </c>
      <c r="AD878">
        <f>VLOOKUP(YEAR(Q878),Populations!$A$3:$B$999,2,0)</f>
        <v>67844315</v>
      </c>
      <c r="AE878">
        <f>(Calculations!B1/AD878)</f>
        <v>1.0067893234680001</v>
      </c>
      <c r="AG878">
        <v>2</v>
      </c>
      <c r="AH878" t="str">
        <f>VLOOKUP(AG878,WikiFormats!$A$3:$B$999,2,0)</f>
        <v>Episode</v>
      </c>
      <c r="AI878" t="s">
        <v>920</v>
      </c>
    </row>
    <row r="879" spans="1:35" s="3" customFormat="1" x14ac:dyDescent="0.55000000000000004">
      <c r="A879" s="3">
        <v>875</v>
      </c>
      <c r="B879" s="3">
        <v>4</v>
      </c>
      <c r="C879" s="3" t="str">
        <f>VLOOKUP(B879,Eras!$A$3:$B$999,2,0)</f>
        <v>New/Disney</v>
      </c>
      <c r="D879" s="3">
        <v>2</v>
      </c>
      <c r="E879" s="3" t="str">
        <f>VLOOKUP(D879,EpisodeFormats!$A$3:$B$999,2,0)</f>
        <v>Special</v>
      </c>
      <c r="F879" s="3">
        <v>15</v>
      </c>
      <c r="G879" s="3" t="str">
        <f>VLOOKUP(F879,Doctors!$A$3:$B$999,2,0)</f>
        <v>Ncuti Gatwa</v>
      </c>
      <c r="I879" s="3">
        <v>4</v>
      </c>
      <c r="J879" s="3" t="str">
        <f>VLOOKUP(I879,SeasonFormats!$A$3:$B$999,2,0)</f>
        <v>Special</v>
      </c>
      <c r="K879" s="3">
        <v>304</v>
      </c>
      <c r="M879" s="3" t="s">
        <v>212</v>
      </c>
      <c r="N879" s="3">
        <v>1</v>
      </c>
      <c r="Q879" s="7" t="d">
        <v>2023-12-25</v>
      </c>
      <c r="R879" s="3">
        <v>55</v>
      </c>
      <c r="T879" s="4" t="s">
        <v>1098</v>
      </c>
      <c r="U879" s="3" t="str" cm="1">
        <f t="array" ref="U879">_xlfn.TEXTJOIN(",",TRUE,_xlfn.XLOOKUP(_xlfn.FILTERXML("&lt;t&gt;&lt;s&gt;" &amp; SUBSTITUTE(T879,",","&lt;/s&gt;&lt;s&gt;") &amp; "&lt;/s&gt;&lt;/t&gt;", "//s"),Writers!$A$3:$A$999,Writers!$B$3:$B$999,""))</f>
        <v>Russell T Davies</v>
      </c>
      <c r="W879" s="3" t="str">
        <f>IF(V879="","",_xlfn.XLOOKUP(V879,Writers!$A$3:$A$999,Writers!$B$3:$B$999,""))</f>
        <v/>
      </c>
      <c r="X879" s="3">
        <v>4.7300000000000004</v>
      </c>
      <c r="Y879" s="3">
        <v>7.26</v>
      </c>
      <c r="Z879" s="3">
        <v>7.49</v>
      </c>
      <c r="AA879" s="3">
        <f t="shared" si="39"/>
        <v>4.76</v>
      </c>
      <c r="AB879" s="3">
        <f t="shared" si="40"/>
        <v>7.31</v>
      </c>
      <c r="AC879" s="3">
        <f t="shared" si="41"/>
        <v>7.54</v>
      </c>
      <c r="AD879" s="3">
        <f>VLOOKUP(YEAR(Q879),Populations!$A$3:$B$999,2,0)</f>
        <v>67844315</v>
      </c>
      <c r="AE879" s="3">
        <f>(Calculations!B1/AD879)</f>
        <v>1.0067893234680001</v>
      </c>
      <c r="AG879" s="3">
        <v>2</v>
      </c>
      <c r="AH879" s="3" t="str">
        <f>VLOOKUP(AG879,WikiFormats!$A$3:$B$999,2,0)</f>
        <v>Episode</v>
      </c>
      <c r="AI879" s="3" t="s">
        <v>651</v>
      </c>
    </row>
    <row r="880" spans="1:35" x14ac:dyDescent="0.55000000000000004">
      <c r="A880">
        <v>876</v>
      </c>
      <c r="B880">
        <v>4</v>
      </c>
      <c r="C880" t="str">
        <f>VLOOKUP(B880,Eras!$A$3:$B$999,2,0)</f>
        <v>New/Disney</v>
      </c>
      <c r="D880">
        <v>1</v>
      </c>
      <c r="E880" t="str">
        <f>VLOOKUP(D880,EpisodeFormats!$A$3:$B$999,2,0)</f>
        <v>Series</v>
      </c>
      <c r="F880">
        <v>15</v>
      </c>
      <c r="G880" t="str">
        <f>VLOOKUP(F880,Doctors!$A$3:$B$999,2,0)</f>
        <v>Ncuti Gatwa</v>
      </c>
      <c r="H880">
        <v>14</v>
      </c>
      <c r="I880">
        <v>3</v>
      </c>
      <c r="J880" t="str">
        <f>VLOOKUP(I880,SeasonFormats!$A$3:$B$999,2,0)</f>
        <v>Series</v>
      </c>
      <c r="K880">
        <v>305</v>
      </c>
      <c r="L880">
        <v>1</v>
      </c>
      <c r="M880" t="s">
        <v>213</v>
      </c>
      <c r="N880">
        <v>1</v>
      </c>
      <c r="P880">
        <v>1</v>
      </c>
      <c r="Q880" s="6" t="d">
        <v>2024-05-11</v>
      </c>
      <c r="R880">
        <v>46</v>
      </c>
      <c r="T880" s="15" t="s">
        <v>1098</v>
      </c>
      <c r="U880" t="str" cm="1">
        <f t="array" ref="U880">_xlfn.TEXTJOIN(",",TRUE,_xlfn.XLOOKUP(_xlfn.FILTERXML("&lt;t&gt;&lt;s&gt;" &amp; SUBSTITUTE(T880,",","&lt;/s&gt;&lt;s&gt;") &amp; "&lt;/s&gt;&lt;/t&gt;", "//s"),Writers!$A$3:$A$999,Writers!$B$3:$B$999,""))</f>
        <v>Russell T Davies</v>
      </c>
      <c r="W880" t="str">
        <f>IF(V880="","",_xlfn.XLOOKUP(V880,Writers!$A$3:$A$999,Writers!$B$3:$B$999,""))</f>
        <v/>
      </c>
      <c r="X880">
        <v>2.6</v>
      </c>
      <c r="Y880">
        <v>3.71</v>
      </c>
      <c r="Z880">
        <v>4.01</v>
      </c>
      <c r="AA880">
        <f t="shared" si="39"/>
        <v>2.61</v>
      </c>
      <c r="AB880">
        <f t="shared" si="40"/>
        <v>3.72</v>
      </c>
      <c r="AC880">
        <f t="shared" si="41"/>
        <v>4.0199999999999996</v>
      </c>
      <c r="AD880">
        <f>VLOOKUP(YEAR(Q880),Populations!$A$3:$B$999,2,0)</f>
        <v>68081792</v>
      </c>
      <c r="AE880">
        <f>(Calculations!B1/AD880)</f>
        <v>1.0032775283000801</v>
      </c>
      <c r="AG880">
        <v>2</v>
      </c>
      <c r="AH880" t="str">
        <f>VLOOKUP(AG880,WikiFormats!$A$3:$B$999,2,0)</f>
        <v>Episode</v>
      </c>
      <c r="AI880" t="s">
        <v>652</v>
      </c>
    </row>
    <row r="881" spans="1:35" x14ac:dyDescent="0.55000000000000004">
      <c r="A881">
        <v>877</v>
      </c>
      <c r="B881">
        <v>4</v>
      </c>
      <c r="C881" t="str">
        <f>VLOOKUP(B881,Eras!$A$3:$B$999,2,0)</f>
        <v>New/Disney</v>
      </c>
      <c r="D881">
        <v>1</v>
      </c>
      <c r="E881" t="str">
        <f>VLOOKUP(D881,EpisodeFormats!$A$3:$B$999,2,0)</f>
        <v>Series</v>
      </c>
      <c r="F881">
        <v>15</v>
      </c>
      <c r="G881" t="str">
        <f>VLOOKUP(F881,Doctors!$A$3:$B$999,2,0)</f>
        <v>Ncuti Gatwa</v>
      </c>
      <c r="H881">
        <v>14</v>
      </c>
      <c r="I881">
        <v>3</v>
      </c>
      <c r="J881" t="str">
        <f>VLOOKUP(I881,SeasonFormats!$A$3:$B$999,2,0)</f>
        <v>Series</v>
      </c>
      <c r="K881">
        <v>306</v>
      </c>
      <c r="L881">
        <v>2</v>
      </c>
      <c r="M881" t="s">
        <v>214</v>
      </c>
      <c r="N881">
        <v>1</v>
      </c>
      <c r="P881">
        <v>2</v>
      </c>
      <c r="Q881" s="6" t="d">
        <v>2024-05-11</v>
      </c>
      <c r="R881">
        <v>50</v>
      </c>
      <c r="T881" s="15" t="s">
        <v>1098</v>
      </c>
      <c r="U881" t="str" cm="1">
        <f t="array" ref="U881">_xlfn.TEXTJOIN(",",TRUE,_xlfn.XLOOKUP(_xlfn.FILTERXML("&lt;t&gt;&lt;s&gt;" &amp; SUBSTITUTE(T881,",","&lt;/s&gt;&lt;s&gt;") &amp; "&lt;/s&gt;&lt;/t&gt;", "//s"),Writers!$A$3:$A$999,Writers!$B$3:$B$999,""))</f>
        <v>Russell T Davies</v>
      </c>
      <c r="W881" t="str">
        <f>IF(V881="","",_xlfn.XLOOKUP(V881,Writers!$A$3:$A$999,Writers!$B$3:$B$999,""))</f>
        <v/>
      </c>
      <c r="X881">
        <v>2.4</v>
      </c>
      <c r="Y881">
        <v>3.67</v>
      </c>
      <c r="Z881">
        <v>3.91</v>
      </c>
      <c r="AA881">
        <f t="shared" si="39"/>
        <v>2.41</v>
      </c>
      <c r="AB881">
        <f t="shared" si="40"/>
        <v>3.68</v>
      </c>
      <c r="AC881">
        <f t="shared" si="41"/>
        <v>3.92</v>
      </c>
      <c r="AD881">
        <f>VLOOKUP(YEAR(Q881),Populations!$A$3:$B$999,2,0)</f>
        <v>68081792</v>
      </c>
      <c r="AE881">
        <f>(Calculations!B1/AD881)</f>
        <v>1.0032775283000801</v>
      </c>
      <c r="AG881">
        <v>2</v>
      </c>
      <c r="AH881" t="str">
        <f>VLOOKUP(AG881,WikiFormats!$A$3:$B$999,2,0)</f>
        <v>Episode</v>
      </c>
      <c r="AI881" t="s">
        <v>653</v>
      </c>
    </row>
    <row r="882" spans="1:35" x14ac:dyDescent="0.55000000000000004">
      <c r="A882">
        <v>878</v>
      </c>
      <c r="B882">
        <v>4</v>
      </c>
      <c r="C882" t="str">
        <f>VLOOKUP(B882,Eras!$A$3:$B$999,2,0)</f>
        <v>New/Disney</v>
      </c>
      <c r="D882">
        <v>1</v>
      </c>
      <c r="E882" t="str">
        <f>VLOOKUP(D882,EpisodeFormats!$A$3:$B$999,2,0)</f>
        <v>Series</v>
      </c>
      <c r="F882">
        <v>15</v>
      </c>
      <c r="G882" t="str">
        <f>VLOOKUP(F882,Doctors!$A$3:$B$999,2,0)</f>
        <v>Ncuti Gatwa</v>
      </c>
      <c r="H882">
        <v>14</v>
      </c>
      <c r="I882">
        <v>3</v>
      </c>
      <c r="J882" t="str">
        <f>VLOOKUP(I882,SeasonFormats!$A$3:$B$999,2,0)</f>
        <v>Series</v>
      </c>
      <c r="K882">
        <v>307</v>
      </c>
      <c r="L882">
        <v>3</v>
      </c>
      <c r="M882" t="s">
        <v>215</v>
      </c>
      <c r="N882">
        <v>1</v>
      </c>
      <c r="P882">
        <v>3</v>
      </c>
      <c r="Q882" s="6" t="d">
        <v>2024-05-18</v>
      </c>
      <c r="R882">
        <v>45</v>
      </c>
      <c r="T882" s="15" t="s">
        <v>1153</v>
      </c>
      <c r="U882" t="str" cm="1">
        <f t="array" ref="U882">_xlfn.TEXTJOIN(",",TRUE,_xlfn.XLOOKUP(_xlfn.FILTERXML("&lt;t&gt;&lt;s&gt;" &amp; SUBSTITUTE(T882,",","&lt;/s&gt;&lt;s&gt;") &amp; "&lt;/s&gt;&lt;/t&gt;", "//s"),Writers!$A$3:$A$999,Writers!$B$3:$B$999,""))</f>
        <v>Steven Moffat</v>
      </c>
      <c r="W882" t="str">
        <f>IF(V882="","",_xlfn.XLOOKUP(V882,Writers!$A$3:$A$999,Writers!$B$3:$B$999,""))</f>
        <v/>
      </c>
      <c r="X882">
        <v>2.04</v>
      </c>
      <c r="Y882">
        <v>3.38</v>
      </c>
      <c r="Z882">
        <v>3.58</v>
      </c>
      <c r="AA882">
        <f t="shared" si="39"/>
        <v>2.0499999999999998</v>
      </c>
      <c r="AB882">
        <f t="shared" si="40"/>
        <v>3.39</v>
      </c>
      <c r="AC882">
        <f t="shared" si="41"/>
        <v>3.59</v>
      </c>
      <c r="AD882">
        <f>VLOOKUP(YEAR(Q882),Populations!$A$3:$B$999,2,0)</f>
        <v>68081792</v>
      </c>
      <c r="AE882">
        <f>(Calculations!B1/AD882)</f>
        <v>1.0032775283000801</v>
      </c>
      <c r="AG882">
        <v>2</v>
      </c>
      <c r="AH882" t="str">
        <f>VLOOKUP(AG882,WikiFormats!$A$3:$B$999,2,0)</f>
        <v>Episode</v>
      </c>
      <c r="AI882" t="s">
        <v>654</v>
      </c>
    </row>
    <row r="883" spans="1:35" x14ac:dyDescent="0.55000000000000004">
      <c r="A883">
        <v>879</v>
      </c>
      <c r="B883">
        <v>4</v>
      </c>
      <c r="C883" t="str">
        <f>VLOOKUP(B883,Eras!$A$3:$B$999,2,0)</f>
        <v>New/Disney</v>
      </c>
      <c r="D883">
        <v>1</v>
      </c>
      <c r="E883" t="str">
        <f>VLOOKUP(D883,EpisodeFormats!$A$3:$B$999,2,0)</f>
        <v>Series</v>
      </c>
      <c r="F883">
        <v>15</v>
      </c>
      <c r="G883" t="str">
        <f>VLOOKUP(F883,Doctors!$A$3:$B$999,2,0)</f>
        <v>Ncuti Gatwa</v>
      </c>
      <c r="H883">
        <v>14</v>
      </c>
      <c r="I883">
        <v>3</v>
      </c>
      <c r="J883" t="str">
        <f>VLOOKUP(I883,SeasonFormats!$A$3:$B$999,2,0)</f>
        <v>Series</v>
      </c>
      <c r="K883">
        <v>308</v>
      </c>
      <c r="L883">
        <v>4</v>
      </c>
      <c r="M883" t="s">
        <v>216</v>
      </c>
      <c r="N883">
        <v>1</v>
      </c>
      <c r="P883">
        <v>4</v>
      </c>
      <c r="Q883" s="6" t="d">
        <v>2024-05-25</v>
      </c>
      <c r="R883">
        <v>47</v>
      </c>
      <c r="T883" s="15" t="s">
        <v>1098</v>
      </c>
      <c r="U883" t="str" cm="1">
        <f t="array" ref="U883">_xlfn.TEXTJOIN(",",TRUE,_xlfn.XLOOKUP(_xlfn.FILTERXML("&lt;t&gt;&lt;s&gt;" &amp; SUBSTITUTE(T883,",","&lt;/s&gt;&lt;s&gt;") &amp; "&lt;/s&gt;&lt;/t&gt;", "//s"),Writers!$A$3:$A$999,Writers!$B$3:$B$999,""))</f>
        <v>Russell T Davies</v>
      </c>
      <c r="W883" t="str">
        <f>IF(V883="","",_xlfn.XLOOKUP(V883,Writers!$A$3:$A$999,Writers!$B$3:$B$999,""))</f>
        <v/>
      </c>
      <c r="X883">
        <v>2.62</v>
      </c>
      <c r="Y883">
        <v>3.77</v>
      </c>
      <c r="Z883">
        <v>4.0599999999999996</v>
      </c>
      <c r="AA883">
        <f t="shared" si="39"/>
        <v>2.63</v>
      </c>
      <c r="AB883">
        <f t="shared" si="40"/>
        <v>3.78</v>
      </c>
      <c r="AC883">
        <f t="shared" si="41"/>
        <v>4.07</v>
      </c>
      <c r="AD883">
        <f>VLOOKUP(YEAR(Q883),Populations!$A$3:$B$999,2,0)</f>
        <v>68081792</v>
      </c>
      <c r="AE883">
        <f>(Calculations!B1/AD883)</f>
        <v>1.0032775283000801</v>
      </c>
      <c r="AG883">
        <v>2</v>
      </c>
      <c r="AH883" t="str">
        <f>VLOOKUP(AG883,WikiFormats!$A$3:$B$999,2,0)</f>
        <v>Episode</v>
      </c>
      <c r="AI883" t="s">
        <v>655</v>
      </c>
    </row>
    <row r="884" spans="1:35" x14ac:dyDescent="0.55000000000000004">
      <c r="A884">
        <v>880</v>
      </c>
      <c r="B884">
        <v>4</v>
      </c>
      <c r="C884" t="str">
        <f>VLOOKUP(B884,Eras!$A$3:$B$999,2,0)</f>
        <v>New/Disney</v>
      </c>
      <c r="D884">
        <v>1</v>
      </c>
      <c r="E884" t="str">
        <f>VLOOKUP(D884,EpisodeFormats!$A$3:$B$999,2,0)</f>
        <v>Series</v>
      </c>
      <c r="F884">
        <v>15</v>
      </c>
      <c r="G884" t="str">
        <f>VLOOKUP(F884,Doctors!$A$3:$B$999,2,0)</f>
        <v>Ncuti Gatwa</v>
      </c>
      <c r="H884">
        <v>14</v>
      </c>
      <c r="I884">
        <v>3</v>
      </c>
      <c r="J884" t="str">
        <f>VLOOKUP(I884,SeasonFormats!$A$3:$B$999,2,0)</f>
        <v>Series</v>
      </c>
      <c r="K884">
        <v>309</v>
      </c>
      <c r="L884">
        <v>5</v>
      </c>
      <c r="M884" t="s">
        <v>217</v>
      </c>
      <c r="N884">
        <v>1</v>
      </c>
      <c r="P884">
        <v>5</v>
      </c>
      <c r="Q884" s="6" t="d">
        <v>2024-06-01</v>
      </c>
      <c r="R884">
        <v>44</v>
      </c>
      <c r="T884" s="15" t="s">
        <v>1098</v>
      </c>
      <c r="U884" t="str" cm="1">
        <f t="array" ref="U884">_xlfn.TEXTJOIN(",",TRUE,_xlfn.XLOOKUP(_xlfn.FILTERXML("&lt;t&gt;&lt;s&gt;" &amp; SUBSTITUTE(T884,",","&lt;/s&gt;&lt;s&gt;") &amp; "&lt;/s&gt;&lt;/t&gt;", "//s"),Writers!$A$3:$A$999,Writers!$B$3:$B$999,""))</f>
        <v>Russell T Davies</v>
      </c>
      <c r="W884" t="str">
        <f>IF(V884="","",_xlfn.XLOOKUP(V884,Writers!$A$3:$A$999,Writers!$B$3:$B$999,""))</f>
        <v/>
      </c>
      <c r="X884">
        <v>2.12</v>
      </c>
      <c r="Y884">
        <v>3.1</v>
      </c>
      <c r="Z884">
        <v>3.38</v>
      </c>
      <c r="AA884">
        <f t="shared" si="39"/>
        <v>2.13</v>
      </c>
      <c r="AB884">
        <f t="shared" si="40"/>
        <v>3.11</v>
      </c>
      <c r="AC884">
        <f t="shared" si="41"/>
        <v>3.39</v>
      </c>
      <c r="AD884">
        <f>VLOOKUP(YEAR(Q884),Populations!$A$3:$B$999,2,0)</f>
        <v>68081792</v>
      </c>
      <c r="AE884">
        <f>(Calculations!B1/AD884)</f>
        <v>1.0032775283000801</v>
      </c>
      <c r="AG884">
        <v>2</v>
      </c>
      <c r="AH884" t="str">
        <f>VLOOKUP(AG884,WikiFormats!$A$3:$B$999,2,0)</f>
        <v>Episode</v>
      </c>
      <c r="AI884" t="s">
        <v>656</v>
      </c>
    </row>
    <row r="885" spans="1:35" x14ac:dyDescent="0.55000000000000004">
      <c r="A885">
        <v>881</v>
      </c>
      <c r="B885">
        <v>4</v>
      </c>
      <c r="C885" t="str">
        <f>VLOOKUP(B885,Eras!$A$3:$B$999,2,0)</f>
        <v>New/Disney</v>
      </c>
      <c r="D885">
        <v>1</v>
      </c>
      <c r="E885" t="str">
        <f>VLOOKUP(D885,EpisodeFormats!$A$3:$B$999,2,0)</f>
        <v>Series</v>
      </c>
      <c r="F885">
        <v>15</v>
      </c>
      <c r="G885" t="str">
        <f>VLOOKUP(F885,Doctors!$A$3:$B$999,2,0)</f>
        <v>Ncuti Gatwa</v>
      </c>
      <c r="H885">
        <v>14</v>
      </c>
      <c r="I885">
        <v>3</v>
      </c>
      <c r="J885" t="str">
        <f>VLOOKUP(I885,SeasonFormats!$A$3:$B$999,2,0)</f>
        <v>Series</v>
      </c>
      <c r="K885">
        <v>310</v>
      </c>
      <c r="L885">
        <v>6</v>
      </c>
      <c r="M885" t="s">
        <v>218</v>
      </c>
      <c r="N885">
        <v>1</v>
      </c>
      <c r="P885">
        <v>6</v>
      </c>
      <c r="Q885" s="6" t="d">
        <v>2024-06-08</v>
      </c>
      <c r="R885">
        <v>45</v>
      </c>
      <c r="T885" s="15" t="s">
        <v>1165</v>
      </c>
      <c r="U885" t="str" cm="1">
        <f t="array" ref="U885">_xlfn.TEXTJOIN(",",TRUE,_xlfn.XLOOKUP(_xlfn.FILTERXML("&lt;t&gt;&lt;s&gt;" &amp; SUBSTITUTE(T885,",","&lt;/s&gt;&lt;s&gt;") &amp; "&lt;/s&gt;&lt;/t&gt;", "//s"),Writers!$A$3:$A$999,Writers!$B$3:$B$999,""))</f>
        <v>Kate Herron,Briony Redman</v>
      </c>
      <c r="W885" t="str">
        <f>IF(V885="","",_xlfn.XLOOKUP(V885,Writers!$A$3:$A$999,Writers!$B$3:$B$999,""))</f>
        <v/>
      </c>
      <c r="X885">
        <v>2.11</v>
      </c>
      <c r="Y885">
        <v>3.18</v>
      </c>
      <c r="Z885">
        <v>3.52</v>
      </c>
      <c r="AA885">
        <f t="shared" si="39"/>
        <v>2.12</v>
      </c>
      <c r="AB885">
        <f t="shared" si="40"/>
        <v>3.19</v>
      </c>
      <c r="AC885">
        <f t="shared" si="41"/>
        <v>3.53</v>
      </c>
      <c r="AD885">
        <f>VLOOKUP(YEAR(Q885),Populations!$A$3:$B$999,2,0)</f>
        <v>68081792</v>
      </c>
      <c r="AE885">
        <f>(Calculations!B1/AD885)</f>
        <v>1.0032775283000801</v>
      </c>
      <c r="AG885">
        <v>2</v>
      </c>
      <c r="AH885" t="str">
        <f>VLOOKUP(AG885,WikiFormats!$A$3:$B$999,2,0)</f>
        <v>Episode</v>
      </c>
      <c r="AI885" t="s">
        <v>657</v>
      </c>
    </row>
    <row r="886" spans="1:35" x14ac:dyDescent="0.55000000000000004">
      <c r="A886">
        <v>882</v>
      </c>
      <c r="B886">
        <v>4</v>
      </c>
      <c r="C886" t="str">
        <f>VLOOKUP(B886,Eras!$A$3:$B$999,2,0)</f>
        <v>New/Disney</v>
      </c>
      <c r="D886">
        <v>1</v>
      </c>
      <c r="E886" t="str">
        <f>VLOOKUP(D886,EpisodeFormats!$A$3:$B$999,2,0)</f>
        <v>Series</v>
      </c>
      <c r="F886">
        <v>15</v>
      </c>
      <c r="G886" t="str">
        <f>VLOOKUP(F886,Doctors!$A$3:$B$999,2,0)</f>
        <v>Ncuti Gatwa</v>
      </c>
      <c r="H886">
        <v>14</v>
      </c>
      <c r="I886">
        <v>3</v>
      </c>
      <c r="J886" t="str">
        <f>VLOOKUP(I886,SeasonFormats!$A$3:$B$999,2,0)</f>
        <v>Series</v>
      </c>
      <c r="K886">
        <v>311</v>
      </c>
      <c r="L886">
        <v>7</v>
      </c>
      <c r="M886" t="s">
        <v>219</v>
      </c>
      <c r="N886">
        <v>1</v>
      </c>
      <c r="P886">
        <v>7</v>
      </c>
      <c r="Q886" s="6" t="d">
        <v>2024-06-15</v>
      </c>
      <c r="R886">
        <v>45</v>
      </c>
      <c r="T886" s="15" t="s">
        <v>1098</v>
      </c>
      <c r="U886" t="str" cm="1">
        <f t="array" ref="U886">_xlfn.TEXTJOIN(",",TRUE,_xlfn.XLOOKUP(_xlfn.FILTERXML("&lt;t&gt;&lt;s&gt;" &amp; SUBSTITUTE(T886,",","&lt;/s&gt;&lt;s&gt;") &amp; "&lt;/s&gt;&lt;/t&gt;", "//s"),Writers!$A$3:$A$999,Writers!$B$3:$B$999,""))</f>
        <v>Russell T Davies</v>
      </c>
      <c r="W886" t="str">
        <f>IF(V886="","",_xlfn.XLOOKUP(V886,Writers!$A$3:$A$999,Writers!$B$3:$B$999,""))</f>
        <v/>
      </c>
      <c r="X886">
        <v>2.02</v>
      </c>
      <c r="Y886">
        <v>3.05</v>
      </c>
      <c r="Z886">
        <v>3.5</v>
      </c>
      <c r="AA886">
        <f t="shared" si="39"/>
        <v>2.0299999999999998</v>
      </c>
      <c r="AB886">
        <f t="shared" si="40"/>
        <v>3.06</v>
      </c>
      <c r="AC886">
        <f t="shared" si="41"/>
        <v>3.51</v>
      </c>
      <c r="AD886">
        <f>VLOOKUP(YEAR(Q886),Populations!$A$3:$B$999,2,0)</f>
        <v>68081792</v>
      </c>
      <c r="AE886">
        <f>(Calculations!B1/AD886)</f>
        <v>1.0032775283000801</v>
      </c>
      <c r="AG886">
        <v>2</v>
      </c>
      <c r="AH886" t="str">
        <f>VLOOKUP(AG886,WikiFormats!$A$3:$B$999,2,0)</f>
        <v>Episode</v>
      </c>
      <c r="AI886" t="s">
        <v>658</v>
      </c>
    </row>
    <row r="887" spans="1:35" x14ac:dyDescent="0.55000000000000004">
      <c r="A887">
        <v>883</v>
      </c>
      <c r="B887">
        <v>4</v>
      </c>
      <c r="C887" t="str">
        <f>VLOOKUP(B887,Eras!$A$3:$B$999,2,0)</f>
        <v>New/Disney</v>
      </c>
      <c r="D887">
        <v>1</v>
      </c>
      <c r="E887" t="str">
        <f>VLOOKUP(D887,EpisodeFormats!$A$3:$B$999,2,0)</f>
        <v>Series</v>
      </c>
      <c r="F887">
        <v>15</v>
      </c>
      <c r="G887" t="str">
        <f>VLOOKUP(F887,Doctors!$A$3:$B$999,2,0)</f>
        <v>Ncuti Gatwa</v>
      </c>
      <c r="H887">
        <v>14</v>
      </c>
      <c r="I887">
        <v>3</v>
      </c>
      <c r="J887" t="str">
        <f>VLOOKUP(I887,SeasonFormats!$A$3:$B$999,2,0)</f>
        <v>Series</v>
      </c>
      <c r="K887">
        <v>311</v>
      </c>
      <c r="L887">
        <v>7</v>
      </c>
      <c r="M887" t="s">
        <v>220</v>
      </c>
      <c r="N887">
        <v>2</v>
      </c>
      <c r="P887">
        <v>8</v>
      </c>
      <c r="Q887" s="6" t="d">
        <v>2024-06-22</v>
      </c>
      <c r="R887">
        <v>54</v>
      </c>
      <c r="T887" s="15" t="s">
        <v>1098</v>
      </c>
      <c r="U887" t="str" cm="1">
        <f t="array" ref="U887">_xlfn.TEXTJOIN(",",TRUE,_xlfn.XLOOKUP(_xlfn.FILTERXML("&lt;t&gt;&lt;s&gt;" &amp; SUBSTITUTE(T887,",","&lt;/s&gt;&lt;s&gt;") &amp; "&lt;/s&gt;&lt;/t&gt;", "//s"),Writers!$A$3:$A$999,Writers!$B$3:$B$999,""))</f>
        <v>Russell T Davies</v>
      </c>
      <c r="W887" t="str">
        <f>IF(V887="","",_xlfn.XLOOKUP(V887,Writers!$A$3:$A$999,Writers!$B$3:$B$999,""))</f>
        <v/>
      </c>
      <c r="X887">
        <v>2.25</v>
      </c>
      <c r="Y887">
        <v>3.27</v>
      </c>
      <c r="Z887">
        <v>3.69</v>
      </c>
      <c r="AA887">
        <f t="shared" si="39"/>
        <v>2.2599999999999998</v>
      </c>
      <c r="AB887">
        <f t="shared" si="40"/>
        <v>3.28</v>
      </c>
      <c r="AC887">
        <f t="shared" si="41"/>
        <v>3.7</v>
      </c>
      <c r="AD887">
        <f>VLOOKUP(YEAR(Q887),Populations!$A$3:$B$999,2,0)</f>
        <v>68081792</v>
      </c>
      <c r="AE887">
        <f>(Calculations!B1/AD887)</f>
        <v>1.0032775283000801</v>
      </c>
      <c r="AG887">
        <v>2</v>
      </c>
      <c r="AH887" t="str">
        <f>VLOOKUP(AG887,WikiFormats!$A$3:$B$999,2,0)</f>
        <v>Episode</v>
      </c>
      <c r="AI887" t="s">
        <v>659</v>
      </c>
    </row>
    <row r="888" spans="1:35" s="3" customFormat="1" x14ac:dyDescent="0.55000000000000004">
      <c r="A888" s="3">
        <v>884</v>
      </c>
      <c r="B888" s="3">
        <v>4</v>
      </c>
      <c r="C888" s="3" t="str">
        <f>VLOOKUP(B888,Eras!$A$3:$B$999,2,0)</f>
        <v>New/Disney</v>
      </c>
      <c r="D888" s="3">
        <v>2</v>
      </c>
      <c r="E888" s="3" t="str">
        <f>VLOOKUP(D888,EpisodeFormats!$A$3:$B$999,2,0)</f>
        <v>Special</v>
      </c>
      <c r="F888" s="3">
        <v>15</v>
      </c>
      <c r="G888" s="3" t="str">
        <f>VLOOKUP(F888,Doctors!$A$3:$B$999,2,0)</f>
        <v>Ncuti Gatwa</v>
      </c>
      <c r="I888" s="3">
        <v>4</v>
      </c>
      <c r="J888" s="3" t="str">
        <f>VLOOKUP(I888,SeasonFormats!$A$3:$B$999,2,0)</f>
        <v>Special</v>
      </c>
      <c r="K888" s="3">
        <v>312</v>
      </c>
      <c r="M888" s="3" t="s">
        <v>925</v>
      </c>
      <c r="N888" s="3">
        <v>1</v>
      </c>
      <c r="Q888" s="7" t="d">
        <v>2024-12-25</v>
      </c>
      <c r="R888" s="3">
        <v>55</v>
      </c>
      <c r="T888" s="4" t="s">
        <v>1153</v>
      </c>
      <c r="U888" s="3" t="str" cm="1">
        <f t="array" ref="U888">_xlfn.TEXTJOIN(",",TRUE,_xlfn.XLOOKUP(_xlfn.FILTERXML("&lt;t&gt;&lt;s&gt;" &amp; SUBSTITUTE(T888,",","&lt;/s&gt;&lt;s&gt;") &amp; "&lt;/s&gt;&lt;/t&gt;", "//s"),Writers!$A$3:$A$999,Writers!$B$3:$B$999,""))</f>
        <v>Steven Moffat</v>
      </c>
      <c r="W888" s="3" t="str">
        <f>IF(V888="","",_xlfn.XLOOKUP(V888,Writers!$A$3:$A$999,Writers!$B$3:$B$999,""))</f>
        <v/>
      </c>
      <c r="X888" s="3">
        <v>4.1100000000000003</v>
      </c>
      <c r="Y888" s="3">
        <v>5.7</v>
      </c>
      <c r="Z888" s="3">
        <v>5.91</v>
      </c>
      <c r="AA888" s="3">
        <f t="shared" si="39"/>
        <v>4.12</v>
      </c>
      <c r="AB888" s="3">
        <f t="shared" ref="AB888:AB889" si="42">IF(ISBLANK(Y888),"",ROUND(Y888*AE888,2))</f>
        <v>5.72</v>
      </c>
      <c r="AC888" s="3">
        <f t="shared" ref="AC888:AC889" si="43">IF(ISBLANK(Z888),"",ROUND(Z888*AE888,2))</f>
        <v>5.93</v>
      </c>
      <c r="AD888" s="3">
        <f>VLOOKUP(YEAR(Q888),Populations!$A$3:$B$999,2,0)</f>
        <v>68081792</v>
      </c>
      <c r="AE888" s="3">
        <f>(Calculations!B1/AD888)</f>
        <v>1.0032775283000801</v>
      </c>
      <c r="AG888" s="3">
        <v>2</v>
      </c>
      <c r="AH888" s="3" t="str">
        <f>VLOOKUP(AG888,WikiFormats!$A$3:$B$999,2,0)</f>
        <v>Episode</v>
      </c>
      <c r="AI888" s="3" t="s">
        <v>926</v>
      </c>
    </row>
    <row r="889" spans="1:35" x14ac:dyDescent="0.55000000000000004">
      <c r="A889">
        <v>885</v>
      </c>
      <c r="B889">
        <v>4</v>
      </c>
      <c r="C889" t="str">
        <f>VLOOKUP(B889,Eras!$A$3:$B$999,2,0)</f>
        <v>New/Disney</v>
      </c>
      <c r="D889">
        <v>1</v>
      </c>
      <c r="E889" t="str">
        <f>VLOOKUP(D889,EpisodeFormats!$A$3:$B$999,2,0)</f>
        <v>Series</v>
      </c>
      <c r="F889">
        <v>15</v>
      </c>
      <c r="G889" t="str">
        <f>VLOOKUP(F889,Doctors!$A$3:$B$999,2,0)</f>
        <v>Ncuti Gatwa</v>
      </c>
      <c r="H889">
        <v>15</v>
      </c>
      <c r="I889">
        <v>3</v>
      </c>
      <c r="J889" t="str">
        <f>VLOOKUP(I889,SeasonFormats!$A$3:$B$999,2,0)</f>
        <v>Series</v>
      </c>
      <c r="K889">
        <v>313</v>
      </c>
      <c r="L889">
        <v>1</v>
      </c>
      <c r="M889" t="s">
        <v>929</v>
      </c>
      <c r="N889">
        <v>1</v>
      </c>
      <c r="P889">
        <v>1</v>
      </c>
      <c r="Q889" s="6" t="d">
        <v>2025-04-12</v>
      </c>
      <c r="R889">
        <v>46</v>
      </c>
      <c r="T889" s="15" t="s">
        <v>1098</v>
      </c>
      <c r="U889" t="str" cm="1">
        <f t="array" ref="U889">_xlfn.TEXTJOIN(",",TRUE,_xlfn.XLOOKUP(_xlfn.FILTERXML("&lt;t&gt;&lt;s&gt;" &amp; SUBSTITUTE(T889,",","&lt;/s&gt;&lt;s&gt;") &amp; "&lt;/s&gt;&lt;/t&gt;", "//s"),Writers!$A$3:$A$999,Writers!$B$3:$B$999,""))</f>
        <v>Russell T Davies</v>
      </c>
      <c r="W889" t="str">
        <f>IF(V889="","",_xlfn.XLOOKUP(V889,Writers!$A$3:$A$999,Writers!$B$3:$B$999,""))</f>
        <v/>
      </c>
      <c r="X889">
        <v>2</v>
      </c>
      <c r="Y889">
        <v>3.36</v>
      </c>
      <c r="Z889">
        <v>3.57</v>
      </c>
      <c r="AA889">
        <f t="shared" ref="AA889" si="44">IF(ISBLANK(X889),"",ROUND(X889*AE889,2))</f>
        <v>2</v>
      </c>
      <c r="AB889">
        <f t="shared" si="42"/>
        <v>3.36</v>
      </c>
      <c r="AC889">
        <f t="shared" si="43"/>
        <v>3.57</v>
      </c>
      <c r="AD889">
        <f>VLOOKUP(YEAR(Q889),Populations!$A$3:$B$999,2,0)</f>
        <v>68304932</v>
      </c>
      <c r="AE889">
        <f>(Calculations!B1/AD889)</f>
        <v>1</v>
      </c>
      <c r="AG889">
        <v>2</v>
      </c>
      <c r="AH889" t="str">
        <f>VLOOKUP(AG889,WikiFormats!$A$3:$B$999,2,0)</f>
        <v>Episode</v>
      </c>
      <c r="AI889" t="s">
        <v>928</v>
      </c>
    </row>
    <row r="890" spans="1:35" x14ac:dyDescent="0.55000000000000004">
      <c r="A890">
        <v>886</v>
      </c>
      <c r="B890">
        <v>4</v>
      </c>
      <c r="C890" t="str">
        <f>VLOOKUP(B890,Eras!$A$3:$B$999,2,0)</f>
        <v>New/Disney</v>
      </c>
      <c r="D890">
        <v>1</v>
      </c>
      <c r="E890" t="str">
        <f>VLOOKUP(D890,EpisodeFormats!$A$3:$B$999,2,0)</f>
        <v>Series</v>
      </c>
      <c r="F890">
        <v>15</v>
      </c>
      <c r="G890" t="str">
        <f>VLOOKUP(F890,Doctors!$A$3:$B$999,2,0)</f>
        <v>Ncuti Gatwa</v>
      </c>
      <c r="H890">
        <v>15</v>
      </c>
      <c r="I890">
        <v>3</v>
      </c>
      <c r="J890" t="str">
        <f>VLOOKUP(I890,SeasonFormats!$A$3:$B$999,2,0)</f>
        <v>Series</v>
      </c>
      <c r="K890">
        <v>314</v>
      </c>
      <c r="L890">
        <v>2</v>
      </c>
      <c r="M890" t="s">
        <v>930</v>
      </c>
      <c r="N890">
        <v>1</v>
      </c>
      <c r="P890">
        <v>2</v>
      </c>
      <c r="Q890" s="6" t="d">
        <v>2025-04-19</v>
      </c>
      <c r="R890">
        <v>44</v>
      </c>
      <c r="T890" s="15" t="s">
        <v>1098</v>
      </c>
      <c r="U890" t="str" cm="1">
        <f t="array" ref="U890">_xlfn.TEXTJOIN(",",TRUE,_xlfn.XLOOKUP(_xlfn.FILTERXML("&lt;t&gt;&lt;s&gt;" &amp; SUBSTITUTE(T890,",","&lt;/s&gt;&lt;s&gt;") &amp; "&lt;/s&gt;&lt;/t&gt;", "//s"),Writers!$A$3:$A$999,Writers!$B$3:$B$999,""))</f>
        <v>Russell T Davies</v>
      </c>
      <c r="W890" t="str">
        <f>IF(V890="","",_xlfn.XLOOKUP(V890,Writers!$A$3:$A$999,Writers!$B$3:$B$999,""))</f>
        <v/>
      </c>
      <c r="X890">
        <v>1.58</v>
      </c>
      <c r="Y890">
        <v>2.69</v>
      </c>
      <c r="Z890">
        <v>3</v>
      </c>
      <c r="AA890">
        <f t="shared" ref="AA890" si="45">IF(ISBLANK(X890),"",ROUND(X890*AE890,2))</f>
        <v>1.58</v>
      </c>
      <c r="AB890">
        <f t="shared" ref="AB890" si="46">IF(ISBLANK(Y890),"",ROUND(Y890*AE890,2))</f>
        <v>2.69</v>
      </c>
      <c r="AC890">
        <f t="shared" ref="AC890" si="47">IF(ISBLANK(Z890),"",ROUND(Z890*AE890,2))</f>
        <v>3</v>
      </c>
      <c r="AD890">
        <f>VLOOKUP(YEAR(Q890),Populations!$A$3:$B$999,2,0)</f>
        <v>68304932</v>
      </c>
      <c r="AE890">
        <f>(Calculations!B1/AD890)</f>
        <v>1</v>
      </c>
      <c r="AG890">
        <v>2</v>
      </c>
      <c r="AH890" t="str">
        <f>VLOOKUP(AG890,WikiFormats!$A$3:$B$999,2,0)</f>
        <v>Episode</v>
      </c>
      <c r="AI890" t="s">
        <v>931</v>
      </c>
    </row>
    <row r="891" spans="1:35" x14ac:dyDescent="0.55000000000000004">
      <c r="A891">
        <v>887</v>
      </c>
      <c r="B891">
        <v>4</v>
      </c>
      <c r="C891" t="str">
        <f>VLOOKUP(B891,Eras!$A$3:$B$999,2,0)</f>
        <v>New/Disney</v>
      </c>
      <c r="D891">
        <v>1</v>
      </c>
      <c r="E891" t="str">
        <f>VLOOKUP(D891,EpisodeFormats!$A$3:$B$999,2,0)</f>
        <v>Series</v>
      </c>
      <c r="F891">
        <v>15</v>
      </c>
      <c r="G891" t="str">
        <f>VLOOKUP(F891,Doctors!$A$3:$B$999,2,0)</f>
        <v>Ncuti Gatwa</v>
      </c>
      <c r="H891">
        <v>15</v>
      </c>
      <c r="I891">
        <v>3</v>
      </c>
      <c r="J891" t="str">
        <f>VLOOKUP(I891,SeasonFormats!$A$3:$B$999,2,0)</f>
        <v>Series</v>
      </c>
      <c r="K891">
        <v>315</v>
      </c>
      <c r="L891">
        <v>3</v>
      </c>
      <c r="M891" t="s">
        <v>932</v>
      </c>
      <c r="N891">
        <v>1</v>
      </c>
      <c r="P891">
        <v>3</v>
      </c>
      <c r="Q891" s="6" t="d">
        <v>2025-04-26</v>
      </c>
      <c r="R891">
        <v>48</v>
      </c>
      <c r="T891" s="15" t="s">
        <v>1072</v>
      </c>
      <c r="U891" t="str" cm="1">
        <f t="array" ref="U891">_xlfn.TEXTJOIN(",",TRUE,_xlfn.XLOOKUP(_xlfn.FILTERXML("&lt;t&gt;&lt;s&gt;" &amp; SUBSTITUTE(T891,",","&lt;/s&gt;&lt;s&gt;") &amp; "&lt;/s&gt;&lt;/t&gt;", "//s"),Writers!$A$3:$A$999,Writers!$B$3:$B$999,""))</f>
        <v>Sharma Angel-Walfall,Russell T Davies</v>
      </c>
      <c r="W891" t="str">
        <f>IF(V891="","",_xlfn.XLOOKUP(V891,Writers!$A$3:$A$999,Writers!$B$3:$B$999,""))</f>
        <v/>
      </c>
      <c r="X891">
        <v>1.86</v>
      </c>
      <c r="Y891">
        <v>2.91</v>
      </c>
      <c r="Z891">
        <v>3.23</v>
      </c>
      <c r="AA891">
        <f t="shared" ref="AA891" si="48">IF(ISBLANK(X891),"",ROUND(X891*AE891,2))</f>
        <v>1.86</v>
      </c>
      <c r="AB891">
        <f t="shared" ref="AB891" si="49">IF(ISBLANK(Y891),"",ROUND(Y891*AE891,2))</f>
        <v>2.91</v>
      </c>
      <c r="AC891">
        <f t="shared" ref="AC891" si="50">IF(ISBLANK(Z891),"",ROUND(Z891*AE891,2))</f>
        <v>3.23</v>
      </c>
      <c r="AD891">
        <f>VLOOKUP(YEAR(Q891),Populations!$A$3:$B$999,2,0)</f>
        <v>68304932</v>
      </c>
      <c r="AE891">
        <f>(Calculations!B1/AD891)</f>
        <v>1</v>
      </c>
      <c r="AG891">
        <v>2</v>
      </c>
      <c r="AH891" t="str">
        <f>VLOOKUP(AG891,WikiFormats!$A$3:$B$999,2,0)</f>
        <v>Episode</v>
      </c>
      <c r="AI891" t="s">
        <v>933</v>
      </c>
    </row>
    <row r="892" spans="1:35" x14ac:dyDescent="0.55000000000000004">
      <c r="A892">
        <v>888</v>
      </c>
      <c r="B892">
        <v>4</v>
      </c>
      <c r="C892" t="str">
        <f>VLOOKUP(B892,Eras!$A$3:$B$999,2,0)</f>
        <v>New/Disney</v>
      </c>
      <c r="D892">
        <v>1</v>
      </c>
      <c r="E892" t="str">
        <f>VLOOKUP(D892,EpisodeFormats!$A$3:$B$999,2,0)</f>
        <v>Series</v>
      </c>
      <c r="F892">
        <v>15</v>
      </c>
      <c r="G892" t="str">
        <f>VLOOKUP(F892,Doctors!$A$3:$B$999,2,0)</f>
        <v>Ncuti Gatwa</v>
      </c>
      <c r="H892">
        <v>15</v>
      </c>
      <c r="I892">
        <v>3</v>
      </c>
      <c r="J892" t="str">
        <f>VLOOKUP(I892,SeasonFormats!$A$3:$B$999,2,0)</f>
        <v>Series</v>
      </c>
      <c r="K892">
        <v>316</v>
      </c>
      <c r="L892">
        <v>4</v>
      </c>
      <c r="M892" t="s">
        <v>935</v>
      </c>
      <c r="N892">
        <v>1</v>
      </c>
      <c r="P892">
        <v>4</v>
      </c>
      <c r="Q892" s="6" t="d">
        <v>2025-05-03</v>
      </c>
      <c r="R892">
        <v>46</v>
      </c>
      <c r="T892" s="15" t="s">
        <v>1143</v>
      </c>
      <c r="U892" t="str" cm="1">
        <f t="array" ref="U892">_xlfn.TEXTJOIN(",",TRUE,_xlfn.XLOOKUP(_xlfn.FILTERXML("&lt;t&gt;&lt;s&gt;" &amp; SUBSTITUTE(T892,",","&lt;/s&gt;&lt;s&gt;") &amp; "&lt;/s&gt;&lt;/t&gt;", "//s"),Writers!$A$3:$A$999,Writers!$B$3:$B$999,""))</f>
        <v>Pete McTighe</v>
      </c>
      <c r="W892" t="str">
        <f>IF(V892="","",_xlfn.XLOOKUP(V892,Writers!$A$3:$A$999,Writers!$B$3:$B$999,""))</f>
        <v/>
      </c>
      <c r="X892">
        <v>1.5</v>
      </c>
      <c r="Y892">
        <v>2.5099999999999998</v>
      </c>
      <c r="Z892">
        <v>2.8</v>
      </c>
      <c r="AA892">
        <f t="shared" ref="AA892" si="51">IF(ISBLANK(X892),"",ROUND(X892*AE892,2))</f>
        <v>1.5</v>
      </c>
      <c r="AB892">
        <f t="shared" ref="AB892" si="52">IF(ISBLANK(Y892),"",ROUND(Y892*AE892,2))</f>
        <v>2.5099999999999998</v>
      </c>
      <c r="AC892">
        <f t="shared" ref="AC892" si="53">IF(ISBLANK(Z892),"",ROUND(Z892*AE892,2))</f>
        <v>2.8</v>
      </c>
      <c r="AD892">
        <f>VLOOKUP(YEAR(Q892),Populations!$A$3:$B$999,2,0)</f>
        <v>68304932</v>
      </c>
      <c r="AE892">
        <f>(Calculations!B1/AD892)</f>
        <v>1</v>
      </c>
      <c r="AG892">
        <v>2</v>
      </c>
      <c r="AH892" t="str">
        <f>VLOOKUP(AG892,WikiFormats!$A$3:$B$999,2,0)</f>
        <v>Episode</v>
      </c>
      <c r="AI892" t="s">
        <v>934</v>
      </c>
    </row>
    <row r="893" spans="1:35" x14ac:dyDescent="0.55000000000000004">
      <c r="A893">
        <v>889</v>
      </c>
      <c r="B893">
        <v>4</v>
      </c>
      <c r="C893" t="str">
        <f>VLOOKUP(B893,Eras!$A$3:$B$999,2,0)</f>
        <v>New/Disney</v>
      </c>
      <c r="D893">
        <v>1</v>
      </c>
      <c r="E893" t="str">
        <f>VLOOKUP(D893,EpisodeFormats!$A$3:$B$999,2,0)</f>
        <v>Series</v>
      </c>
      <c r="F893">
        <v>15</v>
      </c>
      <c r="G893" t="str">
        <f>VLOOKUP(F893,Doctors!$A$3:$B$999,2,0)</f>
        <v>Ncuti Gatwa</v>
      </c>
      <c r="H893">
        <v>15</v>
      </c>
      <c r="I893">
        <v>3</v>
      </c>
      <c r="J893" t="str">
        <f>VLOOKUP(I893,SeasonFormats!$A$3:$B$999,2,0)</f>
        <v>Series</v>
      </c>
      <c r="K893">
        <v>317</v>
      </c>
      <c r="L893">
        <v>5</v>
      </c>
      <c r="M893" t="s">
        <v>937</v>
      </c>
      <c r="N893">
        <v>1</v>
      </c>
      <c r="P893">
        <v>5</v>
      </c>
      <c r="Q893" s="6" t="d">
        <v>2025-05-10</v>
      </c>
      <c r="R893">
        <v>47</v>
      </c>
      <c r="T893" s="15" t="s">
        <v>1109</v>
      </c>
      <c r="U893" t="str" cm="1">
        <f t="array" ref="U893">_xlfn.TEXTJOIN(",",TRUE,_xlfn.XLOOKUP(_xlfn.FILTERXML("&lt;t&gt;&lt;s&gt;" &amp; SUBSTITUTE(T893,",","&lt;/s&gt;&lt;s&gt;") &amp; "&lt;/s&gt;&lt;/t&gt;", "//s"),Writers!$A$3:$A$999,Writers!$B$3:$B$999,""))</f>
        <v>Inua Ellams</v>
      </c>
      <c r="W893" t="str">
        <f>IF(V893="","",_xlfn.XLOOKUP(V893,Writers!$A$3:$A$999,Writers!$B$3:$B$999,""))</f>
        <v/>
      </c>
      <c r="X893">
        <v>1.59</v>
      </c>
      <c r="Y893">
        <v>2.46</v>
      </c>
      <c r="Z893">
        <v>2.7</v>
      </c>
      <c r="AA893">
        <f t="shared" ref="AA893" si="54">IF(ISBLANK(X893),"",ROUND(X893*AE893,2))</f>
        <v>1.59</v>
      </c>
      <c r="AB893">
        <f t="shared" ref="AB893" si="55">IF(ISBLANK(Y893),"",ROUND(Y893*AE893,2))</f>
        <v>2.46</v>
      </c>
      <c r="AC893">
        <f t="shared" ref="AC893" si="56">IF(ISBLANK(Z893),"",ROUND(Z893*AE893,2))</f>
        <v>2.7</v>
      </c>
      <c r="AD893">
        <f>VLOOKUP(YEAR(Q893),Populations!$A$3:$B$999,2,0)</f>
        <v>68304932</v>
      </c>
      <c r="AE893">
        <f>(Calculations!B1/AD893)</f>
        <v>1</v>
      </c>
      <c r="AG893">
        <v>2</v>
      </c>
      <c r="AH893" t="str">
        <f>VLOOKUP(AG893,WikiFormats!$A$3:$B$999,2,0)</f>
        <v>Episode</v>
      </c>
      <c r="AI893" t="s">
        <v>936</v>
      </c>
    </row>
    <row r="894" spans="1:35" x14ac:dyDescent="0.55000000000000004">
      <c r="A894">
        <v>890</v>
      </c>
      <c r="B894">
        <v>4</v>
      </c>
      <c r="C894" t="str">
        <f>VLOOKUP(B894,Eras!$A$3:$B$999,2,0)</f>
        <v>New/Disney</v>
      </c>
      <c r="D894">
        <v>1</v>
      </c>
      <c r="E894" t="str">
        <f>VLOOKUP(D894,EpisodeFormats!$A$3:$B$999,2,0)</f>
        <v>Series</v>
      </c>
      <c r="F894">
        <v>15</v>
      </c>
      <c r="G894" t="str">
        <f>VLOOKUP(F894,Doctors!$A$3:$B$999,2,0)</f>
        <v>Ncuti Gatwa</v>
      </c>
      <c r="H894">
        <v>15</v>
      </c>
      <c r="I894">
        <v>3</v>
      </c>
      <c r="J894" t="str">
        <f>VLOOKUP(I894,SeasonFormats!$A$3:$B$999,2,0)</f>
        <v>Series</v>
      </c>
      <c r="K894">
        <v>318</v>
      </c>
      <c r="L894">
        <v>6</v>
      </c>
      <c r="M894" t="s">
        <v>938</v>
      </c>
      <c r="N894">
        <v>1</v>
      </c>
      <c r="P894">
        <v>6</v>
      </c>
      <c r="Q894" s="6" t="d">
        <v>2025-05-17</v>
      </c>
      <c r="R894">
        <v>47</v>
      </c>
      <c r="T894" s="15" t="s">
        <v>1101</v>
      </c>
      <c r="U894" t="str" cm="1">
        <f t="array" ref="U894">_xlfn.TEXTJOIN(",",TRUE,_xlfn.XLOOKUP(_xlfn.FILTERXML("&lt;t&gt;&lt;s&gt;" &amp; SUBSTITUTE(T894,",","&lt;/s&gt;&lt;s&gt;") &amp; "&lt;/s&gt;&lt;/t&gt;", "//s"),Writers!$A$3:$A$999,Writers!$B$3:$B$999,""))</f>
        <v>Juno Dawson</v>
      </c>
      <c r="W894" t="str">
        <f>IF(V894="","",_xlfn.XLOOKUP(V894,Writers!$A$3:$A$999,Writers!$B$3:$B$999,""))</f>
        <v/>
      </c>
      <c r="X894">
        <v>2.57</v>
      </c>
      <c r="Y894">
        <v>3.33</v>
      </c>
      <c r="Z894">
        <v>3.75</v>
      </c>
      <c r="AA894">
        <f t="shared" ref="AA894" si="57">IF(ISBLANK(X894),"",ROUND(X894*AE894,2))</f>
        <v>2.57</v>
      </c>
      <c r="AB894">
        <f t="shared" ref="AB894" si="58">IF(ISBLANK(Y894),"",ROUND(Y894*AE894,2))</f>
        <v>3.33</v>
      </c>
      <c r="AC894">
        <f t="shared" ref="AC894" si="59">IF(ISBLANK(Z894),"",ROUND(Z894*AE894,2))</f>
        <v>3.75</v>
      </c>
      <c r="AD894">
        <f>VLOOKUP(YEAR(Q894),Populations!$A$3:$B$999,2,0)</f>
        <v>68304932</v>
      </c>
      <c r="AE894">
        <f>(Calculations!B1/AD894)</f>
        <v>1</v>
      </c>
      <c r="AG894">
        <v>2</v>
      </c>
      <c r="AH894" t="str">
        <f>VLOOKUP(AG894,WikiFormats!$A$3:$B$999,2,0)</f>
        <v>Episode</v>
      </c>
      <c r="AI894" t="s">
        <v>939</v>
      </c>
    </row>
    <row r="895" spans="1:35" x14ac:dyDescent="0.55000000000000004">
      <c r="A895">
        <v>891</v>
      </c>
      <c r="B895">
        <v>4</v>
      </c>
      <c r="C895" t="str">
        <f>VLOOKUP(B895,Eras!$A$3:$B$999,2,0)</f>
        <v>New/Disney</v>
      </c>
      <c r="D895">
        <v>1</v>
      </c>
      <c r="E895" t="str">
        <f>VLOOKUP(D895,EpisodeFormats!$A$3:$B$999,2,0)</f>
        <v>Series</v>
      </c>
      <c r="F895">
        <v>15</v>
      </c>
      <c r="G895" t="str">
        <f>VLOOKUP(F895,Doctors!$A$3:$B$999,2,0)</f>
        <v>Ncuti Gatwa</v>
      </c>
      <c r="H895">
        <v>15</v>
      </c>
      <c r="I895">
        <v>3</v>
      </c>
      <c r="J895" t="str">
        <f>VLOOKUP(I895,SeasonFormats!$A$3:$B$999,2,0)</f>
        <v>Series</v>
      </c>
      <c r="K895">
        <v>319</v>
      </c>
      <c r="L895">
        <v>7</v>
      </c>
      <c r="M895" t="s">
        <v>940</v>
      </c>
      <c r="N895">
        <v>1</v>
      </c>
      <c r="P895">
        <v>7</v>
      </c>
      <c r="Q895" s="6" t="d">
        <v>2025-05-24</v>
      </c>
      <c r="R895">
        <v>44</v>
      </c>
      <c r="T895" s="15" t="s">
        <v>1098</v>
      </c>
      <c r="U895" t="str" cm="1">
        <f t="array" ref="U895">_xlfn.TEXTJOIN(",",TRUE,_xlfn.XLOOKUP(_xlfn.FILTERXML("&lt;t&gt;&lt;s&gt;" &amp; SUBSTITUTE(T895,",","&lt;/s&gt;&lt;s&gt;") &amp; "&lt;/s&gt;&lt;/t&gt;", "//s"),Writers!$A$3:$A$999,Writers!$B$3:$B$999,""))</f>
        <v>Russell T Davies</v>
      </c>
      <c r="W895" t="str">
        <f>IF(V895="","",_xlfn.XLOOKUP(V895,Writers!$A$3:$A$999,Writers!$B$3:$B$999,""))</f>
        <v/>
      </c>
      <c r="X895">
        <v>1.83</v>
      </c>
      <c r="Y895">
        <v>2.5099999999999998</v>
      </c>
      <c r="Z895">
        <v>2.86</v>
      </c>
      <c r="AA895">
        <f t="shared" ref="AA895" si="60">IF(ISBLANK(X895),"",ROUND(X895*AE895,2))</f>
        <v>1.83</v>
      </c>
      <c r="AB895">
        <f t="shared" ref="AB895" si="61">IF(ISBLANK(Y895),"",ROUND(Y895*AE895,2))</f>
        <v>2.5099999999999998</v>
      </c>
      <c r="AC895">
        <f t="shared" ref="AC895" si="62">IF(ISBLANK(Z895),"",ROUND(Z895*AE895,2))</f>
        <v>2.86</v>
      </c>
      <c r="AD895">
        <f>VLOOKUP(YEAR(Q895),Populations!$A$3:$B$999,2,0)</f>
        <v>68304932</v>
      </c>
      <c r="AE895">
        <f>(Calculations!B1/AD895)</f>
        <v>1</v>
      </c>
      <c r="AG895">
        <v>2</v>
      </c>
      <c r="AH895" t="str">
        <f>VLOOKUP(AG895,WikiFormats!$A$3:$B$999,2,0)</f>
        <v>Episode</v>
      </c>
      <c r="AI895" t="s">
        <v>941</v>
      </c>
    </row>
    <row r="896" spans="1:35" x14ac:dyDescent="0.55000000000000004">
      <c r="A896">
        <v>892</v>
      </c>
      <c r="B896">
        <v>4</v>
      </c>
      <c r="C896" t="str">
        <f>VLOOKUP(B896,Eras!$A$3:$B$999,2,0)</f>
        <v>New/Disney</v>
      </c>
      <c r="D896">
        <v>1</v>
      </c>
      <c r="E896" t="str">
        <f>VLOOKUP(D896,EpisodeFormats!$A$3:$B$999,2,0)</f>
        <v>Series</v>
      </c>
      <c r="F896">
        <v>15</v>
      </c>
      <c r="G896" t="str">
        <f>VLOOKUP(F896,Doctors!$A$3:$B$999,2,0)</f>
        <v>Ncuti Gatwa</v>
      </c>
      <c r="H896">
        <v>15</v>
      </c>
      <c r="I896">
        <v>3</v>
      </c>
      <c r="J896" t="str">
        <f>VLOOKUP(I896,SeasonFormats!$A$3:$B$999,2,0)</f>
        <v>Series</v>
      </c>
      <c r="K896">
        <v>319</v>
      </c>
      <c r="L896">
        <v>7</v>
      </c>
      <c r="M896" t="s">
        <v>942</v>
      </c>
      <c r="N896">
        <v>2</v>
      </c>
      <c r="P896">
        <v>8</v>
      </c>
      <c r="Q896" s="6" t="d">
        <v>2025-05-31</v>
      </c>
      <c r="R896">
        <v>67</v>
      </c>
      <c r="T896" s="15" t="s">
        <v>1098</v>
      </c>
      <c r="U896" t="str" cm="1">
        <f t="array" ref="U896">_xlfn.TEXTJOIN(",",TRUE,_xlfn.XLOOKUP(_xlfn.FILTERXML("&lt;t&gt;&lt;s&gt;" &amp; SUBSTITUTE(T896,",","&lt;/s&gt;&lt;s&gt;") &amp; "&lt;/s&gt;&lt;/t&gt;", "//s"),Writers!$A$3:$A$999,Writers!$B$3:$B$999,""))</f>
        <v>Russell T Davies</v>
      </c>
      <c r="W896" t="str">
        <f>IF(V896="","",_xlfn.XLOOKUP(V896,Writers!$A$3:$A$999,Writers!$B$3:$B$999,""))</f>
        <v/>
      </c>
      <c r="X896">
        <v>2.17</v>
      </c>
      <c r="Y896">
        <v>3.29</v>
      </c>
      <c r="Z896">
        <v>3.44</v>
      </c>
      <c r="AA896">
        <f t="shared" ref="AA896" si="63">IF(ISBLANK(X896),"",ROUND(X896*AE896,2))</f>
        <v>2.17</v>
      </c>
      <c r="AB896">
        <f t="shared" ref="AB896" si="64">IF(ISBLANK(Y896),"",ROUND(Y896*AE896,2))</f>
        <v>3.29</v>
      </c>
      <c r="AC896">
        <f t="shared" ref="AC896" si="65">IF(ISBLANK(Z896),"",ROUND(Z896*AE896,2))</f>
        <v>3.44</v>
      </c>
      <c r="AD896">
        <f>VLOOKUP(YEAR(Q896),Populations!$A$3:$B$999,2,0)</f>
        <v>68304932</v>
      </c>
      <c r="AE896">
        <f>(Calculations!B1/AD896)</f>
        <v>1</v>
      </c>
      <c r="AG896">
        <v>2</v>
      </c>
      <c r="AH896" t="str">
        <f>VLOOKUP(AG896,WikiFormats!$A$3:$B$999,2,0)</f>
        <v>Episode</v>
      </c>
      <c r="AI896" t="s">
        <v>943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E4650-9D87-4D61-8A6B-EE2E4EAC7749}">
  <dimension ref="A1:B17"/>
  <sheetViews>
    <sheetView workbookViewId="0"/>
  </sheetViews>
  <sheetFormatPr defaultRowHeight="14.4" x14ac:dyDescent="0.55000000000000004"/>
  <cols>
    <col min="1" max="1" width="8.26171875" bestFit="1" customWidth="1"/>
    <col min="2" max="2" width="18" bestFit="1" customWidth="1"/>
  </cols>
  <sheetData>
    <row r="1" spans="1:2" x14ac:dyDescent="0.55000000000000004">
      <c r="A1" s="1" t="s">
        <v>547</v>
      </c>
      <c r="B1" s="1" t="s">
        <v>19</v>
      </c>
    </row>
    <row r="3" spans="1:2" x14ac:dyDescent="0.55000000000000004">
      <c r="A3">
        <v>1</v>
      </c>
      <c r="B3" t="s">
        <v>20</v>
      </c>
    </row>
    <row r="4" spans="1:2" x14ac:dyDescent="0.55000000000000004">
      <c r="A4">
        <v>2</v>
      </c>
      <c r="B4" t="s">
        <v>96</v>
      </c>
    </row>
    <row r="5" spans="1:2" x14ac:dyDescent="0.55000000000000004">
      <c r="A5">
        <v>3</v>
      </c>
      <c r="B5" t="s">
        <v>97</v>
      </c>
    </row>
    <row r="6" spans="1:2" x14ac:dyDescent="0.55000000000000004">
      <c r="A6">
        <v>4</v>
      </c>
      <c r="B6" t="s">
        <v>98</v>
      </c>
    </row>
    <row r="7" spans="1:2" x14ac:dyDescent="0.55000000000000004">
      <c r="A7">
        <v>5</v>
      </c>
      <c r="B7" t="s">
        <v>99</v>
      </c>
    </row>
    <row r="8" spans="1:2" x14ac:dyDescent="0.55000000000000004">
      <c r="A8">
        <v>6</v>
      </c>
      <c r="B8" t="s">
        <v>100</v>
      </c>
    </row>
    <row r="9" spans="1:2" x14ac:dyDescent="0.55000000000000004">
      <c r="A9">
        <v>7</v>
      </c>
      <c r="B9" t="s">
        <v>18</v>
      </c>
    </row>
    <row r="10" spans="1:2" x14ac:dyDescent="0.55000000000000004">
      <c r="A10">
        <v>8</v>
      </c>
      <c r="B10" t="s">
        <v>107</v>
      </c>
    </row>
    <row r="11" spans="1:2" x14ac:dyDescent="0.55000000000000004">
      <c r="A11">
        <v>9</v>
      </c>
      <c r="B11" t="s">
        <v>101</v>
      </c>
    </row>
    <row r="12" spans="1:2" x14ac:dyDescent="0.55000000000000004">
      <c r="A12">
        <v>10</v>
      </c>
      <c r="B12" t="s">
        <v>102</v>
      </c>
    </row>
    <row r="13" spans="1:2" x14ac:dyDescent="0.55000000000000004">
      <c r="A13">
        <v>11</v>
      </c>
      <c r="B13" t="s">
        <v>103</v>
      </c>
    </row>
    <row r="14" spans="1:2" x14ac:dyDescent="0.55000000000000004">
      <c r="A14">
        <v>12</v>
      </c>
      <c r="B14" t="s">
        <v>104</v>
      </c>
    </row>
    <row r="15" spans="1:2" x14ac:dyDescent="0.55000000000000004">
      <c r="A15">
        <v>13</v>
      </c>
      <c r="B15" t="s">
        <v>105</v>
      </c>
    </row>
    <row r="16" spans="1:2" x14ac:dyDescent="0.55000000000000004">
      <c r="A16">
        <v>14</v>
      </c>
      <c r="B16" t="s">
        <v>102</v>
      </c>
    </row>
    <row r="17" spans="1:2" x14ac:dyDescent="0.55000000000000004">
      <c r="A17">
        <v>15</v>
      </c>
      <c r="B17" t="s">
        <v>106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5B331-C9FF-4290-8547-553F66218F6F}">
  <dimension ref="A1:B6"/>
  <sheetViews>
    <sheetView workbookViewId="0"/>
  </sheetViews>
  <sheetFormatPr defaultRowHeight="14.4" x14ac:dyDescent="0.55000000000000004"/>
  <cols>
    <col min="1" max="1" width="2.68359375" bestFit="1" customWidth="1"/>
    <col min="2" max="2" width="11.578125" bestFit="1" customWidth="1"/>
  </cols>
  <sheetData>
    <row r="1" spans="1:2" x14ac:dyDescent="0.55000000000000004">
      <c r="A1" s="1" t="s">
        <v>555</v>
      </c>
      <c r="B1" s="1" t="s">
        <v>557</v>
      </c>
    </row>
    <row r="3" spans="1:2" x14ac:dyDescent="0.55000000000000004">
      <c r="A3">
        <v>1</v>
      </c>
      <c r="B3" t="s">
        <v>13</v>
      </c>
    </row>
    <row r="4" spans="1:2" x14ac:dyDescent="0.55000000000000004">
      <c r="A4">
        <v>2</v>
      </c>
      <c r="B4" t="s">
        <v>546</v>
      </c>
    </row>
    <row r="5" spans="1:2" x14ac:dyDescent="0.55000000000000004">
      <c r="A5">
        <v>3</v>
      </c>
      <c r="B5" t="s">
        <v>95</v>
      </c>
    </row>
    <row r="6" spans="1:2" x14ac:dyDescent="0.55000000000000004">
      <c r="A6">
        <v>4</v>
      </c>
      <c r="B6" t="s">
        <v>77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66899-18B6-4DCB-A553-02C6C65D4321}">
  <dimension ref="A1:B5"/>
  <sheetViews>
    <sheetView workbookViewId="0"/>
  </sheetViews>
  <sheetFormatPr defaultRowHeight="14.4" x14ac:dyDescent="0.55000000000000004"/>
  <cols>
    <col min="1" max="1" width="2.68359375" bestFit="1" customWidth="1"/>
    <col min="2" max="2" width="11.578125" bestFit="1" customWidth="1"/>
  </cols>
  <sheetData>
    <row r="1" spans="1:2" x14ac:dyDescent="0.55000000000000004">
      <c r="A1" s="1" t="s">
        <v>555</v>
      </c>
      <c r="B1" s="1" t="s">
        <v>557</v>
      </c>
    </row>
    <row r="3" spans="1:2" x14ac:dyDescent="0.55000000000000004">
      <c r="A3">
        <v>1</v>
      </c>
      <c r="B3" t="s">
        <v>95</v>
      </c>
    </row>
    <row r="4" spans="1:2" x14ac:dyDescent="0.55000000000000004">
      <c r="A4">
        <v>2</v>
      </c>
      <c r="B4" t="s">
        <v>77</v>
      </c>
    </row>
    <row r="5" spans="1:2" x14ac:dyDescent="0.55000000000000004">
      <c r="A5">
        <v>3</v>
      </c>
      <c r="B5" t="s">
        <v>546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ACFC-EF07-44F0-9751-C15FAB498A0C}">
  <dimension ref="A1:B6"/>
  <sheetViews>
    <sheetView workbookViewId="0"/>
  </sheetViews>
  <sheetFormatPr defaultRowHeight="14.4" x14ac:dyDescent="0.55000000000000004"/>
  <cols>
    <col min="1" max="1" width="2.68359375" bestFit="1" customWidth="1"/>
    <col min="2" max="2" width="15.26171875" bestFit="1" customWidth="1"/>
  </cols>
  <sheetData>
    <row r="1" spans="1:2" x14ac:dyDescent="0.55000000000000004">
      <c r="A1" s="1" t="s">
        <v>555</v>
      </c>
      <c r="B1" s="1" t="s">
        <v>557</v>
      </c>
    </row>
    <row r="3" spans="1:2" x14ac:dyDescent="0.55000000000000004">
      <c r="A3">
        <v>1</v>
      </c>
      <c r="B3" t="s">
        <v>570</v>
      </c>
    </row>
    <row r="4" spans="1:2" x14ac:dyDescent="0.55000000000000004">
      <c r="A4">
        <v>2</v>
      </c>
      <c r="B4" t="s">
        <v>572</v>
      </c>
    </row>
    <row r="5" spans="1:2" x14ac:dyDescent="0.55000000000000004">
      <c r="A5">
        <v>3</v>
      </c>
      <c r="B5" t="s">
        <v>571</v>
      </c>
    </row>
    <row r="6" spans="1:2" x14ac:dyDescent="0.55000000000000004">
      <c r="A6">
        <v>4</v>
      </c>
      <c r="B6" t="s">
        <v>573</v>
      </c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270B-33E8-474E-9271-9137F1CDC698}">
  <dimension ref="A1:D115"/>
  <sheetViews>
    <sheetView workbookViewId="0"/>
  </sheetViews>
  <sheetFormatPr defaultRowHeight="14.4" x14ac:dyDescent="0.55000000000000004"/>
  <cols>
    <col min="1" max="1" width="4" bestFit="1" customWidth="1"/>
    <col min="2" max="2" width="55.68359375" bestFit="1" customWidth="1"/>
    <col min="3" max="3" width="6.83984375" bestFit="1" customWidth="1"/>
    <col min="4" max="4" width="98.26171875" bestFit="1" customWidth="1"/>
    <col min="5" max="5" width="9.15625" customWidth="1"/>
    <col min="10" max="10" width="9.15625" customWidth="1"/>
    <col min="12" max="12" width="9.15625" customWidth="1"/>
    <col min="13" max="13" width="11.83984375" bestFit="1" customWidth="1"/>
  </cols>
  <sheetData>
    <row r="1" spans="1:4" x14ac:dyDescent="0.55000000000000004">
      <c r="A1" s="1" t="s">
        <v>555</v>
      </c>
      <c r="B1" s="1" t="s">
        <v>1179</v>
      </c>
      <c r="C1" s="1" t="s">
        <v>1058</v>
      </c>
      <c r="D1" s="1" t="s">
        <v>76</v>
      </c>
    </row>
    <row r="3" spans="1:4" ht="15" customHeight="1" x14ac:dyDescent="0.55000000000000004">
      <c r="A3">
        <v>1</v>
      </c>
      <c r="B3" t="s">
        <v>945</v>
      </c>
    </row>
    <row r="4" spans="1:4" ht="15" customHeight="1" x14ac:dyDescent="0.55000000000000004">
      <c r="A4">
        <v>2</v>
      </c>
      <c r="B4" t="s">
        <v>946</v>
      </c>
    </row>
    <row r="5" spans="1:4" ht="15" customHeight="1" x14ac:dyDescent="0.55000000000000004">
      <c r="A5">
        <v>3</v>
      </c>
      <c r="B5" t="s">
        <v>947</v>
      </c>
      <c r="C5">
        <v>1</v>
      </c>
      <c r="D5" t="s">
        <v>1063</v>
      </c>
    </row>
    <row r="6" spans="1:4" ht="15" customHeight="1" x14ac:dyDescent="0.55000000000000004">
      <c r="A6">
        <v>4</v>
      </c>
      <c r="B6" t="s">
        <v>948</v>
      </c>
    </row>
    <row r="7" spans="1:4" ht="15" customHeight="1" x14ac:dyDescent="0.55000000000000004">
      <c r="A7">
        <v>5</v>
      </c>
      <c r="B7" t="s">
        <v>949</v>
      </c>
    </row>
    <row r="8" spans="1:4" ht="15" customHeight="1" x14ac:dyDescent="0.55000000000000004">
      <c r="A8">
        <v>6</v>
      </c>
      <c r="B8" t="s">
        <v>1054</v>
      </c>
      <c r="C8">
        <v>1</v>
      </c>
      <c r="D8" t="s">
        <v>1064</v>
      </c>
    </row>
    <row r="9" spans="1:4" ht="15" customHeight="1" x14ac:dyDescent="0.55000000000000004">
      <c r="A9">
        <v>7</v>
      </c>
      <c r="B9" t="s">
        <v>950</v>
      </c>
    </row>
    <row r="10" spans="1:4" ht="15" customHeight="1" x14ac:dyDescent="0.55000000000000004">
      <c r="A10">
        <v>8</v>
      </c>
      <c r="B10" t="s">
        <v>951</v>
      </c>
    </row>
    <row r="11" spans="1:4" ht="15" customHeight="1" x14ac:dyDescent="0.55000000000000004">
      <c r="A11">
        <v>9</v>
      </c>
      <c r="B11" t="s">
        <v>952</v>
      </c>
    </row>
    <row r="12" spans="1:4" ht="15" customHeight="1" x14ac:dyDescent="0.55000000000000004">
      <c r="A12">
        <v>10</v>
      </c>
      <c r="B12" t="s">
        <v>953</v>
      </c>
    </row>
    <row r="13" spans="1:4" ht="15" customHeight="1" x14ac:dyDescent="0.55000000000000004">
      <c r="A13">
        <v>11</v>
      </c>
      <c r="B13" t="s">
        <v>954</v>
      </c>
    </row>
    <row r="14" spans="1:4" ht="15" customHeight="1" x14ac:dyDescent="0.55000000000000004">
      <c r="A14">
        <v>12</v>
      </c>
      <c r="B14" t="s">
        <v>955</v>
      </c>
    </row>
    <row r="15" spans="1:4" ht="15" customHeight="1" x14ac:dyDescent="0.55000000000000004">
      <c r="A15">
        <v>13</v>
      </c>
      <c r="B15" t="s">
        <v>956</v>
      </c>
    </row>
    <row r="16" spans="1:4" ht="15" customHeight="1" x14ac:dyDescent="0.55000000000000004">
      <c r="A16">
        <v>14</v>
      </c>
      <c r="B16" t="s">
        <v>1055</v>
      </c>
      <c r="C16">
        <v>1</v>
      </c>
      <c r="D16" t="s">
        <v>1065</v>
      </c>
    </row>
    <row r="17" spans="1:2" ht="15" customHeight="1" x14ac:dyDescent="0.55000000000000004">
      <c r="A17">
        <v>15</v>
      </c>
      <c r="B17" t="s">
        <v>957</v>
      </c>
    </row>
    <row r="18" spans="1:2" ht="15" customHeight="1" x14ac:dyDescent="0.55000000000000004">
      <c r="A18">
        <v>16</v>
      </c>
      <c r="B18" t="s">
        <v>958</v>
      </c>
    </row>
    <row r="19" spans="1:2" ht="15" customHeight="1" x14ac:dyDescent="0.55000000000000004">
      <c r="A19">
        <v>17</v>
      </c>
      <c r="B19" t="s">
        <v>959</v>
      </c>
    </row>
    <row r="20" spans="1:2" ht="15" customHeight="1" x14ac:dyDescent="0.55000000000000004">
      <c r="A20">
        <v>18</v>
      </c>
      <c r="B20" t="s">
        <v>960</v>
      </c>
    </row>
    <row r="21" spans="1:2" ht="15" customHeight="1" x14ac:dyDescent="0.55000000000000004">
      <c r="A21">
        <v>19</v>
      </c>
      <c r="B21" t="s">
        <v>961</v>
      </c>
    </row>
    <row r="22" spans="1:2" ht="15" customHeight="1" x14ac:dyDescent="0.55000000000000004">
      <c r="A22">
        <v>20</v>
      </c>
      <c r="B22" t="s">
        <v>962</v>
      </c>
    </row>
    <row r="23" spans="1:2" ht="15" customHeight="1" x14ac:dyDescent="0.55000000000000004">
      <c r="A23">
        <v>21</v>
      </c>
      <c r="B23" t="s">
        <v>963</v>
      </c>
    </row>
    <row r="24" spans="1:2" ht="15" customHeight="1" x14ac:dyDescent="0.55000000000000004">
      <c r="A24">
        <v>22</v>
      </c>
      <c r="B24" t="s">
        <v>964</v>
      </c>
    </row>
    <row r="25" spans="1:2" ht="15" customHeight="1" x14ac:dyDescent="0.55000000000000004">
      <c r="A25">
        <v>23</v>
      </c>
      <c r="B25" t="s">
        <v>965</v>
      </c>
    </row>
    <row r="26" spans="1:2" ht="15" customHeight="1" x14ac:dyDescent="0.55000000000000004">
      <c r="A26">
        <v>24</v>
      </c>
      <c r="B26" t="s">
        <v>966</v>
      </c>
    </row>
    <row r="27" spans="1:2" ht="15" customHeight="1" x14ac:dyDescent="0.55000000000000004">
      <c r="A27">
        <v>25</v>
      </c>
      <c r="B27" t="s">
        <v>967</v>
      </c>
    </row>
    <row r="28" spans="1:2" ht="15" customHeight="1" x14ac:dyDescent="0.55000000000000004">
      <c r="A28">
        <v>26</v>
      </c>
      <c r="B28" t="s">
        <v>968</v>
      </c>
    </row>
    <row r="29" spans="1:2" ht="15" customHeight="1" x14ac:dyDescent="0.55000000000000004">
      <c r="A29">
        <v>27</v>
      </c>
      <c r="B29" t="s">
        <v>969</v>
      </c>
    </row>
    <row r="30" spans="1:2" ht="15" customHeight="1" x14ac:dyDescent="0.55000000000000004">
      <c r="A30">
        <v>28</v>
      </c>
      <c r="B30" t="s">
        <v>970</v>
      </c>
    </row>
    <row r="31" spans="1:2" ht="15" customHeight="1" x14ac:dyDescent="0.55000000000000004">
      <c r="A31">
        <v>29</v>
      </c>
      <c r="B31" t="s">
        <v>971</v>
      </c>
    </row>
    <row r="32" spans="1:2" ht="15" customHeight="1" x14ac:dyDescent="0.55000000000000004">
      <c r="A32">
        <v>30</v>
      </c>
      <c r="B32" t="s">
        <v>972</v>
      </c>
    </row>
    <row r="33" spans="1:2" ht="15" customHeight="1" x14ac:dyDescent="0.55000000000000004">
      <c r="A33">
        <v>31</v>
      </c>
      <c r="B33" t="s">
        <v>973</v>
      </c>
    </row>
    <row r="34" spans="1:2" ht="15" customHeight="1" x14ac:dyDescent="0.55000000000000004">
      <c r="A34">
        <v>32</v>
      </c>
      <c r="B34" t="s">
        <v>974</v>
      </c>
    </row>
    <row r="35" spans="1:2" ht="15" customHeight="1" x14ac:dyDescent="0.55000000000000004">
      <c r="A35">
        <v>33</v>
      </c>
      <c r="B35" t="s">
        <v>975</v>
      </c>
    </row>
    <row r="36" spans="1:2" ht="15" customHeight="1" x14ac:dyDescent="0.55000000000000004">
      <c r="A36">
        <v>34</v>
      </c>
      <c r="B36" t="s">
        <v>976</v>
      </c>
    </row>
    <row r="37" spans="1:2" ht="15" customHeight="1" x14ac:dyDescent="0.55000000000000004">
      <c r="A37">
        <v>35</v>
      </c>
      <c r="B37" t="s">
        <v>977</v>
      </c>
    </row>
    <row r="38" spans="1:2" ht="15" customHeight="1" x14ac:dyDescent="0.55000000000000004">
      <c r="A38">
        <v>36</v>
      </c>
      <c r="B38" t="s">
        <v>978</v>
      </c>
    </row>
    <row r="39" spans="1:2" ht="15" customHeight="1" x14ac:dyDescent="0.55000000000000004">
      <c r="A39">
        <v>37</v>
      </c>
      <c r="B39" t="s">
        <v>979</v>
      </c>
    </row>
    <row r="40" spans="1:2" ht="15" customHeight="1" x14ac:dyDescent="0.55000000000000004">
      <c r="A40">
        <v>38</v>
      </c>
      <c r="B40" t="s">
        <v>980</v>
      </c>
    </row>
    <row r="41" spans="1:2" ht="15" customHeight="1" x14ac:dyDescent="0.55000000000000004">
      <c r="A41">
        <v>39</v>
      </c>
      <c r="B41" t="s">
        <v>981</v>
      </c>
    </row>
    <row r="42" spans="1:2" ht="15" customHeight="1" x14ac:dyDescent="0.55000000000000004">
      <c r="A42">
        <v>40</v>
      </c>
      <c r="B42" t="s">
        <v>982</v>
      </c>
    </row>
    <row r="43" spans="1:2" ht="15" customHeight="1" x14ac:dyDescent="0.55000000000000004">
      <c r="A43">
        <v>41</v>
      </c>
      <c r="B43" t="s">
        <v>983</v>
      </c>
    </row>
    <row r="44" spans="1:2" ht="15" customHeight="1" x14ac:dyDescent="0.55000000000000004">
      <c r="A44">
        <v>42</v>
      </c>
      <c r="B44" t="s">
        <v>984</v>
      </c>
    </row>
    <row r="45" spans="1:2" ht="15" customHeight="1" x14ac:dyDescent="0.55000000000000004">
      <c r="A45">
        <v>43</v>
      </c>
      <c r="B45" t="s">
        <v>985</v>
      </c>
    </row>
    <row r="46" spans="1:2" ht="15" customHeight="1" x14ac:dyDescent="0.55000000000000004">
      <c r="A46">
        <v>44</v>
      </c>
      <c r="B46" t="s">
        <v>986</v>
      </c>
    </row>
    <row r="47" spans="1:2" ht="15" customHeight="1" x14ac:dyDescent="0.55000000000000004">
      <c r="A47">
        <v>45</v>
      </c>
      <c r="B47" t="s">
        <v>987</v>
      </c>
    </row>
    <row r="48" spans="1:2" ht="15" customHeight="1" x14ac:dyDescent="0.55000000000000004">
      <c r="A48">
        <v>46</v>
      </c>
      <c r="B48" t="s">
        <v>1051</v>
      </c>
    </row>
    <row r="49" spans="1:4" ht="15" customHeight="1" x14ac:dyDescent="0.55000000000000004">
      <c r="A49">
        <v>47</v>
      </c>
      <c r="B49" t="s">
        <v>988</v>
      </c>
    </row>
    <row r="50" spans="1:4" ht="15" customHeight="1" x14ac:dyDescent="0.55000000000000004">
      <c r="A50">
        <v>48</v>
      </c>
      <c r="B50" t="s">
        <v>989</v>
      </c>
    </row>
    <row r="51" spans="1:4" ht="15" customHeight="1" x14ac:dyDescent="0.55000000000000004">
      <c r="A51">
        <v>49</v>
      </c>
      <c r="B51" t="s">
        <v>990</v>
      </c>
    </row>
    <row r="52" spans="1:4" ht="15" customHeight="1" x14ac:dyDescent="0.55000000000000004">
      <c r="A52">
        <v>50</v>
      </c>
      <c r="B52" t="s">
        <v>1056</v>
      </c>
      <c r="C52">
        <v>1</v>
      </c>
      <c r="D52" t="s">
        <v>1066</v>
      </c>
    </row>
    <row r="53" spans="1:4" ht="15" customHeight="1" x14ac:dyDescent="0.55000000000000004">
      <c r="A53">
        <v>51</v>
      </c>
      <c r="B53" t="s">
        <v>991</v>
      </c>
    </row>
    <row r="54" spans="1:4" ht="15" customHeight="1" x14ac:dyDescent="0.55000000000000004">
      <c r="A54">
        <v>52</v>
      </c>
      <c r="B54" t="s">
        <v>992</v>
      </c>
    </row>
    <row r="55" spans="1:4" ht="15" customHeight="1" x14ac:dyDescent="0.55000000000000004">
      <c r="A55">
        <v>53</v>
      </c>
      <c r="B55" t="s">
        <v>993</v>
      </c>
    </row>
    <row r="56" spans="1:4" ht="15" customHeight="1" x14ac:dyDescent="0.55000000000000004">
      <c r="A56">
        <v>54</v>
      </c>
      <c r="B56" t="s">
        <v>994</v>
      </c>
    </row>
    <row r="57" spans="1:4" ht="15" customHeight="1" x14ac:dyDescent="0.55000000000000004">
      <c r="A57">
        <v>55</v>
      </c>
      <c r="B57" t="s">
        <v>995</v>
      </c>
    </row>
    <row r="58" spans="1:4" ht="15" customHeight="1" x14ac:dyDescent="0.55000000000000004">
      <c r="A58">
        <v>56</v>
      </c>
      <c r="B58" t="s">
        <v>996</v>
      </c>
    </row>
    <row r="59" spans="1:4" ht="15" customHeight="1" x14ac:dyDescent="0.55000000000000004">
      <c r="A59">
        <v>57</v>
      </c>
      <c r="B59" t="s">
        <v>997</v>
      </c>
    </row>
    <row r="60" spans="1:4" ht="15" customHeight="1" x14ac:dyDescent="0.55000000000000004">
      <c r="A60">
        <v>58</v>
      </c>
      <c r="B60" t="s">
        <v>998</v>
      </c>
    </row>
    <row r="61" spans="1:4" ht="15" customHeight="1" x14ac:dyDescent="0.55000000000000004">
      <c r="A61">
        <v>59</v>
      </c>
      <c r="B61" t="s">
        <v>999</v>
      </c>
    </row>
    <row r="62" spans="1:4" ht="15" customHeight="1" x14ac:dyDescent="0.55000000000000004">
      <c r="A62">
        <v>60</v>
      </c>
      <c r="B62" t="s">
        <v>1000</v>
      </c>
    </row>
    <row r="63" spans="1:4" ht="15" customHeight="1" x14ac:dyDescent="0.55000000000000004">
      <c r="A63">
        <v>61</v>
      </c>
      <c r="B63" t="s">
        <v>1001</v>
      </c>
    </row>
    <row r="64" spans="1:4" ht="15" customHeight="1" x14ac:dyDescent="0.55000000000000004">
      <c r="A64">
        <v>62</v>
      </c>
      <c r="B64" t="s">
        <v>1002</v>
      </c>
    </row>
    <row r="65" spans="1:4" ht="15" customHeight="1" x14ac:dyDescent="0.55000000000000004">
      <c r="A65">
        <v>63</v>
      </c>
      <c r="B65" t="s">
        <v>1057</v>
      </c>
      <c r="C65">
        <v>1</v>
      </c>
      <c r="D65" t="s">
        <v>1067</v>
      </c>
    </row>
    <row r="66" spans="1:4" ht="15" customHeight="1" x14ac:dyDescent="0.55000000000000004">
      <c r="A66">
        <v>64</v>
      </c>
      <c r="B66" t="s">
        <v>1053</v>
      </c>
    </row>
    <row r="67" spans="1:4" ht="15" customHeight="1" x14ac:dyDescent="0.55000000000000004">
      <c r="A67">
        <v>65</v>
      </c>
      <c r="B67" t="s">
        <v>1003</v>
      </c>
    </row>
    <row r="68" spans="1:4" ht="15" customHeight="1" x14ac:dyDescent="0.55000000000000004">
      <c r="A68">
        <v>66</v>
      </c>
      <c r="B68" t="s">
        <v>1004</v>
      </c>
    </row>
    <row r="69" spans="1:4" ht="15" customHeight="1" x14ac:dyDescent="0.55000000000000004">
      <c r="A69">
        <v>67</v>
      </c>
      <c r="B69" t="s">
        <v>1005</v>
      </c>
    </row>
    <row r="70" spans="1:4" ht="15" customHeight="1" x14ac:dyDescent="0.55000000000000004">
      <c r="A70">
        <v>68</v>
      </c>
      <c r="B70" t="s">
        <v>1006</v>
      </c>
    </row>
    <row r="71" spans="1:4" ht="15" customHeight="1" x14ac:dyDescent="0.55000000000000004">
      <c r="A71">
        <v>69</v>
      </c>
      <c r="B71" t="s">
        <v>1007</v>
      </c>
    </row>
    <row r="72" spans="1:4" ht="15" customHeight="1" x14ac:dyDescent="0.55000000000000004">
      <c r="A72">
        <v>70</v>
      </c>
      <c r="B72" t="s">
        <v>1008</v>
      </c>
    </row>
    <row r="73" spans="1:4" ht="15" customHeight="1" x14ac:dyDescent="0.55000000000000004">
      <c r="A73">
        <v>71</v>
      </c>
      <c r="B73" t="s">
        <v>1009</v>
      </c>
    </row>
    <row r="74" spans="1:4" ht="15" customHeight="1" x14ac:dyDescent="0.55000000000000004">
      <c r="A74">
        <v>72</v>
      </c>
      <c r="B74" t="s">
        <v>1010</v>
      </c>
    </row>
    <row r="75" spans="1:4" ht="15" customHeight="1" x14ac:dyDescent="0.55000000000000004">
      <c r="A75">
        <v>73</v>
      </c>
      <c r="B75" t="s">
        <v>1011</v>
      </c>
    </row>
    <row r="76" spans="1:4" ht="15" customHeight="1" x14ac:dyDescent="0.55000000000000004">
      <c r="A76">
        <v>74</v>
      </c>
      <c r="B76" t="s">
        <v>1012</v>
      </c>
    </row>
    <row r="77" spans="1:4" ht="15" customHeight="1" x14ac:dyDescent="0.55000000000000004">
      <c r="A77">
        <v>75</v>
      </c>
      <c r="B77" t="s">
        <v>1013</v>
      </c>
    </row>
    <row r="78" spans="1:4" ht="15" customHeight="1" x14ac:dyDescent="0.55000000000000004">
      <c r="A78">
        <v>76</v>
      </c>
      <c r="B78" t="s">
        <v>1014</v>
      </c>
    </row>
    <row r="79" spans="1:4" ht="15" customHeight="1" x14ac:dyDescent="0.55000000000000004">
      <c r="A79">
        <v>77</v>
      </c>
      <c r="B79" t="s">
        <v>1015</v>
      </c>
    </row>
    <row r="80" spans="1:4" ht="15" customHeight="1" x14ac:dyDescent="0.55000000000000004">
      <c r="A80">
        <v>78</v>
      </c>
      <c r="B80" t="s">
        <v>1016</v>
      </c>
    </row>
    <row r="81" spans="1:2" ht="15" customHeight="1" x14ac:dyDescent="0.55000000000000004">
      <c r="A81">
        <v>79</v>
      </c>
      <c r="B81" t="s">
        <v>1017</v>
      </c>
    </row>
    <row r="82" spans="1:2" ht="15" customHeight="1" x14ac:dyDescent="0.55000000000000004">
      <c r="A82">
        <v>80</v>
      </c>
      <c r="B82" t="s">
        <v>1018</v>
      </c>
    </row>
    <row r="83" spans="1:2" ht="15" customHeight="1" x14ac:dyDescent="0.55000000000000004">
      <c r="A83">
        <v>81</v>
      </c>
      <c r="B83" t="s">
        <v>1019</v>
      </c>
    </row>
    <row r="84" spans="1:2" ht="15" customHeight="1" x14ac:dyDescent="0.55000000000000004">
      <c r="A84">
        <v>82</v>
      </c>
      <c r="B84" t="s">
        <v>1020</v>
      </c>
    </row>
    <row r="85" spans="1:2" ht="15" customHeight="1" x14ac:dyDescent="0.55000000000000004">
      <c r="A85">
        <v>83</v>
      </c>
      <c r="B85" t="s">
        <v>1021</v>
      </c>
    </row>
    <row r="86" spans="1:2" ht="15" customHeight="1" x14ac:dyDescent="0.55000000000000004">
      <c r="A86">
        <v>84</v>
      </c>
      <c r="B86" t="s">
        <v>1022</v>
      </c>
    </row>
    <row r="87" spans="1:2" ht="15" customHeight="1" x14ac:dyDescent="0.55000000000000004">
      <c r="A87">
        <v>85</v>
      </c>
      <c r="B87" t="s">
        <v>1023</v>
      </c>
    </row>
    <row r="88" spans="1:2" ht="15" customHeight="1" x14ac:dyDescent="0.55000000000000004">
      <c r="A88">
        <v>86</v>
      </c>
      <c r="B88" t="s">
        <v>1024</v>
      </c>
    </row>
    <row r="89" spans="1:2" ht="15" customHeight="1" x14ac:dyDescent="0.55000000000000004">
      <c r="A89">
        <v>87</v>
      </c>
      <c r="B89" t="s">
        <v>1025</v>
      </c>
    </row>
    <row r="90" spans="1:2" ht="15" customHeight="1" x14ac:dyDescent="0.55000000000000004">
      <c r="A90">
        <v>88</v>
      </c>
      <c r="B90" t="s">
        <v>1026</v>
      </c>
    </row>
    <row r="91" spans="1:2" ht="15" customHeight="1" x14ac:dyDescent="0.55000000000000004">
      <c r="A91">
        <v>89</v>
      </c>
      <c r="B91" t="s">
        <v>1027</v>
      </c>
    </row>
    <row r="92" spans="1:2" ht="15" customHeight="1" x14ac:dyDescent="0.55000000000000004">
      <c r="A92">
        <v>90</v>
      </c>
      <c r="B92" t="s">
        <v>1028</v>
      </c>
    </row>
    <row r="93" spans="1:2" ht="15" customHeight="1" x14ac:dyDescent="0.55000000000000004">
      <c r="A93">
        <v>91</v>
      </c>
      <c r="B93" t="s">
        <v>1029</v>
      </c>
    </row>
    <row r="94" spans="1:2" ht="15" customHeight="1" x14ac:dyDescent="0.55000000000000004">
      <c r="A94">
        <v>92</v>
      </c>
      <c r="B94" t="s">
        <v>1030</v>
      </c>
    </row>
    <row r="95" spans="1:2" ht="15" customHeight="1" x14ac:dyDescent="0.55000000000000004">
      <c r="A95">
        <v>93</v>
      </c>
      <c r="B95" t="s">
        <v>1031</v>
      </c>
    </row>
    <row r="96" spans="1:2" ht="15" customHeight="1" x14ac:dyDescent="0.55000000000000004">
      <c r="A96">
        <v>94</v>
      </c>
      <c r="B96" t="s">
        <v>1032</v>
      </c>
    </row>
    <row r="97" spans="1:2" ht="15" customHeight="1" x14ac:dyDescent="0.55000000000000004">
      <c r="A97">
        <v>95</v>
      </c>
      <c r="B97" t="s">
        <v>1033</v>
      </c>
    </row>
    <row r="98" spans="1:2" ht="15" customHeight="1" x14ac:dyDescent="0.55000000000000004">
      <c r="A98">
        <v>96</v>
      </c>
      <c r="B98" t="s">
        <v>1034</v>
      </c>
    </row>
    <row r="99" spans="1:2" ht="15" customHeight="1" x14ac:dyDescent="0.55000000000000004">
      <c r="A99">
        <v>97</v>
      </c>
      <c r="B99" t="s">
        <v>1035</v>
      </c>
    </row>
    <row r="100" spans="1:2" ht="15" customHeight="1" x14ac:dyDescent="0.55000000000000004">
      <c r="A100">
        <v>98</v>
      </c>
      <c r="B100" t="s">
        <v>1052</v>
      </c>
    </row>
    <row r="101" spans="1:2" ht="15" customHeight="1" x14ac:dyDescent="0.55000000000000004">
      <c r="A101">
        <v>99</v>
      </c>
      <c r="B101" t="s">
        <v>1036</v>
      </c>
    </row>
    <row r="102" spans="1:2" ht="15" customHeight="1" x14ac:dyDescent="0.55000000000000004">
      <c r="A102">
        <v>100</v>
      </c>
      <c r="B102" t="s">
        <v>1037</v>
      </c>
    </row>
    <row r="103" spans="1:2" ht="15" customHeight="1" x14ac:dyDescent="0.55000000000000004">
      <c r="A103">
        <v>101</v>
      </c>
      <c r="B103" t="s">
        <v>1038</v>
      </c>
    </row>
    <row r="104" spans="1:2" ht="15" customHeight="1" x14ac:dyDescent="0.55000000000000004">
      <c r="A104">
        <v>102</v>
      </c>
      <c r="B104" t="s">
        <v>1039</v>
      </c>
    </row>
    <row r="105" spans="1:2" ht="15" customHeight="1" x14ac:dyDescent="0.55000000000000004">
      <c r="A105">
        <v>103</v>
      </c>
      <c r="B105" t="s">
        <v>1040</v>
      </c>
    </row>
    <row r="106" spans="1:2" ht="15" customHeight="1" x14ac:dyDescent="0.55000000000000004">
      <c r="A106">
        <v>104</v>
      </c>
      <c r="B106" t="s">
        <v>1041</v>
      </c>
    </row>
    <row r="107" spans="1:2" ht="15" customHeight="1" x14ac:dyDescent="0.55000000000000004">
      <c r="A107">
        <v>105</v>
      </c>
      <c r="B107" t="s">
        <v>1042</v>
      </c>
    </row>
    <row r="108" spans="1:2" ht="15" customHeight="1" x14ac:dyDescent="0.55000000000000004">
      <c r="A108">
        <v>106</v>
      </c>
      <c r="B108" t="s">
        <v>1043</v>
      </c>
    </row>
    <row r="109" spans="1:2" ht="15" customHeight="1" x14ac:dyDescent="0.55000000000000004">
      <c r="A109">
        <v>107</v>
      </c>
      <c r="B109" t="s">
        <v>1044</v>
      </c>
    </row>
    <row r="110" spans="1:2" ht="15" customHeight="1" x14ac:dyDescent="0.55000000000000004">
      <c r="A110">
        <v>108</v>
      </c>
      <c r="B110" t="s">
        <v>1045</v>
      </c>
    </row>
    <row r="111" spans="1:2" ht="15" customHeight="1" x14ac:dyDescent="0.55000000000000004">
      <c r="A111">
        <v>109</v>
      </c>
      <c r="B111" t="s">
        <v>1049</v>
      </c>
    </row>
    <row r="112" spans="1:2" ht="15" customHeight="1" x14ac:dyDescent="0.55000000000000004">
      <c r="A112">
        <v>110</v>
      </c>
      <c r="B112" t="s">
        <v>1046</v>
      </c>
    </row>
    <row r="113" spans="1:2" ht="15" customHeight="1" x14ac:dyDescent="0.55000000000000004">
      <c r="A113">
        <v>111</v>
      </c>
      <c r="B113" t="s">
        <v>1047</v>
      </c>
    </row>
    <row r="114" spans="1:2" ht="15" customHeight="1" x14ac:dyDescent="0.55000000000000004">
      <c r="A114">
        <v>112</v>
      </c>
      <c r="B114" t="s">
        <v>1050</v>
      </c>
    </row>
    <row r="115" spans="1:2" x14ac:dyDescent="0.55000000000000004">
      <c r="A115">
        <v>113</v>
      </c>
      <c r="B115" t="s">
        <v>1048</v>
      </c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1E458-0728-4A2F-A614-CFDC9B1C4139}">
  <dimension ref="A1:B4"/>
  <sheetViews>
    <sheetView workbookViewId="0"/>
  </sheetViews>
  <sheetFormatPr defaultRowHeight="14.4" x14ac:dyDescent="0.55000000000000004"/>
  <cols>
    <col min="1" max="1" width="2.68359375" bestFit="1" customWidth="1"/>
    <col min="2" max="2" width="11.578125" bestFit="1" customWidth="1"/>
  </cols>
  <sheetData>
    <row r="1" spans="1:2" x14ac:dyDescent="0.55000000000000004">
      <c r="A1" s="1" t="s">
        <v>555</v>
      </c>
      <c r="B1" s="1" t="s">
        <v>557</v>
      </c>
    </row>
    <row r="3" spans="1:2" x14ac:dyDescent="0.55000000000000004">
      <c r="A3">
        <v>1</v>
      </c>
      <c r="B3" t="s">
        <v>323</v>
      </c>
    </row>
    <row r="4" spans="1:2" x14ac:dyDescent="0.55000000000000004">
      <c r="A4">
        <v>2</v>
      </c>
      <c r="B4" t="s">
        <v>921</v>
      </c>
    </row>
  </sheetData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F06F9-E4F0-4C4E-9201-E23F678B9B81}">
  <dimension ref="A1:C65"/>
  <sheetViews>
    <sheetView workbookViewId="0"/>
  </sheetViews>
  <sheetFormatPr defaultRowHeight="14.4" x14ac:dyDescent="0.55000000000000004"/>
  <cols>
    <col min="1" max="1" width="5" bestFit="1" customWidth="1"/>
    <col min="2" max="2" width="10.68359375" bestFit="1" customWidth="1"/>
    <col min="3" max="3" width="14.26171875" bestFit="1" customWidth="1"/>
  </cols>
  <sheetData>
    <row r="1" spans="1:3" x14ac:dyDescent="0.55000000000000004">
      <c r="A1" s="1" t="s">
        <v>21</v>
      </c>
      <c r="B1" s="1" t="s">
        <v>4</v>
      </c>
      <c r="C1" s="1" t="s">
        <v>76</v>
      </c>
    </row>
    <row r="3" spans="1:3" x14ac:dyDescent="0.55000000000000004">
      <c r="A3">
        <v>1963</v>
      </c>
      <c r="B3">
        <v>53624900</v>
      </c>
    </row>
    <row r="4" spans="1:3" x14ac:dyDescent="0.55000000000000004">
      <c r="A4">
        <v>1964</v>
      </c>
      <c r="B4">
        <v>53990800</v>
      </c>
    </row>
    <row r="5" spans="1:3" x14ac:dyDescent="0.55000000000000004">
      <c r="A5">
        <v>1965</v>
      </c>
      <c r="B5">
        <v>54349500</v>
      </c>
    </row>
    <row r="6" spans="1:3" x14ac:dyDescent="0.55000000000000004">
      <c r="A6">
        <v>1966</v>
      </c>
      <c r="B6">
        <v>54642700</v>
      </c>
    </row>
    <row r="7" spans="1:3" x14ac:dyDescent="0.55000000000000004">
      <c r="A7">
        <v>1967</v>
      </c>
      <c r="B7">
        <v>54959000</v>
      </c>
    </row>
    <row r="8" spans="1:3" x14ac:dyDescent="0.55000000000000004">
      <c r="A8">
        <v>1968</v>
      </c>
      <c r="B8">
        <v>55213500</v>
      </c>
    </row>
    <row r="9" spans="1:3" x14ac:dyDescent="0.55000000000000004">
      <c r="A9">
        <v>1969</v>
      </c>
      <c r="B9">
        <v>55460600</v>
      </c>
    </row>
    <row r="10" spans="1:3" x14ac:dyDescent="0.55000000000000004">
      <c r="A10">
        <v>1970</v>
      </c>
      <c r="B10">
        <v>55632200</v>
      </c>
    </row>
    <row r="11" spans="1:3" x14ac:dyDescent="0.55000000000000004">
      <c r="A11">
        <v>1971</v>
      </c>
      <c r="B11">
        <v>55928000</v>
      </c>
    </row>
    <row r="12" spans="1:3" x14ac:dyDescent="0.55000000000000004">
      <c r="A12">
        <v>1972</v>
      </c>
      <c r="B12">
        <v>56096700</v>
      </c>
    </row>
    <row r="13" spans="1:3" x14ac:dyDescent="0.55000000000000004">
      <c r="A13">
        <v>1973</v>
      </c>
      <c r="B13">
        <v>56222900</v>
      </c>
    </row>
    <row r="14" spans="1:3" x14ac:dyDescent="0.55000000000000004">
      <c r="A14">
        <v>1974</v>
      </c>
      <c r="B14">
        <v>56235600</v>
      </c>
    </row>
    <row r="15" spans="1:3" x14ac:dyDescent="0.55000000000000004">
      <c r="A15">
        <v>1975</v>
      </c>
      <c r="B15">
        <v>56225700</v>
      </c>
    </row>
    <row r="16" spans="1:3" x14ac:dyDescent="0.55000000000000004">
      <c r="A16">
        <v>1976</v>
      </c>
      <c r="B16">
        <v>56216100</v>
      </c>
    </row>
    <row r="17" spans="1:2" x14ac:dyDescent="0.55000000000000004">
      <c r="A17">
        <v>1977</v>
      </c>
      <c r="B17">
        <v>56189900</v>
      </c>
    </row>
    <row r="18" spans="1:2" x14ac:dyDescent="0.55000000000000004">
      <c r="A18">
        <v>1978</v>
      </c>
      <c r="B18">
        <v>56178000</v>
      </c>
    </row>
    <row r="19" spans="1:2" x14ac:dyDescent="0.55000000000000004">
      <c r="A19">
        <v>1979</v>
      </c>
      <c r="B19">
        <v>56240100</v>
      </c>
    </row>
    <row r="20" spans="1:2" x14ac:dyDescent="0.55000000000000004">
      <c r="A20">
        <v>1980</v>
      </c>
      <c r="B20">
        <v>56329700</v>
      </c>
    </row>
    <row r="21" spans="1:2" x14ac:dyDescent="0.55000000000000004">
      <c r="A21">
        <v>1981</v>
      </c>
      <c r="B21">
        <v>56357500</v>
      </c>
    </row>
    <row r="22" spans="1:2" x14ac:dyDescent="0.55000000000000004">
      <c r="A22">
        <v>1982</v>
      </c>
      <c r="B22">
        <v>56290700</v>
      </c>
    </row>
    <row r="23" spans="1:2" x14ac:dyDescent="0.55000000000000004">
      <c r="A23">
        <v>1983</v>
      </c>
      <c r="B23">
        <v>56315700</v>
      </c>
    </row>
    <row r="24" spans="1:2" x14ac:dyDescent="0.55000000000000004">
      <c r="A24">
        <v>1984</v>
      </c>
      <c r="B24">
        <v>56409300</v>
      </c>
    </row>
    <row r="25" spans="1:2" x14ac:dyDescent="0.55000000000000004">
      <c r="A25">
        <v>1985</v>
      </c>
      <c r="B25">
        <v>56554000</v>
      </c>
    </row>
    <row r="26" spans="1:2" x14ac:dyDescent="0.55000000000000004">
      <c r="A26">
        <v>1986</v>
      </c>
      <c r="B26">
        <v>56683800</v>
      </c>
    </row>
    <row r="27" spans="1:2" x14ac:dyDescent="0.55000000000000004">
      <c r="A27">
        <v>1987</v>
      </c>
      <c r="B27">
        <v>56804000</v>
      </c>
    </row>
    <row r="28" spans="1:2" x14ac:dyDescent="0.55000000000000004">
      <c r="A28">
        <v>1988</v>
      </c>
      <c r="B28">
        <v>56916400</v>
      </c>
    </row>
    <row r="29" spans="1:2" x14ac:dyDescent="0.55000000000000004">
      <c r="A29">
        <v>1989</v>
      </c>
      <c r="B29">
        <v>57076500</v>
      </c>
    </row>
    <row r="30" spans="1:2" x14ac:dyDescent="0.55000000000000004">
      <c r="A30">
        <v>1990</v>
      </c>
      <c r="B30">
        <v>57237500</v>
      </c>
    </row>
    <row r="31" spans="1:2" x14ac:dyDescent="0.55000000000000004">
      <c r="A31">
        <v>1991</v>
      </c>
      <c r="B31">
        <v>57438700</v>
      </c>
    </row>
    <row r="32" spans="1:2" x14ac:dyDescent="0.55000000000000004">
      <c r="A32">
        <v>1992</v>
      </c>
      <c r="B32">
        <v>57584500</v>
      </c>
    </row>
    <row r="33" spans="1:2" x14ac:dyDescent="0.55000000000000004">
      <c r="A33">
        <v>1993</v>
      </c>
      <c r="B33">
        <v>57713900</v>
      </c>
    </row>
    <row r="34" spans="1:2" x14ac:dyDescent="0.55000000000000004">
      <c r="A34">
        <v>1994</v>
      </c>
      <c r="B34">
        <v>57862100</v>
      </c>
    </row>
    <row r="35" spans="1:2" x14ac:dyDescent="0.55000000000000004">
      <c r="A35">
        <v>1995</v>
      </c>
      <c r="B35">
        <v>58024800</v>
      </c>
    </row>
    <row r="36" spans="1:2" x14ac:dyDescent="0.55000000000000004">
      <c r="A36">
        <v>1996</v>
      </c>
      <c r="B36">
        <v>58164400</v>
      </c>
    </row>
    <row r="37" spans="1:2" x14ac:dyDescent="0.55000000000000004">
      <c r="A37">
        <v>1997</v>
      </c>
      <c r="B37">
        <v>58314200</v>
      </c>
    </row>
    <row r="38" spans="1:2" x14ac:dyDescent="0.55000000000000004">
      <c r="A38">
        <v>1998</v>
      </c>
      <c r="B38">
        <v>58474900</v>
      </c>
    </row>
    <row r="39" spans="1:2" x14ac:dyDescent="0.55000000000000004">
      <c r="A39">
        <v>1999</v>
      </c>
      <c r="B39">
        <v>58684400</v>
      </c>
    </row>
    <row r="40" spans="1:2" x14ac:dyDescent="0.55000000000000004">
      <c r="A40">
        <v>2000</v>
      </c>
      <c r="B40">
        <v>58886100</v>
      </c>
    </row>
    <row r="41" spans="1:2" x14ac:dyDescent="0.55000000000000004">
      <c r="A41">
        <v>2001</v>
      </c>
      <c r="B41">
        <v>59113000</v>
      </c>
    </row>
    <row r="42" spans="1:2" x14ac:dyDescent="0.55000000000000004">
      <c r="A42">
        <v>2002</v>
      </c>
      <c r="B42">
        <v>59365700</v>
      </c>
    </row>
    <row r="43" spans="1:2" x14ac:dyDescent="0.55000000000000004">
      <c r="A43">
        <v>2003</v>
      </c>
      <c r="B43">
        <v>59636700</v>
      </c>
    </row>
    <row r="44" spans="1:2" x14ac:dyDescent="0.55000000000000004">
      <c r="A44">
        <v>2004</v>
      </c>
      <c r="B44">
        <v>59950400</v>
      </c>
    </row>
    <row r="45" spans="1:2" x14ac:dyDescent="0.55000000000000004">
      <c r="A45">
        <v>2005</v>
      </c>
      <c r="B45">
        <v>60413300</v>
      </c>
    </row>
    <row r="46" spans="1:2" x14ac:dyDescent="0.55000000000000004">
      <c r="A46">
        <v>2006</v>
      </c>
      <c r="B46">
        <v>60827000</v>
      </c>
    </row>
    <row r="47" spans="1:2" x14ac:dyDescent="0.55000000000000004">
      <c r="A47">
        <v>2007</v>
      </c>
      <c r="B47">
        <v>61319100</v>
      </c>
    </row>
    <row r="48" spans="1:2" x14ac:dyDescent="0.55000000000000004">
      <c r="A48">
        <v>2008</v>
      </c>
      <c r="B48">
        <v>61823800</v>
      </c>
    </row>
    <row r="49" spans="1:3" x14ac:dyDescent="0.55000000000000004">
      <c r="A49">
        <v>2009</v>
      </c>
      <c r="B49">
        <v>62260500</v>
      </c>
    </row>
    <row r="50" spans="1:3" x14ac:dyDescent="0.55000000000000004">
      <c r="A50">
        <v>2010</v>
      </c>
      <c r="B50">
        <v>62759500</v>
      </c>
    </row>
    <row r="51" spans="1:3" x14ac:dyDescent="0.55000000000000004">
      <c r="A51">
        <v>2011</v>
      </c>
      <c r="B51">
        <v>63285100</v>
      </c>
    </row>
    <row r="52" spans="1:3" x14ac:dyDescent="0.55000000000000004">
      <c r="A52">
        <v>2012</v>
      </c>
      <c r="B52">
        <v>63705000</v>
      </c>
    </row>
    <row r="53" spans="1:3" x14ac:dyDescent="0.55000000000000004">
      <c r="A53">
        <v>2013</v>
      </c>
      <c r="B53">
        <v>64105700</v>
      </c>
    </row>
    <row r="54" spans="1:3" x14ac:dyDescent="0.55000000000000004">
      <c r="A54">
        <v>2014</v>
      </c>
      <c r="B54">
        <v>64596800</v>
      </c>
    </row>
    <row r="55" spans="1:3" x14ac:dyDescent="0.55000000000000004">
      <c r="A55">
        <v>2015</v>
      </c>
      <c r="B55">
        <v>65110000</v>
      </c>
    </row>
    <row r="56" spans="1:3" x14ac:dyDescent="0.55000000000000004">
      <c r="A56">
        <v>2016</v>
      </c>
      <c r="B56">
        <v>65648100</v>
      </c>
    </row>
    <row r="57" spans="1:3" x14ac:dyDescent="0.55000000000000004">
      <c r="A57">
        <v>2017</v>
      </c>
      <c r="B57">
        <v>66040200</v>
      </c>
    </row>
    <row r="58" spans="1:3" x14ac:dyDescent="0.55000000000000004">
      <c r="A58">
        <v>2018</v>
      </c>
      <c r="B58">
        <v>66435600</v>
      </c>
    </row>
    <row r="59" spans="1:3" x14ac:dyDescent="0.55000000000000004">
      <c r="A59">
        <v>2019</v>
      </c>
      <c r="B59">
        <v>66796800</v>
      </c>
    </row>
    <row r="60" spans="1:3" x14ac:dyDescent="0.55000000000000004">
      <c r="A60">
        <v>2020</v>
      </c>
      <c r="B60">
        <v>67081200</v>
      </c>
    </row>
    <row r="61" spans="1:3" x14ac:dyDescent="0.55000000000000004">
      <c r="A61">
        <v>2021</v>
      </c>
      <c r="B61">
        <v>67350695</v>
      </c>
      <c r="C61" t="s">
        <v>568</v>
      </c>
    </row>
    <row r="62" spans="1:3" x14ac:dyDescent="0.55000000000000004">
      <c r="A62">
        <v>2022</v>
      </c>
      <c r="B62">
        <v>67595824</v>
      </c>
      <c r="C62" t="s">
        <v>568</v>
      </c>
    </row>
    <row r="63" spans="1:3" x14ac:dyDescent="0.55000000000000004">
      <c r="A63">
        <v>2023</v>
      </c>
      <c r="B63">
        <v>67844315</v>
      </c>
      <c r="C63" t="s">
        <v>568</v>
      </c>
    </row>
    <row r="64" spans="1:3" x14ac:dyDescent="0.55000000000000004">
      <c r="A64">
        <v>2024</v>
      </c>
      <c r="B64">
        <v>68081792</v>
      </c>
      <c r="C64" t="s">
        <v>568</v>
      </c>
    </row>
    <row r="65" spans="1:3" x14ac:dyDescent="0.55000000000000004">
      <c r="A65">
        <v>2025</v>
      </c>
      <c r="B65">
        <v>68304932</v>
      </c>
      <c r="C65" t="s">
        <v>568</v>
      </c>
    </row>
  </sheetData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4497-0F0D-4339-BD63-E1E14AAF98F2}">
  <dimension ref="A1:B4"/>
  <sheetViews>
    <sheetView workbookViewId="0"/>
  </sheetViews>
  <sheetFormatPr defaultRowHeight="14.4" x14ac:dyDescent="0.55000000000000004"/>
  <cols>
    <col min="1" max="1" width="18" bestFit="1" customWidth="1"/>
    <col min="2" max="2" width="9.41796875" customWidth="1"/>
  </cols>
  <sheetData>
    <row r="1" spans="1:2" x14ac:dyDescent="0.55000000000000004">
      <c r="A1" s="1" t="s">
        <v>554</v>
      </c>
      <c r="B1" cm="1">
        <f t="array" ref="B1">LOOKUP(2,1/(NOT(ISBLANK(Populations!B:B))),Populations!B:B)</f>
        <v>68304932</v>
      </c>
    </row>
    <row r="4" spans="1:2" x14ac:dyDescent="0.55000000000000004">
      <c r="B4" s="12"/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Episodes</vt:lpstr>
      <vt:lpstr>Doctors</vt:lpstr>
      <vt:lpstr>SeasonFormats</vt:lpstr>
      <vt:lpstr>EpisodeFormats</vt:lpstr>
      <vt:lpstr>Eras</vt:lpstr>
      <vt:lpstr>Writers</vt:lpstr>
      <vt:lpstr>WikiFormats</vt:lpstr>
      <vt:lpstr>Populations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Mason</dc:creator>
  <cp:lastModifiedBy>Russell Mason</cp:lastModifiedBy>
  <dcterms:created xsi:type="dcterms:W3CDTF">2024-05-27T07:17:48Z</dcterms:created>
  <dcterms:modified xsi:type="dcterms:W3CDTF">2026-04-04T10:57:59Z</dcterms:modified>
</cp:coreProperties>
</file>